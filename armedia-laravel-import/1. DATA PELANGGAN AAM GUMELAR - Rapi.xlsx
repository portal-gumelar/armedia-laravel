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0_Panduan" sheetId="2" r:id="rId6"/>
    <sheet state="visible" name="1_Calon_Pelanggan" sheetId="3" r:id="rId7"/>
    <sheet state="visible" name="2_Data_Pelanggan" sheetId="4" r:id="rId8"/>
    <sheet state="visible" name="3_Perangkat" sheetId="5" r:id="rId9"/>
    <sheet state="visible" name="4_Produk" sheetId="6" r:id="rId10"/>
    <sheet state="visible" name="5_Rekap_CSR" sheetId="7" r:id="rId11"/>
    <sheet state="visible" name="6_Marketing" sheetId="8" r:id="rId12"/>
    <sheet state="visible" name="8_Master_ODP" sheetId="9" r:id="rId13"/>
    <sheet state="visible" name="9_Monitoring_Netwatch" sheetId="10" r:id="rId14"/>
    <sheet state="visible" name="10_Tagihan_Bulanan" sheetId="11" r:id="rId15"/>
    <sheet state="visible" name="11_Slip_Gaji" sheetId="12" r:id="rId16"/>
    <sheet state="visible" name="Tabel_ProRata" sheetId="13" r:id="rId17"/>
    <sheet state="visible" name="Registrasi_OLT" sheetId="14" r:id="rId18"/>
    <sheet state="visible" name="ARSIP_Data_Teknis_Lama" sheetId="15" r:id="rId19"/>
    <sheet state="visible" name="12_ONT_NEW" sheetId="16" r:id="rId20"/>
    <sheet state="visible" name="13_ONT_EROR" sheetId="17" r:id="rId21"/>
    <sheet state="visible" name="14_OPR" sheetId="18" r:id="rId22"/>
  </sheets>
  <definedNames>
    <definedName hidden="1" localSheetId="2" name="_xlnm._FilterDatabase">'1_Calon_Pelanggan'!$A$3:$I$19</definedName>
    <definedName hidden="1" localSheetId="3" name="_xlnm._FilterDatabase">'2_Data_Pelanggan'!$A$3:$AT$185</definedName>
    <definedName hidden="1" localSheetId="4" name="_xlnm._FilterDatabase">'3_Perangkat'!$A$2:$G$308</definedName>
    <definedName hidden="1" localSheetId="5" name="_xlnm._FilterDatabase">'4_Produk'!$A$2:$F$17</definedName>
    <definedName hidden="1" localSheetId="6" name="_xlnm._FilterDatabase">'5_Rekap_CSR'!$A$2:$W$144</definedName>
    <definedName hidden="1" localSheetId="7" name="_xlnm._FilterDatabase">'6_Marketing'!$A$3:$E$53</definedName>
    <definedName hidden="1" localSheetId="8" name="_xlnm._FilterDatabase">'8_Master_ODP'!$A$4:$F$19</definedName>
    <definedName hidden="1" localSheetId="9" name="_xlnm._FilterDatabase">'9_Monitoring_Netwatch'!$B$3:$J$174</definedName>
    <definedName hidden="1" localSheetId="10" name="_xlnm._FilterDatabase">'10_Tagihan_Bulanan'!$A$4:$Q$208</definedName>
    <definedName hidden="1" localSheetId="14" name="_xlnm._FilterDatabase">ARSIP_Data_Teknis_Lama!$A$4:$Q$167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Kemungkinan pelanggan dobel (nama+IP sama). Cek apakah orang yg sama.</t>
      </text>
    </comment>
    <comment authorId="0" ref="O173">
      <text>
        <t xml:space="preserve">IP kembar dgn ARM-0032. Cek mana yg benar.</t>
      </text>
    </comment>
    <comment authorId="0" ref="Q77">
      <text>
        <t xml:space="preserve">SN kembar dgn ARM-0123. 1 modem tdk mungkin 2 tempat.</t>
      </text>
    </comment>
    <comment authorId="0" ref="O170">
      <text>
        <t xml:space="preserve">IP kembar dgn ARM-0003. Cek mana yg benar.</t>
      </text>
    </comment>
    <comment authorId="0" ref="O7">
      <text>
        <t xml:space="preserve">IP kembar dgn ARM-0166. Cek mana yg benar.</t>
      </text>
    </comment>
    <comment authorId="0" ref="O165">
      <text>
        <t xml:space="preserve">IP kembar dgn ARM-0157. Cek mana yg benar.</t>
      </text>
    </comment>
    <comment authorId="0" ref="O36">
      <text>
        <t xml:space="preserve">IP kembar dgn ARM-0169. Cek mana yg benar.</t>
      </text>
    </comment>
    <comment authorId="0" ref="O67">
      <text>
        <t xml:space="preserve">IP kembar dgn ARM-0147. Cek mana yg benar.</t>
      </text>
    </comment>
    <comment authorId="0" ref="D151">
      <text>
        <t xml:space="preserve">Kemungkinan pelanggan dobel (nama+IP sama). Cek apakah orang yg sama.</t>
      </text>
    </comment>
    <comment authorId="0" ref="O161">
      <text>
        <t xml:space="preserve">IP kembar dgn ARM-0161. Cek mana yg benar.</t>
      </text>
    </comment>
    <comment authorId="0" ref="D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PAK SARWO
</t>
      </text>
    </comment>
    <comment authorId="0" ref="Q127">
      <text>
        <t xml:space="preserve">SN kembar dgn ARM-0073. 1 modem tdk mungkin 2 tempat.</t>
      </text>
    </comment>
    <comment authorId="0" ref="D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PAK YUSUF
</t>
      </text>
    </comment>
    <comment authorId="0" ref="D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PAK YUSUF
</t>
      </text>
    </comment>
    <comment authorId="0" ref="O151">
      <text>
        <t xml:space="preserve">IP kembar dgn ARM-0063. Cek mana yg benar.</t>
      </text>
    </comment>
    <comment authorId="0" ref="D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PAK YUSUF
</t>
      </text>
    </comment>
    <comment authorId="0" ref="D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Dimas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Rekap CSR untuk 37 pelanggan PERTAMA (termasuk JUNO=ARM-0003 &amp; SARWO=ARM-0005, pelanggan pertama ARMEDIA, pasang Maret 2026), sebelum sistem pencatatan per-RT dimulai Juni 2026. Dana CSR periode ini dihitung sebagai 1 kelompok, TIDAK dipecah per RT karena datanya tidak tercatat detail RT saat itu. Tidak tumpang tindih dengan baris di bawah (yang otomatis hitung Juni-Agustus 2026 saja).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Isi tanggal masuk kerja. Contoh ketik: 15/01/2026</t>
      </text>
    </comment>
    <comment authorId="0" ref="F10">
      <text>
        <t xml:space="preserve">Berapa orang yang ikut memasang.
Contoh: 4 orang -&gt; Rp40.000/4 = Rp10.000 per pelanggan.</t>
      </text>
    </comment>
    <comment authorId="0" ref="F9">
      <text>
        <t xml:space="preserve">Fee total per pelanggan yang di-IKR, dibagi rata ke teknisi yang ikut pasang.</t>
      </text>
    </comment>
  </commentList>
</comments>
</file>

<file path=xl/sharedStrings.xml><?xml version="1.0" encoding="utf-8"?>
<sst xmlns="http://schemas.openxmlformats.org/spreadsheetml/2006/main" count="9234" uniqueCount="2241">
  <si>
    <t>📊 DASHBOARD ARMEDIA NET GUMELAR</t>
  </si>
  <si>
    <t>👥 PELANGGAN AKTIF</t>
  </si>
  <si>
    <t>💰 PENDAPATAN BULAN INI</t>
  </si>
  <si>
    <t>🎁 DANA CSR</t>
  </si>
  <si>
    <t>📦 SISA STOK ONT</t>
  </si>
  <si>
    <t>Belum dicairkan</t>
  </si>
  <si>
    <t>unit tersedia</t>
  </si>
  <si>
    <t>🚨 GANGGUAN JARINGAN</t>
  </si>
  <si>
    <t>📋 PERLU TINDAKAN</t>
  </si>
  <si>
    <t>Cek sheet 9_Monitoring_Netwatch, gunakan link WA Follow Up Gangguan</t>
  </si>
  <si>
    <t>PANDUAN STRUKTUR DATABASE ARMEDIA</t>
  </si>
  <si>
    <t>Klik nama sheet di kolom kiri untuk langsung berpindah ke sheet tersebut</t>
  </si>
  <si>
    <t>SHEET</t>
  </si>
  <si>
    <t>PERAN &amp; ALUR DATA</t>
  </si>
  <si>
    <t>1_Calon_Pelanggan</t>
  </si>
  <si>
    <t>Daftar pendaftar BARU (PSB = Pasang Sambungan Baru). Belum tentu terpasang. Kolom "Status" menandai sudah Terpasang atau belum. Setelah terpasang &amp; dapat ID Pelanggan (format G-xxxxxxx), data lengkapnya WAJIB dipindah/dicatat di sheet "2_Data_Pelanggan".</t>
  </si>
  <si>
    <t>2_Data_Pelanggan</t>
  </si>
  <si>
    <t>SHEET MASTER / ACUAN UTAMA. Semua pelanggan yang sudah terpasang &amp; aktif berlangganan dicatat lengkap di sini: identitas, alamat (Kec/Desa/RW/RT), paket, perangkat, status, link foto, lokasi &amp; WhatsApp. Sheet lain (Rekap CSR) mengambil data dari sini secara otomatis via formula.</t>
  </si>
  <si>
    <t>ARSIP_Data_Teknis_Lama</t>
  </si>
  <si>
    <t>Data teknis versi LAMA. Sebagian isinya sudah terduplikasi dengan "2_Data_Pelanggan". Jangan diisi data baru di sini — gunakan "2_Data_Pelanggan" sebagai acuan utama. Sheet ini akan digabung/dirapikan saat proses input ulang data.</t>
  </si>
  <si>
    <t>3_Perangkat</t>
  </si>
  <si>
    <t>Daftar inventaris perangkat ONT (nomor seri) yang terpasang. Terhubung ke "2_Data_Pelanggan" lewat kolom ID Perangkat.</t>
  </si>
  <si>
    <t>4_Produk</t>
  </si>
  <si>
    <t>Daftar referensi paket &amp; harga (ARMED 10-100, HEROIK 10-150). Dipakai sebagai acuan Paket &amp; Harga otomatis di "2_Data_Pelanggan" lewat VLOOKUP.</t>
  </si>
  <si>
    <t>5_Rekap_CSR</t>
  </si>
  <si>
    <t>Rekap otomatis dana CSR (Rp3.000/pelanggan/bulan, dibagi Desa Rp1.000 &amp; RT Rp2.000). Dihitung otomatis dari "2_Data_Pelanggan" — TIDAK perlu diisi manual.</t>
  </si>
  <si>
    <t>6_Marketing</t>
  </si>
  <si>
    <t>Pencatatan fee untuk mitra/marketing per pelanggan yang mereka referensikan.</t>
  </si>
  <si>
    <t>8_Master_ODP</t>
  </si>
  <si>
    <t>Daftar kapasitas &amp; pemakaian tiap titik ODP (15 titik, hasil ekstrak dari data lama). Kolom Kapasitas Maks &amp; Desa/Lokasi masih perlu dilengkapi tim teknisi.</t>
  </si>
  <si>
    <t>9_Monitoring_Netwatch</t>
  </si>
  <si>
    <t>Paste data export Netwatch Mikrotik (IP + Status) di kolom kuning — otomatis cocok ke pelanggan (Nama, Desa, RW/RT, WA) via pencarian IP di Data Pelanggan.</t>
  </si>
  <si>
    <t>10_Tagihan_Bulanan</t>
  </si>
  <si>
    <t>Riwayat pembayaran tiap pelanggan per bulan (Jan-Des). ID/Nama/Paket otomatis dari 2_Data_Pelanggan; angka pembayaran diisi manual. Kolom bulan berjalan otomatis ter-highlight.</t>
  </si>
  <si>
    <t>11_Slip_Gaji</t>
  </si>
  <si>
    <t>Tabel_ProRata</t>
  </si>
  <si>
    <t>Acuan cepat tagihan bulan pertama (pro-rata) untuk 8 paket ARMED, tanggal 1-30. Otomatis dari harga di 4_Produk.</t>
  </si>
  <si>
    <t>Registrasi_OLT</t>
  </si>
  <si>
    <t>Generator perintah registrasi OLT (ZTE GPON) + Netwatch Mikrotik. Ketik ID pelanggan, perintah CLI otomatis siap copy-paste. Lengkapi Port &amp; Index di Data Pelanggan dulu.</t>
  </si>
  <si>
    <t>⚠  CATATAN PENTING</t>
  </si>
  <si>
    <t>Ada kemungkinan data duplikat (nama/HP sama tercatat 2x) yang belum diverifikasi manual — akan dibenahi saat proses input ulang data lapangan.</t>
  </si>
  <si>
    <t>📋 TEMPLATE PESAN WA — Minta Data RT/RW Pelanggan</t>
  </si>
  <si>
    <t>Selamat siang Bapak/Ibu [Nama Pelanggan],
Mohon maaf mengganggu waktunya. Saya dari Tim Teknis Armedia Net wilayah Gumelar ingin melakukan pendataan ulang wilayah pelanggan.
Boleh dibantu informasinya untuk posisi rumahnya di Cihonje masuk:
RT berapa:
RW berapa:
Terima kasih banyak sebelumnya atas kerjasamanya.</t>
  </si>
  <si>
    <t>Catatan: ganti [Nama Pelanggan] sesuai penerima. Cocok dipakai untuk 14 pelanggan Cihonje yang RT/RW-nya masih kosong (lihat daftar di chat).</t>
  </si>
  <si>
    <t>ALUR CALON → PELANGGAN (manual)</t>
  </si>
  <si>
    <t>1. Input calon</t>
  </si>
  <si>
    <t>Isi di sheet 1_Calon_Pelanggan (kolom kuning). NO &amp; dropdown Status/Layanan otomatis.</t>
  </si>
  <si>
    <t>2. Update status</t>
  </si>
  <si>
    <t>Saat proses: ganti Status (Belum → Survey → Jadwal → Aktif) lewat dropdown.</t>
  </si>
  <si>
    <t>3. Sudah terpasang?</t>
  </si>
  <si>
    <t>Buka sheet 2_Data_Pelanggan, ke baris kosong pertama (kuning). Ketik: Nama, Produk ID (AR-2 dst), No.HP, Desa, RW, RT, Tgl Aktif. Sisanya (ID, Paket, Harga, Pro-rata, Profile) MUNCUL OTOMATIS.</t>
  </si>
  <si>
    <t>4. Lengkapi teknis</t>
  </si>
  <si>
    <t>Isi IP, SN, ODP, Port OLT, Index, Redaman di Data Pelanggan.</t>
  </si>
  <si>
    <t>5. Hapus dari calon</t>
  </si>
  <si>
    <t>Kembali ke 1_Calon_Pelanggan, klik kanan baris calon tadi &gt; Hapus baris. Selesai.</t>
  </si>
  <si>
    <t>CATATAN</t>
  </si>
  <si>
    <t>Menu ARMEDIA cuma muncul di Google Sheets versi KOMPUTER, tidak di HP. Pemindahan dilakukan dari laptop.</t>
  </si>
  <si>
    <t>12_ONT_NEW</t>
  </si>
  <si>
    <t>Inventaris ONT baru/stok (SN, MAC, SSID, status terpakai/belum, teknisi).</t>
  </si>
  <si>
    <t>13_ONT_EROR</t>
  </si>
  <si>
    <t>Daftar ONT error/retur dari pelanggan (SN, keterangan kerusakan).</t>
  </si>
  <si>
    <t>14_OPR</t>
  </si>
  <si>
    <t>Catatan biaya operasional (pembelian kabel, konektor, dll).</t>
  </si>
  <si>
    <t>PENANDA AUDIT DATA</t>
  </si>
  <si>
    <t>Merah (IP/SN)</t>
  </si>
  <si>
    <t>IP atau SN kembar - cek mana yang benar (arahkan kursor ke sel utk detail)</t>
  </si>
  <si>
    <t>Kuning (Nama)</t>
  </si>
  <si>
    <t>Kemungkinan pelanggan dobel - cek apakah orang yang sama</t>
  </si>
  <si>
    <t>📋 Daftar CALON pelanggan (belum tentu terpasang). Jika sudah Terpasang &amp; punya ID Pelanggan, catat lengkap di sheet "2_Data_Pelanggan".</t>
  </si>
  <si>
    <t>no</t>
  </si>
  <si>
    <t>Nama Pelanggan</t>
  </si>
  <si>
    <t>Nomor Telepon</t>
  </si>
  <si>
    <t>NO LAPORAN</t>
  </si>
  <si>
    <t>Alamat Pemasangan</t>
  </si>
  <si>
    <t>Jadwal Pasang</t>
  </si>
  <si>
    <t>Jenis Layanan</t>
  </si>
  <si>
    <t xml:space="preserve">Status </t>
  </si>
  <si>
    <t>marketing</t>
  </si>
  <si>
    <t>tanti setya ningsih</t>
  </si>
  <si>
    <t>082134180021</t>
  </si>
  <si>
    <t>PSB15226062302</t>
  </si>
  <si>
    <t>karang kemiri,tlaga rt01/rw04 kec.gumelar</t>
  </si>
  <si>
    <t>Internet 20 Mbps</t>
  </si>
  <si>
    <t>Belum</t>
  </si>
  <si>
    <t>suritno</t>
  </si>
  <si>
    <t>085742794085</t>
  </si>
  <si>
    <t>PSB15226062701</t>
  </si>
  <si>
    <t>Palumbungan rt2/rw2</t>
  </si>
  <si>
    <t>balaidesa gumelar</t>
  </si>
  <si>
    <t>PSB15226063005</t>
  </si>
  <si>
    <t>Internet 50 Mbps</t>
  </si>
  <si>
    <t>pak yusuf</t>
  </si>
  <si>
    <t>suripno</t>
  </si>
  <si>
    <t>PSB15226063006</t>
  </si>
  <si>
    <t>gumelar 02/rw02</t>
  </si>
  <si>
    <t>siti solehati</t>
  </si>
  <si>
    <t>085258650061</t>
  </si>
  <si>
    <t>PSB15226063008</t>
  </si>
  <si>
    <t>Gumelar, gang kiri masuk sebelum polsek 07/01</t>
  </si>
  <si>
    <t>agan</t>
  </si>
  <si>
    <t>andre sayur</t>
  </si>
  <si>
    <t>PSB15226063011</t>
  </si>
  <si>
    <t>gumelar rt07/rw01</t>
  </si>
  <si>
    <t>SULIYAH</t>
  </si>
  <si>
    <t>085747997069</t>
  </si>
  <si>
    <t>PSB15226063014</t>
  </si>
  <si>
    <t>Depan SDN cilangkap satria</t>
  </si>
  <si>
    <t xml:space="preserve">KASLAM </t>
  </si>
  <si>
    <t>085701908313</t>
  </si>
  <si>
    <t>PSB15226070202</t>
  </si>
  <si>
    <t>GUMELAR 02/04</t>
  </si>
  <si>
    <t>watri</t>
  </si>
  <si>
    <t>085643133951</t>
  </si>
  <si>
    <t>PSB15226070203</t>
  </si>
  <si>
    <t>FIRDOS PRIO GUNAWAN</t>
  </si>
  <si>
    <t>085747304136</t>
  </si>
  <si>
    <t>PSB15226070501</t>
  </si>
  <si>
    <t>Gumelar 003/002</t>
  </si>
  <si>
    <t>Jamhari</t>
  </si>
  <si>
    <t>081210533307</t>
  </si>
  <si>
    <t>PSB15226070502</t>
  </si>
  <si>
    <t>Cilangkap 001/001</t>
  </si>
  <si>
    <t>https://maps.app.goo.gl/1DiPYcbuNpUPYenS6</t>
  </si>
  <si>
    <t>RAMINAH</t>
  </si>
  <si>
    <t>081226123793</t>
  </si>
  <si>
    <t>PSB15226070504</t>
  </si>
  <si>
    <t>Gumelar Rt 6/ Rw 1</t>
  </si>
  <si>
    <t>DANI ISKANDAR SLAMET</t>
  </si>
  <si>
    <t>0882006218144</t>
  </si>
  <si>
    <t>PSB15226070505</t>
  </si>
  <si>
    <t>Gumelar RT.09 / RW 01</t>
  </si>
  <si>
    <t>andono</t>
  </si>
  <si>
    <t>RIMBOWO</t>
  </si>
  <si>
    <t>085600244148</t>
  </si>
  <si>
    <t>PSB15226070801</t>
  </si>
  <si>
    <t>GUMELAR RT 06/05</t>
  </si>
  <si>
    <t>SRIYANTI LESTARI</t>
  </si>
  <si>
    <t>085815697840</t>
  </si>
  <si>
    <t>PSB15226070802</t>
  </si>
  <si>
    <t>GUMELAR RT 08/01</t>
  </si>
  <si>
    <t>SALSADILA NAHDIATUL AWALIYAH</t>
  </si>
  <si>
    <t>PSB15226070901</t>
  </si>
  <si>
    <t>GUMELAR RT 6/9</t>
  </si>
  <si>
    <t>SHEET MASTER — acuan utama seluruh pelanggan aktif. Lihat sheet "0_Panduan" untuk detail alur data.</t>
  </si>
  <si>
    <t>NO</t>
  </si>
  <si>
    <t>ID BARU</t>
  </si>
  <si>
    <t>ID LAMA</t>
  </si>
  <si>
    <t>NAMA</t>
  </si>
  <si>
    <t>NIK KTP</t>
  </si>
  <si>
    <t>No.HP</t>
  </si>
  <si>
    <t>Kec</t>
  </si>
  <si>
    <t>Desa</t>
  </si>
  <si>
    <t>RW</t>
  </si>
  <si>
    <t>RT</t>
  </si>
  <si>
    <t>Kota/Kab</t>
  </si>
  <si>
    <t>Produk ID</t>
  </si>
  <si>
    <t>Paket</t>
  </si>
  <si>
    <t>Harga</t>
  </si>
  <si>
    <t>IP</t>
  </si>
  <si>
    <t>Perangkat ID</t>
  </si>
  <si>
    <t>SN</t>
  </si>
  <si>
    <t>ODP</t>
  </si>
  <si>
    <t>Tgl Aktif</t>
  </si>
  <si>
    <t>Panjang Kabel</t>
  </si>
  <si>
    <t>PON OLT</t>
  </si>
  <si>
    <t>Keterangan</t>
  </si>
  <si>
    <t>Status</t>
  </si>
  <si>
    <t>Link Foto</t>
  </si>
  <si>
    <t>Link Maps</t>
  </si>
  <si>
    <t>WA - Konfirmasi
RT/RW</t>
  </si>
  <si>
    <t>WA - Umum</t>
  </si>
  <si>
    <t>WA - Invoice
Tagihan</t>
  </si>
  <si>
    <t>WA - Foto/Lokasi</t>
  </si>
  <si>
    <t>SSID</t>
  </si>
  <si>
    <t>Password WiFi</t>
  </si>
  <si>
    <t>VLAN</t>
  </si>
  <si>
    <t>Tipe ONU</t>
  </si>
  <si>
    <t>Jatuh Tempo
Bulan Ini</t>
  </si>
  <si>
    <t>WA - Ingatkan
(H-3)</t>
  </si>
  <si>
    <t>WA - Jatuh Tempo
Hari Ini</t>
  </si>
  <si>
    <t>WA - Lewat
Tempo</t>
  </si>
  <si>
    <t>Tagihan Bln-1
(Pro-rata)</t>
  </si>
  <si>
    <t>WA - Invoice
Pelanggan Baru</t>
  </si>
  <si>
    <t>Port OLT</t>
  </si>
  <si>
    <t>Index OLT</t>
  </si>
  <si>
    <t>Profile</t>
  </si>
  <si>
    <t>VLAN OLT</t>
  </si>
  <si>
    <t>Redaman
(dBm)</t>
  </si>
  <si>
    <t>SN Lama</t>
  </si>
  <si>
    <t>Teknisi
Pasang</t>
  </si>
  <si>
    <t>G-15226030001</t>
  </si>
  <si>
    <t>KANTOR</t>
  </si>
  <si>
    <t xml:space="preserve"> </t>
  </si>
  <si>
    <t>Gumelar</t>
  </si>
  <si>
    <t>Banyumas</t>
  </si>
  <si>
    <t>AR-6</t>
  </si>
  <si>
    <t>10.152.2.2</t>
  </si>
  <si>
    <t>1/1/8:2</t>
  </si>
  <si>
    <t>FREE</t>
  </si>
  <si>
    <t>Aktif</t>
  </si>
  <si>
    <t>G-15226030002</t>
  </si>
  <si>
    <t>PERTASHOP</t>
  </si>
  <si>
    <t>AR-4</t>
  </si>
  <si>
    <t>10.152.3.2</t>
  </si>
  <si>
    <t>PG-1522602026</t>
  </si>
  <si>
    <t>HWTC072EFD8F</t>
  </si>
  <si>
    <t>1/1/8:1</t>
  </si>
  <si>
    <t>G-15226031001</t>
  </si>
  <si>
    <t>JUNO</t>
  </si>
  <si>
    <t xml:space="preserve"> 3302150207710002</t>
  </si>
  <si>
    <t>081391345444</t>
  </si>
  <si>
    <t>CIHONJE</t>
  </si>
  <si>
    <t>AR-3</t>
  </si>
  <si>
    <t>10.152.7.246</t>
  </si>
  <si>
    <t>PG-1522602001</t>
  </si>
  <si>
    <t>HWTC072EC10F</t>
  </si>
  <si>
    <t>1/1/3:1</t>
  </si>
  <si>
    <t>G-15226031501</t>
  </si>
  <si>
    <t>TAMIRAH</t>
  </si>
  <si>
    <t>3302154902770003</t>
  </si>
  <si>
    <t>081210984891</t>
  </si>
  <si>
    <t>AR-2</t>
  </si>
  <si>
    <t>10.152.6.30</t>
  </si>
  <si>
    <t>PG-1522602002</t>
  </si>
  <si>
    <t>HWTC072EB97F</t>
  </si>
  <si>
    <t>1/1/3:2</t>
  </si>
  <si>
    <t>G-15226031502</t>
  </si>
  <si>
    <t>SARWO</t>
  </si>
  <si>
    <t>085718161841</t>
  </si>
  <si>
    <t>10.152.5.6</t>
  </si>
  <si>
    <t>PG-1522602003</t>
  </si>
  <si>
    <t>ZXIC074F370F</t>
  </si>
  <si>
    <t>1/1/7:1</t>
  </si>
  <si>
    <t>G-15226031503</t>
  </si>
  <si>
    <t>TRIYONO</t>
  </si>
  <si>
    <t>089655661661</t>
  </si>
  <si>
    <t>10.152.6.6</t>
  </si>
  <si>
    <t>PG-1522602004</t>
  </si>
  <si>
    <t>HWTC072EB0EF</t>
  </si>
  <si>
    <t>1/1/7:3</t>
  </si>
  <si>
    <t>G-15226031504</t>
  </si>
  <si>
    <t>WAIFRON</t>
  </si>
  <si>
    <t>10.152.6.14</t>
  </si>
  <si>
    <t>PG-1522602005</t>
  </si>
  <si>
    <t>HWTC072ECDEF</t>
  </si>
  <si>
    <t>1/1/7:5</t>
  </si>
  <si>
    <t>G-15226031505</t>
  </si>
  <si>
    <t>WARSITO</t>
  </si>
  <si>
    <t>3302150603800003</t>
  </si>
  <si>
    <t>082225429479</t>
  </si>
  <si>
    <t>10.152.6.2</t>
  </si>
  <si>
    <t>PG-1522602006</t>
  </si>
  <si>
    <t>HWTC072ED2EF</t>
  </si>
  <si>
    <t>1/1/7:2</t>
  </si>
  <si>
    <t>G-15226031506</t>
  </si>
  <si>
    <t>RUMINAH</t>
  </si>
  <si>
    <t>3302155503810001</t>
  </si>
  <si>
    <t>082326822082</t>
  </si>
  <si>
    <t>10.152.6.10</t>
  </si>
  <si>
    <t>PG-1522602007</t>
  </si>
  <si>
    <t>HWTC072F20FF</t>
  </si>
  <si>
    <t>1/1/7:4</t>
  </si>
  <si>
    <t>G-15226031507</t>
  </si>
  <si>
    <t>SUDIRMAN</t>
  </si>
  <si>
    <t>3302152506760001</t>
  </si>
  <si>
    <t>081327978228</t>
  </si>
  <si>
    <t xml:space="preserve">CIHONJE </t>
  </si>
  <si>
    <t>10.152.6.26</t>
  </si>
  <si>
    <t>PG-1522602008</t>
  </si>
  <si>
    <t>HWTC072F0E3F</t>
  </si>
  <si>
    <t>1/1/7:6</t>
  </si>
  <si>
    <t>G-15226031508</t>
  </si>
  <si>
    <t>ROMSIACH</t>
  </si>
  <si>
    <t>085870401985</t>
  </si>
  <si>
    <t>10.152.6.74</t>
  </si>
  <si>
    <t>PG-1522602009</t>
  </si>
  <si>
    <t>HWTC072EFDAF</t>
  </si>
  <si>
    <t>1/1/3:7</t>
  </si>
  <si>
    <t>G-15226031509</t>
  </si>
  <si>
    <t>MAMO</t>
  </si>
  <si>
    <t>082314025409</t>
  </si>
  <si>
    <t>10.152.6.38</t>
  </si>
  <si>
    <t>PG-1522602010</t>
  </si>
  <si>
    <t>HWTC072F1BEF</t>
  </si>
  <si>
    <t>1/1/3:4</t>
  </si>
  <si>
    <t>G-15226031510</t>
  </si>
  <si>
    <t>NURAISYIAH HARAHAP</t>
  </si>
  <si>
    <t>1272036005720001</t>
  </si>
  <si>
    <t>088988308850</t>
  </si>
  <si>
    <t>10.152.6.34</t>
  </si>
  <si>
    <t>PG-1522602011</t>
  </si>
  <si>
    <t>HWTC072EFDBF</t>
  </si>
  <si>
    <t>1/1/3:6</t>
  </si>
  <si>
    <t>G-15226031511</t>
  </si>
  <si>
    <t>DIARJO</t>
  </si>
  <si>
    <t>3302150702590001</t>
  </si>
  <si>
    <t>082328747500</t>
  </si>
  <si>
    <t>10.152.6.42</t>
  </si>
  <si>
    <t>PG-1522602012</t>
  </si>
  <si>
    <t>HWTC072F1F8F</t>
  </si>
  <si>
    <t>1/1/3:3</t>
  </si>
  <si>
    <t>G-15226031512</t>
  </si>
  <si>
    <t>DARIKEM</t>
  </si>
  <si>
    <t>3302154808710001</t>
  </si>
  <si>
    <t>081330572154</t>
  </si>
  <si>
    <t>10.152.6.62</t>
  </si>
  <si>
    <t>PG-1522602013</t>
  </si>
  <si>
    <t>ZXIC074F3B1F</t>
  </si>
  <si>
    <t>1/1/3:9</t>
  </si>
  <si>
    <t>G-15226031513</t>
  </si>
  <si>
    <t>SUSONO</t>
  </si>
  <si>
    <t>085723147685</t>
  </si>
  <si>
    <t>10.152.6.22</t>
  </si>
  <si>
    <t>PG-1522602014</t>
  </si>
  <si>
    <t>HWTC072EB0AF</t>
  </si>
  <si>
    <t>1/1/7:7</t>
  </si>
  <si>
    <t>G-15226031514</t>
  </si>
  <si>
    <t>RATIMAH</t>
  </si>
  <si>
    <t>085129751854</t>
  </si>
  <si>
    <t>10.152.6.18</t>
  </si>
  <si>
    <t>PG-1522602015</t>
  </si>
  <si>
    <t>HWTC072ED9DF</t>
  </si>
  <si>
    <t>1/1/7:8</t>
  </si>
  <si>
    <t>G-15226031515</t>
  </si>
  <si>
    <t>KHADIS WAHYONO</t>
  </si>
  <si>
    <t>3302151405890001</t>
  </si>
  <si>
    <t>08</t>
  </si>
  <si>
    <t>GUMELAR</t>
  </si>
  <si>
    <t>PG-1522602016</t>
  </si>
  <si>
    <t>HWTC072EAC8F</t>
  </si>
  <si>
    <t>1/1/1:1</t>
  </si>
  <si>
    <t>sudah tdk berlangganan</t>
  </si>
  <si>
    <t>Berhenti</t>
  </si>
  <si>
    <t>G-15226031516</t>
  </si>
  <si>
    <t>HERIYADI</t>
  </si>
  <si>
    <t>3302150810750002</t>
  </si>
  <si>
    <t>085724916029</t>
  </si>
  <si>
    <t>10.152.6.46</t>
  </si>
  <si>
    <t>PG-1522602017</t>
  </si>
  <si>
    <t>HWTC072ED89F</t>
  </si>
  <si>
    <t>1/1/5:1</t>
  </si>
  <si>
    <t>G-15226031517</t>
  </si>
  <si>
    <t>DARYANTI</t>
  </si>
  <si>
    <t>3302155810790001</t>
  </si>
  <si>
    <t>088219526660</t>
  </si>
  <si>
    <t>10.152.6.66</t>
  </si>
  <si>
    <t>PG-1522602018</t>
  </si>
  <si>
    <t>HWTC072EFD9F</t>
  </si>
  <si>
    <t>1/1/3:11</t>
  </si>
  <si>
    <t>G-15226031518</t>
  </si>
  <si>
    <t>RUJININGSIH</t>
  </si>
  <si>
    <t>3302156202840001</t>
  </si>
  <si>
    <t>082242004007</t>
  </si>
  <si>
    <t>10.152.4.6</t>
  </si>
  <si>
    <t>PG-1522602019</t>
  </si>
  <si>
    <t>HWTC072F20AF</t>
  </si>
  <si>
    <t>1/1/3:8</t>
  </si>
  <si>
    <t>G-15226031519</t>
  </si>
  <si>
    <t>RAGIL NONO DARSONO</t>
  </si>
  <si>
    <t>3302151502840005</t>
  </si>
  <si>
    <t>08128687669</t>
  </si>
  <si>
    <t>10.152.6.58</t>
  </si>
  <si>
    <t>PG-1522602020</t>
  </si>
  <si>
    <t>HWTC072EE89F</t>
  </si>
  <si>
    <t>1/1/1:2</t>
  </si>
  <si>
    <t>G-15226031520</t>
  </si>
  <si>
    <t>DESTI DWI HARIYANTO</t>
  </si>
  <si>
    <t>081327310004</t>
  </si>
  <si>
    <t>10.152.6.50</t>
  </si>
  <si>
    <t>PG-1522602021</t>
  </si>
  <si>
    <t>HWTC072EDEDF</t>
  </si>
  <si>
    <t>1/1/5:3</t>
  </si>
  <si>
    <t>G-15226031521</t>
  </si>
  <si>
    <t>MAKIR</t>
  </si>
  <si>
    <t>089682547470</t>
  </si>
  <si>
    <t>10.152.6.82</t>
  </si>
  <si>
    <t>PG-1522602022</t>
  </si>
  <si>
    <t>HWTC072EBC0F</t>
  </si>
  <si>
    <t>1/1/3:5</t>
  </si>
  <si>
    <t>G-15226031522</t>
  </si>
  <si>
    <t>RUDI</t>
  </si>
  <si>
    <t>330109130190001</t>
  </si>
  <si>
    <t>081393530501</t>
  </si>
  <si>
    <t>10.152.6.70</t>
  </si>
  <si>
    <t>PG-1522602023</t>
  </si>
  <si>
    <t>HWTC072EFDCF</t>
  </si>
  <si>
    <t>1/1/3:10</t>
  </si>
  <si>
    <t>G-15226031523</t>
  </si>
  <si>
    <t>KIRWONO</t>
  </si>
  <si>
    <t>081393961008</t>
  </si>
  <si>
    <t>10.152.6.78</t>
  </si>
  <si>
    <t>PG-1522602024</t>
  </si>
  <si>
    <t>HWTC072EBEBF</t>
  </si>
  <si>
    <t>1/1/5:2</t>
  </si>
  <si>
    <t>G-15226031524</t>
  </si>
  <si>
    <t>SUHARDONO</t>
  </si>
  <si>
    <t>3302150712550001</t>
  </si>
  <si>
    <t>081391126335</t>
  </si>
  <si>
    <t>10.152.5.10</t>
  </si>
  <si>
    <t>PG-1522602025</t>
  </si>
  <si>
    <t>HWTC072EE2EF</t>
  </si>
  <si>
    <t>1/1/3:12</t>
  </si>
  <si>
    <t>G-15226031526</t>
  </si>
  <si>
    <t>KISLAM</t>
  </si>
  <si>
    <t>3302150412800003</t>
  </si>
  <si>
    <t>088242931049</t>
  </si>
  <si>
    <t>10.152.6.90</t>
  </si>
  <si>
    <t>PG-1522602027</t>
  </si>
  <si>
    <t>HWTC072EF38F</t>
  </si>
  <si>
    <t>1/1/3:14</t>
  </si>
  <si>
    <t>KUSWORO</t>
  </si>
  <si>
    <t>081226762523</t>
  </si>
  <si>
    <t>G-15226033001</t>
  </si>
  <si>
    <t>CARSUM</t>
  </si>
  <si>
    <t>3302150709670001</t>
  </si>
  <si>
    <t>081466742039</t>
  </si>
  <si>
    <t>10.152.6.94</t>
  </si>
  <si>
    <t>PG-1522602028</t>
  </si>
  <si>
    <t>HWTC072EDF7F</t>
  </si>
  <si>
    <t>1/1/3:15</t>
  </si>
  <si>
    <t>G-15226033002</t>
  </si>
  <si>
    <t>JONI SAPUTRA</t>
  </si>
  <si>
    <t>3302152508930002</t>
  </si>
  <si>
    <t>082242521687</t>
  </si>
  <si>
    <t>10.152.6.98</t>
  </si>
  <si>
    <t>PG-1522602029</t>
  </si>
  <si>
    <t>HWTC072F214F</t>
  </si>
  <si>
    <t>1/1/7:9</t>
  </si>
  <si>
    <t>G-15226033101</t>
  </si>
  <si>
    <t>P YUSUF</t>
  </si>
  <si>
    <t>10.152.7.254</t>
  </si>
  <si>
    <t>PG-1522602030</t>
  </si>
  <si>
    <t>HWTC072EB51F</t>
  </si>
  <si>
    <t>1/1/8:3</t>
  </si>
  <si>
    <t>G-15226040601</t>
  </si>
  <si>
    <t>SUSANTO</t>
  </si>
  <si>
    <t>3302151610770001</t>
  </si>
  <si>
    <t>081391645540</t>
  </si>
  <si>
    <t>10.152.6.102</t>
  </si>
  <si>
    <t>PG-1522602031</t>
  </si>
  <si>
    <t>HWTC072EF7DF</t>
  </si>
  <si>
    <t>1/1/3:16</t>
  </si>
  <si>
    <t>G-15226040801</t>
  </si>
  <si>
    <t>SRI MULYONO</t>
  </si>
  <si>
    <t>3302150506720002</t>
  </si>
  <si>
    <t>081235890818</t>
  </si>
  <si>
    <t>10.152.6.106</t>
  </si>
  <si>
    <t>PG-1522602032</t>
  </si>
  <si>
    <t xml:space="preserve">HWTC072EBFFF
</t>
  </si>
  <si>
    <t>1/1/7:10</t>
  </si>
  <si>
    <t>G-15226041101</t>
  </si>
  <si>
    <t>SURIPTO/RIDHO</t>
  </si>
  <si>
    <t>3302152801870001</t>
  </si>
  <si>
    <t>085724673127</t>
  </si>
  <si>
    <t>10.152.6.110</t>
  </si>
  <si>
    <t>PG-1522602033</t>
  </si>
  <si>
    <t>HWTC072EBEAF</t>
  </si>
  <si>
    <t>1/1/4:1</t>
  </si>
  <si>
    <t>G-15226041401</t>
  </si>
  <si>
    <t>SUPRIYANTO</t>
  </si>
  <si>
    <t>3302151407020002</t>
  </si>
  <si>
    <t>082324965898</t>
  </si>
  <si>
    <t>CIWARAS</t>
  </si>
  <si>
    <t>10.152.6.114</t>
  </si>
  <si>
    <t>PG-1522602034</t>
  </si>
  <si>
    <t>WHTC072ECE6F</t>
  </si>
  <si>
    <t>14/04/2026</t>
  </si>
  <si>
    <t>1/1/7:11</t>
  </si>
  <si>
    <t>G-15226041402</t>
  </si>
  <si>
    <t>SUSIYAH</t>
  </si>
  <si>
    <t>3302154411800001</t>
  </si>
  <si>
    <t>082234888094</t>
  </si>
  <si>
    <t>10.152.6.118</t>
  </si>
  <si>
    <t>PG-1522602035</t>
  </si>
  <si>
    <t>HWTC072EDA4F</t>
  </si>
  <si>
    <t>14-04-2026</t>
  </si>
  <si>
    <t>1/1/7:12</t>
  </si>
  <si>
    <t>G-15226041501</t>
  </si>
  <si>
    <t>ADITIA</t>
  </si>
  <si>
    <t>3302150908960001</t>
  </si>
  <si>
    <t>082224135360</t>
  </si>
  <si>
    <t>10.152.6.122</t>
  </si>
  <si>
    <t>PG-1522602036</t>
  </si>
  <si>
    <t>HWTC072ED90F</t>
  </si>
  <si>
    <t>15/04/2026</t>
  </si>
  <si>
    <t>1/1/5:4</t>
  </si>
  <si>
    <t>G-15226041901</t>
  </si>
  <si>
    <t>BALAI DESA CIHONJE</t>
  </si>
  <si>
    <t>10.152.6.126</t>
  </si>
  <si>
    <t>PG-1522602037</t>
  </si>
  <si>
    <t>HWTC072EE3BF</t>
  </si>
  <si>
    <t>19-04-2026</t>
  </si>
  <si>
    <t>1/1/5:5</t>
  </si>
  <si>
    <t>G-15226042001</t>
  </si>
  <si>
    <t>IPUNG PURWANINGSIH</t>
  </si>
  <si>
    <t>331419580750001</t>
  </si>
  <si>
    <t>082113131922</t>
  </si>
  <si>
    <t>10.152.6.130</t>
  </si>
  <si>
    <t>PG-1522602038</t>
  </si>
  <si>
    <t>HWTC072F06AF</t>
  </si>
  <si>
    <t>20/04/2026</t>
  </si>
  <si>
    <t>1/1/3:17</t>
  </si>
  <si>
    <t>G-15226031601</t>
  </si>
  <si>
    <t>HERI SUTRISNO</t>
  </si>
  <si>
    <t>3302152903860002</t>
  </si>
  <si>
    <t>0895335585722</t>
  </si>
  <si>
    <t>10.152.6.86</t>
  </si>
  <si>
    <t>PG-1522602039</t>
  </si>
  <si>
    <t>HWTC072EFDDF</t>
  </si>
  <si>
    <t>1/1/3:13</t>
  </si>
  <si>
    <t>G-15226042701</t>
  </si>
  <si>
    <t>WATIM WALUYO</t>
  </si>
  <si>
    <t>3302151206570001</t>
  </si>
  <si>
    <t>085227420205</t>
  </si>
  <si>
    <t>10.152.6.134</t>
  </si>
  <si>
    <t>PG-1522602040</t>
  </si>
  <si>
    <t>WHTC072EAACF</t>
  </si>
  <si>
    <t>27/04/2026</t>
  </si>
  <si>
    <t>1/1/3:18</t>
  </si>
  <si>
    <t>G-15226042801</t>
  </si>
  <si>
    <t>RASUM</t>
  </si>
  <si>
    <t>3302150102780003</t>
  </si>
  <si>
    <t>081327211076</t>
  </si>
  <si>
    <t xml:space="preserve">GUMELAR </t>
  </si>
  <si>
    <t>10.152.6.138</t>
  </si>
  <si>
    <t>PG-1522602041</t>
  </si>
  <si>
    <t>WHTC072ED92F</t>
  </si>
  <si>
    <t>28/04/2026</t>
  </si>
  <si>
    <t>1/1/2:2</t>
  </si>
  <si>
    <t>G-15226042802</t>
  </si>
  <si>
    <t>ESTININGSIH</t>
  </si>
  <si>
    <t>3302155507820002</t>
  </si>
  <si>
    <t>08812640314</t>
  </si>
  <si>
    <t>10.152.6.142</t>
  </si>
  <si>
    <t>PG-1522602042</t>
  </si>
  <si>
    <t>HWTC072EF3BF</t>
  </si>
  <si>
    <t>1/1/2:1</t>
  </si>
  <si>
    <t>G-15226050201</t>
  </si>
  <si>
    <t>DARTAM</t>
  </si>
  <si>
    <t>3302152712560001</t>
  </si>
  <si>
    <t>085771149277</t>
  </si>
  <si>
    <t>CILANGKAP</t>
  </si>
  <si>
    <t>10.152.6.146</t>
  </si>
  <si>
    <t>PG-1522602043</t>
  </si>
  <si>
    <t>HWTC072EA60F</t>
  </si>
  <si>
    <t>1/1/4:2</t>
  </si>
  <si>
    <t>G-15226050301</t>
  </si>
  <si>
    <t>MIFTAHUL UMAM</t>
  </si>
  <si>
    <t>3302230308870001</t>
  </si>
  <si>
    <t>085727326438</t>
  </si>
  <si>
    <t>10.152.5.18</t>
  </si>
  <si>
    <t>PG-1522602044</t>
  </si>
  <si>
    <t>ZXIC074F352F</t>
  </si>
  <si>
    <t>G-15226050401</t>
  </si>
  <si>
    <t>TAMIARJO TARSIWAN</t>
  </si>
  <si>
    <t>3302152007650002</t>
  </si>
  <si>
    <t>085227374014</t>
  </si>
  <si>
    <t>10.152.6.150</t>
  </si>
  <si>
    <t>PG-1522602045</t>
  </si>
  <si>
    <t>HWTC072ED83F</t>
  </si>
  <si>
    <t>1/1/2:3</t>
  </si>
  <si>
    <t>G-15226050701</t>
  </si>
  <si>
    <t>WARGIYATI</t>
  </si>
  <si>
    <t>3302155507930001</t>
  </si>
  <si>
    <t>085772538475</t>
  </si>
  <si>
    <t xml:space="preserve">10.152.6.170 </t>
  </si>
  <si>
    <t>PG-1522602046</t>
  </si>
  <si>
    <t>HWTC072F069F</t>
  </si>
  <si>
    <t>1/1/8:8</t>
  </si>
  <si>
    <t>G-15226040117</t>
  </si>
  <si>
    <t>SUSMIATI-DARTO</t>
  </si>
  <si>
    <t>330344107840043</t>
  </si>
  <si>
    <t>088233428045</t>
  </si>
  <si>
    <t>10.152.6.162</t>
  </si>
  <si>
    <t>PG-1522602047</t>
  </si>
  <si>
    <t>HWTC072EBF8F</t>
  </si>
  <si>
    <t>1/1/8:7</t>
  </si>
  <si>
    <t>G-15226040118</t>
  </si>
  <si>
    <t>KARSUN</t>
  </si>
  <si>
    <t>3303044107840043</t>
  </si>
  <si>
    <t>10.152.6.166</t>
  </si>
  <si>
    <t>PG-1522602048</t>
  </si>
  <si>
    <t>HWTC072EB0DF</t>
  </si>
  <si>
    <t>1/1/8:6</t>
  </si>
  <si>
    <t>G-15226050601</t>
  </si>
  <si>
    <t>NARSO</t>
  </si>
  <si>
    <t>3302153112690025</t>
  </si>
  <si>
    <t>085864519418</t>
  </si>
  <si>
    <t>10.152.6.154</t>
  </si>
  <si>
    <t>PG-1522602049</t>
  </si>
  <si>
    <t>ZXIC074F396F</t>
  </si>
  <si>
    <t>1/1/8:5</t>
  </si>
  <si>
    <t>G-15226050602</t>
  </si>
  <si>
    <t>RAPIN</t>
  </si>
  <si>
    <t>085291942355</t>
  </si>
  <si>
    <t>10.152.6.158</t>
  </si>
  <si>
    <t>PG-1522602050</t>
  </si>
  <si>
    <t>ZXIC074F379F</t>
  </si>
  <si>
    <t>1/1/8:4</t>
  </si>
  <si>
    <t>G-15226051001</t>
  </si>
  <si>
    <t>KAMINAH</t>
  </si>
  <si>
    <t>330215660986003</t>
  </si>
  <si>
    <t>085776907939</t>
  </si>
  <si>
    <t>10.152.6.174</t>
  </si>
  <si>
    <t>PG-1522602051</t>
  </si>
  <si>
    <t>HWTC072EB2DF</t>
  </si>
  <si>
    <t>1/1/8:9</t>
  </si>
  <si>
    <t>G-15226051002</t>
  </si>
  <si>
    <t>SRI WAHYUNI</t>
  </si>
  <si>
    <t>088985752052</t>
  </si>
  <si>
    <t>10.152.6.176</t>
  </si>
  <si>
    <t>PG-1522602052</t>
  </si>
  <si>
    <t>HWTC072EBECF</t>
  </si>
  <si>
    <t>1/1/8:10</t>
  </si>
  <si>
    <t>G-15226040123</t>
  </si>
  <si>
    <t>ARI WINDIARTI</t>
  </si>
  <si>
    <t>082116141773</t>
  </si>
  <si>
    <t>10.152.6.182</t>
  </si>
  <si>
    <t>PG-1522602053</t>
  </si>
  <si>
    <t>HWTC072ED88F</t>
  </si>
  <si>
    <t>1/1/10:1</t>
  </si>
  <si>
    <t>G-15226040124</t>
  </si>
  <si>
    <t>MUHAMAD BAHRUL ULUM</t>
  </si>
  <si>
    <t>3328060808960008</t>
  </si>
  <si>
    <t>085860048680</t>
  </si>
  <si>
    <t>10.152.6.186</t>
  </si>
  <si>
    <t>PG-1522602054</t>
  </si>
  <si>
    <t>ZXIC074F3C4F</t>
  </si>
  <si>
    <t>1/1/2:4</t>
  </si>
  <si>
    <t>G-15226040125</t>
  </si>
  <si>
    <t>EFA FRISTIANA</t>
  </si>
  <si>
    <t>3302155205850001</t>
  </si>
  <si>
    <t>088806688149</t>
  </si>
  <si>
    <t>10.152.6.190</t>
  </si>
  <si>
    <t>PG-1522602055</t>
  </si>
  <si>
    <t>ZXIC074F395F</t>
  </si>
  <si>
    <t>1/1/1:4</t>
  </si>
  <si>
    <t>G-15226040126</t>
  </si>
  <si>
    <t>ROHYATI</t>
  </si>
  <si>
    <t>3302156704720002</t>
  </si>
  <si>
    <t>082143168988</t>
  </si>
  <si>
    <t>10.152.5.22</t>
  </si>
  <si>
    <t>PG-1522602056</t>
  </si>
  <si>
    <t>ZXIC074F3B8F</t>
  </si>
  <si>
    <t>14/05/2026</t>
  </si>
  <si>
    <t>1/1/12:2</t>
  </si>
  <si>
    <t>G-15226040127</t>
  </si>
  <si>
    <t>ADI JUNAIDI</t>
  </si>
  <si>
    <t>3302152606840003</t>
  </si>
  <si>
    <t>085385768459</t>
  </si>
  <si>
    <t>10.152.3.6</t>
  </si>
  <si>
    <t>PG-1522602057</t>
  </si>
  <si>
    <t>ZXIC074F3A3F</t>
  </si>
  <si>
    <t>1/1/12:1</t>
  </si>
  <si>
    <t>G-15226040128</t>
  </si>
  <si>
    <t>SUMARNO NARKUM</t>
  </si>
  <si>
    <t>3302150811690001</t>
  </si>
  <si>
    <t>08987835588</t>
  </si>
  <si>
    <t>10.152.6.194</t>
  </si>
  <si>
    <t>PG-1522602058</t>
  </si>
  <si>
    <t>ZXIC074F345F</t>
  </si>
  <si>
    <t>1/1/2:5</t>
  </si>
  <si>
    <t>G-15226040129</t>
  </si>
  <si>
    <t>KISNO</t>
  </si>
  <si>
    <t>3302151508720004</t>
  </si>
  <si>
    <t>085132198248</t>
  </si>
  <si>
    <t>10.152.6.198</t>
  </si>
  <si>
    <t>PG-1522602059</t>
  </si>
  <si>
    <t>ZXIC074F3B5F</t>
  </si>
  <si>
    <t>1/1/1:5</t>
  </si>
  <si>
    <t>G-15226040130</t>
  </si>
  <si>
    <t>CARWAN</t>
  </si>
  <si>
    <t>3302152104750002</t>
  </si>
  <si>
    <t>085291100114</t>
  </si>
  <si>
    <t>10.152.5.54</t>
  </si>
  <si>
    <t>PG-1522602060</t>
  </si>
  <si>
    <t>ZXIC074F3A9F</t>
  </si>
  <si>
    <t>1/1/8:11</t>
  </si>
  <si>
    <t>G-15226040131</t>
  </si>
  <si>
    <t>TARWONO</t>
  </si>
  <si>
    <t>3302151608780004</t>
  </si>
  <si>
    <t>088221161969</t>
  </si>
  <si>
    <t>10.152.6.206</t>
  </si>
  <si>
    <t>PG-1522602061</t>
  </si>
  <si>
    <t>ZXIC074F3C7F</t>
  </si>
  <si>
    <t>15/05/2026</t>
  </si>
  <si>
    <t>1/1/8:12</t>
  </si>
  <si>
    <t>G-15226040132</t>
  </si>
  <si>
    <t>WAHYOTO</t>
  </si>
  <si>
    <t>085210254175</t>
  </si>
  <si>
    <t xml:space="preserve"> 10.152.5.30</t>
  </si>
  <si>
    <t>PG-1522602062</t>
  </si>
  <si>
    <t>ZXIC074F3ADF</t>
  </si>
  <si>
    <t xml:space="preserve"> 15/05/2026</t>
  </si>
  <si>
    <t>1/1/12:4</t>
  </si>
  <si>
    <t>G-15226040133</t>
  </si>
  <si>
    <t>RIZAL YUSUF BASTIAN</t>
  </si>
  <si>
    <t>3302152508990004</t>
  </si>
  <si>
    <t>082225897108</t>
  </si>
  <si>
    <t>10.152.5.26</t>
  </si>
  <si>
    <t>PG-1522602063</t>
  </si>
  <si>
    <t>ZXIC074F38AF</t>
  </si>
  <si>
    <t>1/1/12:3</t>
  </si>
  <si>
    <t>G-15226040134</t>
  </si>
  <si>
    <t>DARYOTO</t>
  </si>
  <si>
    <t>3302151111770001</t>
  </si>
  <si>
    <t>085713062096</t>
  </si>
  <si>
    <t>10.152.5.34</t>
  </si>
  <si>
    <t>PG-1522602064</t>
  </si>
  <si>
    <t>ZXIC074F3F0F</t>
  </si>
  <si>
    <t>1/1/12:5</t>
  </si>
  <si>
    <t>G-15226040135</t>
  </si>
  <si>
    <t>KUSMANTO</t>
  </si>
  <si>
    <t>085741743349</t>
  </si>
  <si>
    <t>10.152.6.214</t>
  </si>
  <si>
    <t>PG-1522602065</t>
  </si>
  <si>
    <t>ZXIC074F3CAF</t>
  </si>
  <si>
    <t>16/05/2026</t>
  </si>
  <si>
    <t>1/1/8:13</t>
  </si>
  <si>
    <t>G-15226040136</t>
  </si>
  <si>
    <t>ALESHA</t>
  </si>
  <si>
    <t>08511947462</t>
  </si>
  <si>
    <t>10.152.6.210</t>
  </si>
  <si>
    <t>PG-1522602066</t>
  </si>
  <si>
    <t>ZXIC074F346F</t>
  </si>
  <si>
    <t>1/1/1:6</t>
  </si>
  <si>
    <t>G-15226040137</t>
  </si>
  <si>
    <t>GAYUH MUTIARA NISA</t>
  </si>
  <si>
    <t>3302156003040001</t>
  </si>
  <si>
    <t>082265028650</t>
  </si>
  <si>
    <t>10.152.7.18</t>
  </si>
  <si>
    <t>PG-1522602067</t>
  </si>
  <si>
    <t>ZXIC074F3D0F</t>
  </si>
  <si>
    <t>1/1/2:6</t>
  </si>
  <si>
    <t>G-15226040138</t>
  </si>
  <si>
    <t>UMI LESTARI</t>
  </si>
  <si>
    <t>3302154707970001</t>
  </si>
  <si>
    <t>081230498371</t>
  </si>
  <si>
    <t>10.152.6.222</t>
  </si>
  <si>
    <t>PG-1522602068</t>
  </si>
  <si>
    <t>ZXIC074F3F1F</t>
  </si>
  <si>
    <t>1/1/2:7</t>
  </si>
  <si>
    <t>G-15226040139</t>
  </si>
  <si>
    <t>TARSUM</t>
  </si>
  <si>
    <t>3302150709800001</t>
  </si>
  <si>
    <t>085931482360</t>
  </si>
  <si>
    <t>10.152.6.226</t>
  </si>
  <si>
    <t>PG-1522602069</t>
  </si>
  <si>
    <t>ZXIC074F3C6F</t>
  </si>
  <si>
    <t>1/1/3:19</t>
  </si>
  <si>
    <t>G-15226040140</t>
  </si>
  <si>
    <t>KARSINEM</t>
  </si>
  <si>
    <t>3302157112610037</t>
  </si>
  <si>
    <t>085803483670</t>
  </si>
  <si>
    <t>10.152.6.230</t>
  </si>
  <si>
    <t>PG-1522602070</t>
  </si>
  <si>
    <t>ZXIC074F397F</t>
  </si>
  <si>
    <t>1/1/1:7</t>
  </si>
  <si>
    <t>G-15226040141</t>
  </si>
  <si>
    <t>RUSLITO</t>
  </si>
  <si>
    <t>3302151005720006</t>
  </si>
  <si>
    <t>085122002383</t>
  </si>
  <si>
    <t>10.152.5.38</t>
  </si>
  <si>
    <t>PG-1522602071</t>
  </si>
  <si>
    <t>ZXIC074F387F</t>
  </si>
  <si>
    <t>1/1/12:6</t>
  </si>
  <si>
    <t>G-15226040142</t>
  </si>
  <si>
    <t>SUWOTO</t>
  </si>
  <si>
    <t>081575273566</t>
  </si>
  <si>
    <t>10.152.5.42</t>
  </si>
  <si>
    <t>PG-1522602072</t>
  </si>
  <si>
    <t>ZXIC074F3AEF</t>
  </si>
  <si>
    <t>1/1/12:7</t>
  </si>
  <si>
    <t>G-15226040143</t>
  </si>
  <si>
    <t>MEI EKOWATI</t>
  </si>
  <si>
    <t>3302156705870001</t>
  </si>
  <si>
    <t>0822019016723</t>
  </si>
  <si>
    <t>10.152.6.234</t>
  </si>
  <si>
    <t>PG-1522602073</t>
  </si>
  <si>
    <t>ZXIC074F391F</t>
  </si>
  <si>
    <t>1/1/4:3</t>
  </si>
  <si>
    <t>G-15226050231</t>
  </si>
  <si>
    <t>BHANU CHRISSIE A</t>
  </si>
  <si>
    <t>3302151811810001</t>
  </si>
  <si>
    <t>081226666606</t>
  </si>
  <si>
    <t>10.152.5.46</t>
  </si>
  <si>
    <t>PG-1522602074</t>
  </si>
  <si>
    <t>ZXIC074F37FF</t>
  </si>
  <si>
    <t>1/1/11:15</t>
  </si>
  <si>
    <t>G-15226050232</t>
  </si>
  <si>
    <t>BURHAN</t>
  </si>
  <si>
    <t>3302211009970002</t>
  </si>
  <si>
    <t>087848116042</t>
  </si>
  <si>
    <t>10.152.5.50</t>
  </si>
  <si>
    <t>PG-1522602075</t>
  </si>
  <si>
    <t>ZXIC074F394F</t>
  </si>
  <si>
    <t>1/1/11:2</t>
  </si>
  <si>
    <t>G-15226050233</t>
  </si>
  <si>
    <t>RUMBINI</t>
  </si>
  <si>
    <t>3302154406900001</t>
  </si>
  <si>
    <t>082137747425</t>
  </si>
  <si>
    <t>10.152.6.246</t>
  </si>
  <si>
    <t>PG-1522602076</t>
  </si>
  <si>
    <t>ZXIC074F3C2F</t>
  </si>
  <si>
    <t>1/1/7:13</t>
  </si>
  <si>
    <t>G-15226050234</t>
  </si>
  <si>
    <t>KASTINAH</t>
  </si>
  <si>
    <t>3302155203620001</t>
  </si>
  <si>
    <t>081392056798</t>
  </si>
  <si>
    <t>10.152.6.24</t>
  </si>
  <si>
    <t>PG-1522602077</t>
  </si>
  <si>
    <t>ZXIC074F3EEF</t>
  </si>
  <si>
    <t>1/1/7:14</t>
  </si>
  <si>
    <t>G-15226050241</t>
  </si>
  <si>
    <t>IMAM SULISTIYO</t>
  </si>
  <si>
    <t>081392968665</t>
  </si>
  <si>
    <t>10.152.6.254</t>
  </si>
  <si>
    <t>PG-1522602078</t>
  </si>
  <si>
    <t>ZXIC074F3CFF</t>
  </si>
  <si>
    <t>1/1/11:4</t>
  </si>
  <si>
    <t>G-15226050242</t>
  </si>
  <si>
    <t>SRI MARTINI - IMAM ST</t>
  </si>
  <si>
    <t>085227195986</t>
  </si>
  <si>
    <t>10.152.6.250</t>
  </si>
  <si>
    <t>PG-1522602079</t>
  </si>
  <si>
    <t>ZXIC074F3CEF</t>
  </si>
  <si>
    <t>1/1/11:3</t>
  </si>
  <si>
    <t>G-15226050243</t>
  </si>
  <si>
    <t>ANJAR NUTRASARI</t>
  </si>
  <si>
    <t>3302156801900002</t>
  </si>
  <si>
    <t>082227062686</t>
  </si>
  <si>
    <t>10.152.4.2</t>
  </si>
  <si>
    <t>PG-1522602080</t>
  </si>
  <si>
    <t>ZXIC074F340F</t>
  </si>
  <si>
    <t>1/1/12:8</t>
  </si>
  <si>
    <t>G-15226050251</t>
  </si>
  <si>
    <t>NASIM-TURYATI</t>
  </si>
  <si>
    <t>3302150608770004</t>
  </si>
  <si>
    <t>08570319301</t>
  </si>
  <si>
    <t>10.152.6.202</t>
  </si>
  <si>
    <t>PG-1522602081</t>
  </si>
  <si>
    <t>HWTC072ED92F</t>
  </si>
  <si>
    <t>1/1/8:14</t>
  </si>
  <si>
    <t>G-15226050252</t>
  </si>
  <si>
    <t>KELURAHAN GUMELAR</t>
  </si>
  <si>
    <t>085291035035</t>
  </si>
  <si>
    <t>AR-5</t>
  </si>
  <si>
    <t>10.152.4.14</t>
  </si>
  <si>
    <t>PG-1522602082</t>
  </si>
  <si>
    <t>ZXIC074F3D6F</t>
  </si>
  <si>
    <t>1/1/11:5</t>
  </si>
  <si>
    <t>G-15226050253</t>
  </si>
  <si>
    <t>BAMBANG IRAWAN</t>
  </si>
  <si>
    <t>3302152212810002</t>
  </si>
  <si>
    <t>082136711377</t>
  </si>
  <si>
    <t>10.152.6.238</t>
  </si>
  <si>
    <t>PG-1522602083</t>
  </si>
  <si>
    <t>ZXC074F3EFF</t>
  </si>
  <si>
    <t>1/1/1:8</t>
  </si>
  <si>
    <t>G-15226050294</t>
  </si>
  <si>
    <t>AKHMAD NURYADIN</t>
  </si>
  <si>
    <t>3302152803830001</t>
  </si>
  <si>
    <t>085227450205</t>
  </si>
  <si>
    <t>10.152.5.66</t>
  </si>
  <si>
    <t>PG-1522602084</t>
  </si>
  <si>
    <t>ZXIC074F3A6F</t>
  </si>
  <si>
    <t>1/1/4:4</t>
  </si>
  <si>
    <t>G-15226053001</t>
  </si>
  <si>
    <t>WHELLY WALUYO</t>
  </si>
  <si>
    <t>3302151203650002</t>
  </si>
  <si>
    <t>085198554886</t>
  </si>
  <si>
    <t>10.152.7.10</t>
  </si>
  <si>
    <t>PG-1522602085</t>
  </si>
  <si>
    <t>ZXIC074F34EF</t>
  </si>
  <si>
    <t>1/1/11:7</t>
  </si>
  <si>
    <t>G-15226053002</t>
  </si>
  <si>
    <t>NEDJMA FELAMAYA</t>
  </si>
  <si>
    <t>3302154708080001</t>
  </si>
  <si>
    <t>085727326710</t>
  </si>
  <si>
    <t>10.152.7.6</t>
  </si>
  <si>
    <t>PG-1522602086</t>
  </si>
  <si>
    <t>ZXIC074F350F</t>
  </si>
  <si>
    <t>1/1/11:6</t>
  </si>
  <si>
    <t>G-1526053101</t>
  </si>
  <si>
    <t>DARYONO</t>
  </si>
  <si>
    <t>3302151010650006</t>
  </si>
  <si>
    <t>082137274135</t>
  </si>
  <si>
    <t>10.152.7.14</t>
  </si>
  <si>
    <t>PG-1522602087</t>
  </si>
  <si>
    <t>ZXIC074F3DDF</t>
  </si>
  <si>
    <t>1/1/10:2</t>
  </si>
  <si>
    <t>G-15226060101</t>
  </si>
  <si>
    <t>TARSIMAN</t>
  </si>
  <si>
    <t>3302151103680007</t>
  </si>
  <si>
    <t>10.152.7.2</t>
  </si>
  <si>
    <t>PG-1522602088</t>
  </si>
  <si>
    <t>ZXIC074F351F</t>
  </si>
  <si>
    <t>1/1/9:1</t>
  </si>
  <si>
    <t>G-15226060201</t>
  </si>
  <si>
    <t>DARILAH</t>
  </si>
  <si>
    <t>3302154709640003</t>
  </si>
  <si>
    <t>085227288544</t>
  </si>
  <si>
    <t>10.152.5.58</t>
  </si>
  <si>
    <t>PG-1522602089</t>
  </si>
  <si>
    <t>ZXIC074F3BCF</t>
  </si>
  <si>
    <t>1/1/11:8</t>
  </si>
  <si>
    <t>G-15226060202</t>
  </si>
  <si>
    <t>RAHAYU FAJAR S</t>
  </si>
  <si>
    <t>3302157112010001</t>
  </si>
  <si>
    <t>085712407083</t>
  </si>
  <si>
    <t>10.152.5.62</t>
  </si>
  <si>
    <t>PG-1522602090</t>
  </si>
  <si>
    <t>ZXIC074F3BBF</t>
  </si>
  <si>
    <t>1/1/16:1</t>
  </si>
  <si>
    <t>G-15226060501</t>
  </si>
  <si>
    <t>RATIMAN</t>
  </si>
  <si>
    <t>330215050970002</t>
  </si>
  <si>
    <t>081327376622</t>
  </si>
  <si>
    <t>10.152.5.70</t>
  </si>
  <si>
    <t>PG-1522602091</t>
  </si>
  <si>
    <t>ZXIC074F3D7F</t>
  </si>
  <si>
    <t>1/1/10:3</t>
  </si>
  <si>
    <t>G-15226060601</t>
  </si>
  <si>
    <t>KAMSU</t>
  </si>
  <si>
    <t>3302152703630001</t>
  </si>
  <si>
    <t>081329885718</t>
  </si>
  <si>
    <t>10.152.7.22</t>
  </si>
  <si>
    <t>PG-1522602092</t>
  </si>
  <si>
    <t>ZXIC074F376F</t>
  </si>
  <si>
    <t>1/1/13:1</t>
  </si>
  <si>
    <t>G-15226060701</t>
  </si>
  <si>
    <t>SLAMET WALUYO</t>
  </si>
  <si>
    <t>330215231090003</t>
  </si>
  <si>
    <t>10.152.7.26</t>
  </si>
  <si>
    <t>PG-1522602094</t>
  </si>
  <si>
    <t>ZXIC074F390F</t>
  </si>
  <si>
    <t>1/1/15:1</t>
  </si>
  <si>
    <t>G-15226060702</t>
  </si>
  <si>
    <t>NENI PONCOWATI</t>
  </si>
  <si>
    <t>3302154612820003</t>
  </si>
  <si>
    <t>085328623726</t>
  </si>
  <si>
    <t>10.152.7.30</t>
  </si>
  <si>
    <t>PG-1522602095</t>
  </si>
  <si>
    <t>ZXIC074F399F</t>
  </si>
  <si>
    <t>1/1/13:2</t>
  </si>
  <si>
    <t>G-15226060801</t>
  </si>
  <si>
    <t>DITO SUDITO</t>
  </si>
  <si>
    <t>3302152205720001</t>
  </si>
  <si>
    <t>082328542813</t>
  </si>
  <si>
    <t>10.152.6.54</t>
  </si>
  <si>
    <t>PG-1522602096</t>
  </si>
  <si>
    <t>ZXIC074F39AF</t>
  </si>
  <si>
    <t>1/1/3:20</t>
  </si>
  <si>
    <t>G-15226060802</t>
  </si>
  <si>
    <t>MURNIATI</t>
  </si>
  <si>
    <t>3302154104680002</t>
  </si>
  <si>
    <t>0886902043857</t>
  </si>
  <si>
    <t>PG-1522602097</t>
  </si>
  <si>
    <t>ZXIC074F385F</t>
  </si>
  <si>
    <t>1/1/16:2</t>
  </si>
  <si>
    <t>G-15226061001</t>
  </si>
  <si>
    <t>WONDO PRABOWO</t>
  </si>
  <si>
    <t>3302152504700002</t>
  </si>
  <si>
    <t>082221259422</t>
  </si>
  <si>
    <t>10.152.3.10</t>
  </si>
  <si>
    <t>PG-1522602098</t>
  </si>
  <si>
    <t>ZXIC074F3FDF</t>
  </si>
  <si>
    <t>1/1/9:2</t>
  </si>
  <si>
    <t xml:space="preserve">     G-15226061301</t>
  </si>
  <si>
    <t>MUHAMMAD ABDUR</t>
  </si>
  <si>
    <t>3302151208720005</t>
  </si>
  <si>
    <t>08985494244</t>
  </si>
  <si>
    <t>10.152.7.34</t>
  </si>
  <si>
    <t>PG-1522602099</t>
  </si>
  <si>
    <t>ZXIC074F3B7F</t>
  </si>
  <si>
    <t>1/1/11:9</t>
  </si>
  <si>
    <t xml:space="preserve">     G-15226061401</t>
  </si>
  <si>
    <t>DURYATI</t>
  </si>
  <si>
    <t>3302156303730002</t>
  </si>
  <si>
    <t>089678794484</t>
  </si>
  <si>
    <t>10.152.7.38</t>
  </si>
  <si>
    <t>PG-1522602100</t>
  </si>
  <si>
    <t>ZXIC074F3E0F</t>
  </si>
  <si>
    <t>1/1/10:4</t>
  </si>
  <si>
    <t xml:space="preserve">     G-15226061402</t>
  </si>
  <si>
    <t>SITI MARDIYAH</t>
  </si>
  <si>
    <t>3302154412710001</t>
  </si>
  <si>
    <t>085291289355</t>
  </si>
  <si>
    <t>10.152.7.42</t>
  </si>
  <si>
    <t>PG-1522602101</t>
  </si>
  <si>
    <t>ZXIC074F37EF</t>
  </si>
  <si>
    <t>1/1/11:10</t>
  </si>
  <si>
    <t xml:space="preserve">     G-15226061501</t>
  </si>
  <si>
    <t>KUSNIATI</t>
  </si>
  <si>
    <t>3302157103810001</t>
  </si>
  <si>
    <t>085738662858</t>
  </si>
  <si>
    <t>10.152.7.46</t>
  </si>
  <si>
    <t>PG-1522602102</t>
  </si>
  <si>
    <t>ZXIC074F382F</t>
  </si>
  <si>
    <t>1/1/14:1</t>
  </si>
  <si>
    <t xml:space="preserve">     G-15226061502</t>
  </si>
  <si>
    <t>WAHYUDI</t>
  </si>
  <si>
    <t>3302152208790001</t>
  </si>
  <si>
    <t>0882003490010</t>
  </si>
  <si>
    <t>10.152.7.50</t>
  </si>
  <si>
    <t>PG-1522602103</t>
  </si>
  <si>
    <t>ZXIC074F3F2F</t>
  </si>
  <si>
    <t>1/1/14:2</t>
  </si>
  <si>
    <t xml:space="preserve">     G-15226061503</t>
  </si>
  <si>
    <t>WATIEM</t>
  </si>
  <si>
    <t>3302154504580001</t>
  </si>
  <si>
    <t>087876930548</t>
  </si>
  <si>
    <t>10.152.7.54</t>
  </si>
  <si>
    <t>PG-1522602104</t>
  </si>
  <si>
    <t>ZXIC074F38DF</t>
  </si>
  <si>
    <t>1/1/14:3</t>
  </si>
  <si>
    <t>G-15226061504</t>
  </si>
  <si>
    <t>BUDI PRIYONO</t>
  </si>
  <si>
    <t>3302150701830001</t>
  </si>
  <si>
    <t>082137976102</t>
  </si>
  <si>
    <t>10.152.4.10</t>
  </si>
  <si>
    <t>PG-1522602105</t>
  </si>
  <si>
    <t>ZXIC074F353F</t>
  </si>
  <si>
    <t>1/1/14:4</t>
  </si>
  <si>
    <t>G-15226061505</t>
  </si>
  <si>
    <t>KOMSIFLAH</t>
  </si>
  <si>
    <t>3302155309730001</t>
  </si>
  <si>
    <t>081385273008</t>
  </si>
  <si>
    <t>10.152.6.218</t>
  </si>
  <si>
    <t>PG-1522602106</t>
  </si>
  <si>
    <t>ZXIC074F3B6F</t>
  </si>
  <si>
    <t>1/1/13:3</t>
  </si>
  <si>
    <t>G-15226061601</t>
  </si>
  <si>
    <t>DURYATMI</t>
  </si>
  <si>
    <t>3302154112620006</t>
  </si>
  <si>
    <t>089669589228</t>
  </si>
  <si>
    <t>10.152.7.58</t>
  </si>
  <si>
    <t>PG-1522602107</t>
  </si>
  <si>
    <t>ZXIC074F342F</t>
  </si>
  <si>
    <t>1/1/8:15</t>
  </si>
  <si>
    <t>G-15226061602</t>
  </si>
  <si>
    <t>AHMAD SOFIE</t>
  </si>
  <si>
    <t>33021512047200025</t>
  </si>
  <si>
    <t>085643851526</t>
  </si>
  <si>
    <t>10.152.7.62</t>
  </si>
  <si>
    <t>PG-1522602108</t>
  </si>
  <si>
    <t>ZXIC074F215F</t>
  </si>
  <si>
    <t>1/1/1:9</t>
  </si>
  <si>
    <t>G-15226061603</t>
  </si>
  <si>
    <t>TRIONO</t>
  </si>
  <si>
    <t>10.152.7.66</t>
  </si>
  <si>
    <t>PG-1522602109</t>
  </si>
  <si>
    <t>ZXIC074F3D4F</t>
  </si>
  <si>
    <t>G-15226061604</t>
  </si>
  <si>
    <t>SUNGSORO</t>
  </si>
  <si>
    <t>3302152208750001</t>
  </si>
  <si>
    <t>0895358641302</t>
  </si>
  <si>
    <t>10.152.5.74</t>
  </si>
  <si>
    <t>PG-1522602110</t>
  </si>
  <si>
    <t>ZXIC074F358F</t>
  </si>
  <si>
    <t>1/1/16:4</t>
  </si>
  <si>
    <t>G-15226061605</t>
  </si>
  <si>
    <t>VIDI PRASETYO</t>
  </si>
  <si>
    <t>3302151604920001</t>
  </si>
  <si>
    <t>082220761515</t>
  </si>
  <si>
    <t>10.152.7.70</t>
  </si>
  <si>
    <t>PG-1522602111</t>
  </si>
  <si>
    <t>ZXIC074F3CDF</t>
  </si>
  <si>
    <t>1/1/13:4</t>
  </si>
  <si>
    <t>G-15226061606</t>
  </si>
  <si>
    <t>MARGONO</t>
  </si>
  <si>
    <t>3302151441280002</t>
  </si>
  <si>
    <t>95376906042</t>
  </si>
  <si>
    <t>10.152.7.74</t>
  </si>
  <si>
    <t>PG-1522602112</t>
  </si>
  <si>
    <t>ZXIC074F3D5F</t>
  </si>
  <si>
    <t>G-15226061607</t>
  </si>
  <si>
    <t>WIKI TRIONO</t>
  </si>
  <si>
    <t>3320150522000001</t>
  </si>
  <si>
    <t>08990840781</t>
  </si>
  <si>
    <t>10.152.7.78</t>
  </si>
  <si>
    <t>PG-1522602113</t>
  </si>
  <si>
    <t>ZXIC074F3FFF</t>
  </si>
  <si>
    <t>1/1/8:16</t>
  </si>
  <si>
    <t>G-15226061701</t>
  </si>
  <si>
    <t>TURSIMAN</t>
  </si>
  <si>
    <t>3302151012730004</t>
  </si>
  <si>
    <t>0882003936603</t>
  </si>
  <si>
    <t>10.152.7.82</t>
  </si>
  <si>
    <t>PG-1522602114</t>
  </si>
  <si>
    <t>ZXIC074F3C8F</t>
  </si>
  <si>
    <t>1/1/16:5</t>
  </si>
  <si>
    <t>G-15226061702</t>
  </si>
  <si>
    <t>SUTRISNO</t>
  </si>
  <si>
    <t>330215160570003</t>
  </si>
  <si>
    <t>085861569372</t>
  </si>
  <si>
    <t>10.152.7.90</t>
  </si>
  <si>
    <t>PG-1522602115</t>
  </si>
  <si>
    <t>ZXIC074F377F</t>
  </si>
  <si>
    <t>1/1/16:6</t>
  </si>
  <si>
    <t>G-15226061703</t>
  </si>
  <si>
    <t>TANTI</t>
  </si>
  <si>
    <t>3302156609930001</t>
  </si>
  <si>
    <t>0895337483446</t>
  </si>
  <si>
    <t>TLAGA</t>
  </si>
  <si>
    <t>10.152.7.86</t>
  </si>
  <si>
    <t>PG-1522602116</t>
  </si>
  <si>
    <t>ZXIC074F3FEF</t>
  </si>
  <si>
    <t>1/1/16:7</t>
  </si>
  <si>
    <t>G-15226061704</t>
  </si>
  <si>
    <t>DARYANTO</t>
  </si>
  <si>
    <t>33022150511650004</t>
  </si>
  <si>
    <t>085600711983</t>
  </si>
  <si>
    <t>10.152.7.94</t>
  </si>
  <si>
    <t>PG-1522602117</t>
  </si>
  <si>
    <t>ZXIC074F3ECF</t>
  </si>
  <si>
    <t>1/1/9:3</t>
  </si>
  <si>
    <t>G-15226061801</t>
  </si>
  <si>
    <t>DARWONO</t>
  </si>
  <si>
    <t>3302152010650003</t>
  </si>
  <si>
    <t>082213361968</t>
  </si>
  <si>
    <t>10.152.4.18</t>
  </si>
  <si>
    <t>PG-1522602118</t>
  </si>
  <si>
    <t>ZXIC074F384F</t>
  </si>
  <si>
    <t>1/1/7:15</t>
  </si>
  <si>
    <t>G-15226061802</t>
  </si>
  <si>
    <t>SIGIT ARYANTO</t>
  </si>
  <si>
    <t>3302155100588002</t>
  </si>
  <si>
    <t>082225471000</t>
  </si>
  <si>
    <t>10.152.7.102</t>
  </si>
  <si>
    <t>PG-1522602119</t>
  </si>
  <si>
    <t>ZXIC074F373F</t>
  </si>
  <si>
    <t>1/1/14:5</t>
  </si>
  <si>
    <t>G-15226061803</t>
  </si>
  <si>
    <t>OKI GUNAWAN</t>
  </si>
  <si>
    <t>3302151510010001</t>
  </si>
  <si>
    <t>085777389878</t>
  </si>
  <si>
    <t>10.152.7.106</t>
  </si>
  <si>
    <t>PG-1522602120</t>
  </si>
  <si>
    <t>ZXIC074F3FBF</t>
  </si>
  <si>
    <t>1/1/14:6</t>
  </si>
  <si>
    <t>G-15226061804</t>
  </si>
  <si>
    <t>ANGGRES PERMANA</t>
  </si>
  <si>
    <t>3302152306960003</t>
  </si>
  <si>
    <t>085725268178</t>
  </si>
  <si>
    <t>10.152.7.110</t>
  </si>
  <si>
    <t>PG-1522602121</t>
  </si>
  <si>
    <t>ZXIC074F343F</t>
  </si>
  <si>
    <t>1/1/13:5</t>
  </si>
  <si>
    <t>G-15226061805</t>
  </si>
  <si>
    <t>DASLIM</t>
  </si>
  <si>
    <t>3320152606810001</t>
  </si>
  <si>
    <t>085875129184</t>
  </si>
  <si>
    <t>10.152.7.114</t>
  </si>
  <si>
    <t>PG-1522602122</t>
  </si>
  <si>
    <t>1/1/8:17</t>
  </si>
  <si>
    <t>G-15226061901</t>
  </si>
  <si>
    <t>HERWATI</t>
  </si>
  <si>
    <t>3172065905670005</t>
  </si>
  <si>
    <t>088232106044</t>
  </si>
  <si>
    <t>10.152.7.118</t>
  </si>
  <si>
    <t>PG-1522602123</t>
  </si>
  <si>
    <t xml:space="preserve"> ZXIC074F33FF</t>
  </si>
  <si>
    <t>1/1/11:11</t>
  </si>
  <si>
    <t>G-15226061902</t>
  </si>
  <si>
    <t>RAKUM RUSTOYO</t>
  </si>
  <si>
    <t>33021551508660001</t>
  </si>
  <si>
    <t>08979052671</t>
  </si>
  <si>
    <t>10.152.7.122</t>
  </si>
  <si>
    <t>PG-1522602124</t>
  </si>
  <si>
    <t>ZXICO74F356F</t>
  </si>
  <si>
    <t>19/06/2026</t>
  </si>
  <si>
    <t>1/1/14:7</t>
  </si>
  <si>
    <t>G-15226061903</t>
  </si>
  <si>
    <t>KISWADI</t>
  </si>
  <si>
    <t>3302151511580001</t>
  </si>
  <si>
    <t>081327623781</t>
  </si>
  <si>
    <t>10.152.5.78</t>
  </si>
  <si>
    <t>PG-1522602125</t>
  </si>
  <si>
    <t>ZXIC074F37DF</t>
  </si>
  <si>
    <t>1/1/16:8</t>
  </si>
  <si>
    <t>G-15226061904</t>
  </si>
  <si>
    <t>ADZAM ARIEL TIMBULENG</t>
  </si>
  <si>
    <t>3302152901050001</t>
  </si>
  <si>
    <t>081328885562</t>
  </si>
  <si>
    <t>10.152.7.126</t>
  </si>
  <si>
    <t>PG-1522602126</t>
  </si>
  <si>
    <t>ZXIC074F355F</t>
  </si>
  <si>
    <t>1/1/11:12</t>
  </si>
  <si>
    <t>G-15226061705</t>
  </si>
  <si>
    <t>NURIANTI</t>
  </si>
  <si>
    <t>7402204611880001</t>
  </si>
  <si>
    <t>088215145196</t>
  </si>
  <si>
    <t>10.152.7.98</t>
  </si>
  <si>
    <t>PG-1522602127</t>
  </si>
  <si>
    <t>ZXIC074F36BF</t>
  </si>
  <si>
    <t>1/1/4:5</t>
  </si>
  <si>
    <t>G-15226062001</t>
  </si>
  <si>
    <t>SUJITO</t>
  </si>
  <si>
    <t>085328909182</t>
  </si>
  <si>
    <t>10.152.7.130</t>
  </si>
  <si>
    <t>PG-1522602128</t>
  </si>
  <si>
    <t>ZXICO7F3B9F</t>
  </si>
  <si>
    <t>1/1/11:13</t>
  </si>
  <si>
    <t>G-15226062101</t>
  </si>
  <si>
    <t>DEDI SISWOYO</t>
  </si>
  <si>
    <t>3302152404810002</t>
  </si>
  <si>
    <t>082314028272</t>
  </si>
  <si>
    <t>CIREBAH</t>
  </si>
  <si>
    <t>10.152.5.82</t>
  </si>
  <si>
    <t>PG-1522602129</t>
  </si>
  <si>
    <t>ZXIC074F386F</t>
  </si>
  <si>
    <t>1/1/4:6</t>
  </si>
  <si>
    <t>G-15226062102</t>
  </si>
  <si>
    <t>WINDA EKA SARI</t>
  </si>
  <si>
    <t>3302156212960003</t>
  </si>
  <si>
    <t>089669504330</t>
  </si>
  <si>
    <t>10.152.7.134</t>
  </si>
  <si>
    <t>PG-1522602130</t>
  </si>
  <si>
    <t>ZXIC074F37AF</t>
  </si>
  <si>
    <t>1/1/15:2</t>
  </si>
  <si>
    <t>G-15226062201</t>
  </si>
  <si>
    <t>WAHYONO</t>
  </si>
  <si>
    <t>3302150903680002</t>
  </si>
  <si>
    <t>085122775019</t>
  </si>
  <si>
    <t>10.152.7.138</t>
  </si>
  <si>
    <t>PG-1522602131</t>
  </si>
  <si>
    <t>ZXIC074F35AF</t>
  </si>
  <si>
    <t>1/1/9:4</t>
  </si>
  <si>
    <t>G-15226062301</t>
  </si>
  <si>
    <t>ANDONO TRI SARI P</t>
  </si>
  <si>
    <t>3302150905780001</t>
  </si>
  <si>
    <t>085540424073</t>
  </si>
  <si>
    <t>10.152.7.146</t>
  </si>
  <si>
    <t>PG-1522602132</t>
  </si>
  <si>
    <t>ZXIC074F38EF</t>
  </si>
  <si>
    <t>1/1/11:14</t>
  </si>
  <si>
    <t>G-15226062401</t>
  </si>
  <si>
    <t>UUS AGTRYANA</t>
  </si>
  <si>
    <t>3302152008890004</t>
  </si>
  <si>
    <t>081290898920</t>
  </si>
  <si>
    <t>10.152.7.150</t>
  </si>
  <si>
    <t>PG-1522602303</t>
  </si>
  <si>
    <t>ZXIC074F34AF</t>
  </si>
  <si>
    <t>1/1/11:1</t>
  </si>
  <si>
    <t>G-15226062501</t>
  </si>
  <si>
    <t>NASIKIN</t>
  </si>
  <si>
    <t xml:space="preserve"> 3302151402830001</t>
  </si>
  <si>
    <t>085712042838</t>
  </si>
  <si>
    <t>10.152.7.154</t>
  </si>
  <si>
    <t>PG-1522602304</t>
  </si>
  <si>
    <t>ZXIC074F3C5F</t>
  </si>
  <si>
    <t>1/1/10:5</t>
  </si>
  <si>
    <t>G-15226062502</t>
  </si>
  <si>
    <t>MUARIF</t>
  </si>
  <si>
    <t>3301202205020004</t>
  </si>
  <si>
    <t>085642294783</t>
  </si>
  <si>
    <t>10.152.7.158</t>
  </si>
  <si>
    <t>PG-1522602305</t>
  </si>
  <si>
    <t>ZXIC074F3AFF</t>
  </si>
  <si>
    <t>G-15226062601</t>
  </si>
  <si>
    <t>MUHAMAD RUSLI AF</t>
  </si>
  <si>
    <t xml:space="preserve"> 33021550810050002</t>
  </si>
  <si>
    <t>0895403141211</t>
  </si>
  <si>
    <t>10.152.5.86</t>
  </si>
  <si>
    <t>PG-1522602306</t>
  </si>
  <si>
    <t>ZXIC074F347F</t>
  </si>
  <si>
    <t>G-15226062901</t>
  </si>
  <si>
    <t>WARLAN</t>
  </si>
  <si>
    <t>3302151912710001</t>
  </si>
  <si>
    <t>08985520522</t>
  </si>
  <si>
    <t>10.152.7.162</t>
  </si>
  <si>
    <t>PG-1522602307</t>
  </si>
  <si>
    <t>ZXIC074F3C9F</t>
  </si>
  <si>
    <t>1/1/11:16</t>
  </si>
  <si>
    <t>G-15226062902</t>
  </si>
  <si>
    <t>EDI PRAMONO</t>
  </si>
  <si>
    <t>33021509110820001</t>
  </si>
  <si>
    <t>085287155750</t>
  </si>
  <si>
    <t>10.152.7.166</t>
  </si>
  <si>
    <t>PG-1522602308</t>
  </si>
  <si>
    <t>ZXIC074F348F</t>
  </si>
  <si>
    <t>1/1/11:17</t>
  </si>
  <si>
    <t>G-15226063001</t>
  </si>
  <si>
    <t>DWI HANTORO</t>
  </si>
  <si>
    <t>3302151807880001</t>
  </si>
  <si>
    <t>088983648939</t>
  </si>
  <si>
    <t>10.152.5.90</t>
  </si>
  <si>
    <t>PG-1522602139</t>
  </si>
  <si>
    <t xml:space="preserve"> ZXIC074F3FCF</t>
  </si>
  <si>
    <t>1/1/10:6</t>
  </si>
  <si>
    <t>G-15226063002</t>
  </si>
  <si>
    <t xml:space="preserve">ATIK PURWANTI </t>
  </si>
  <si>
    <t>088215762147</t>
  </si>
  <si>
    <t>10.152.5.94</t>
  </si>
  <si>
    <t>PG-1522602140</t>
  </si>
  <si>
    <t>ZXIC074F3CBF</t>
  </si>
  <si>
    <t>sdh tdkberlangganan</t>
  </si>
  <si>
    <t>G-15226063003</t>
  </si>
  <si>
    <t>WINA PUTRI MEILIANI</t>
  </si>
  <si>
    <t>3302155205070001</t>
  </si>
  <si>
    <t>085795457093</t>
  </si>
  <si>
    <t>10.152.7.170</t>
  </si>
  <si>
    <t>PG-1522602141</t>
  </si>
  <si>
    <t>ZXIC074F3D3F</t>
  </si>
  <si>
    <t>1/1/10:8</t>
  </si>
  <si>
    <t>G-15226070101</t>
  </si>
  <si>
    <t xml:space="preserve">ROBY AGUS PRIYANTO </t>
  </si>
  <si>
    <t>3302152408880001</t>
  </si>
  <si>
    <t>089532488008</t>
  </si>
  <si>
    <t>10.142.7.142</t>
  </si>
  <si>
    <t>PG-1522602142</t>
  </si>
  <si>
    <t>ZXIC074F35FF</t>
  </si>
  <si>
    <t>1/1/16:10</t>
  </si>
  <si>
    <t>G-15226070102</t>
  </si>
  <si>
    <t>RAWEN</t>
  </si>
  <si>
    <t>3302157112560023</t>
  </si>
  <si>
    <t>089526850811</t>
  </si>
  <si>
    <t>10.152.7.174</t>
  </si>
  <si>
    <t>PG-1522602143</t>
  </si>
  <si>
    <t>ZXIC074F368F</t>
  </si>
  <si>
    <t>1/1/11:18</t>
  </si>
  <si>
    <t>G-15226070201</t>
  </si>
  <si>
    <t>3302150706770002</t>
  </si>
  <si>
    <t>0881010739800</t>
  </si>
  <si>
    <t xml:space="preserve"> 10.152.8.6</t>
  </si>
  <si>
    <t>PG-1522602144</t>
  </si>
  <si>
    <t>ZXIC074F33CF</t>
  </si>
  <si>
    <t>1/1/16:11</t>
  </si>
  <si>
    <t>G-15226070202</t>
  </si>
  <si>
    <t>RICKY CANDRA PURNAMA</t>
  </si>
  <si>
    <t>3302172012880001</t>
  </si>
  <si>
    <t>081393388844</t>
  </si>
  <si>
    <t>10.152.7.182</t>
  </si>
  <si>
    <t>PG-1522602145</t>
  </si>
  <si>
    <t>ZXIC074F369F</t>
  </si>
  <si>
    <t>G-15226070203</t>
  </si>
  <si>
    <t>081392361599</t>
  </si>
  <si>
    <t>PG-1522602146</t>
  </si>
  <si>
    <t>ZXIC074F365F</t>
  </si>
  <si>
    <t>G-15226070204</t>
  </si>
  <si>
    <t>SAINO</t>
  </si>
  <si>
    <t>330215311265005</t>
  </si>
  <si>
    <t>082137882484</t>
  </si>
  <si>
    <t>10.152.7.186</t>
  </si>
  <si>
    <t>PG-1522602147</t>
  </si>
  <si>
    <t>ZXIC074F3D8F</t>
  </si>
  <si>
    <t>1/1/16:12</t>
  </si>
  <si>
    <t>G-15226070205</t>
  </si>
  <si>
    <t>HENI KURLIYAH</t>
  </si>
  <si>
    <t>085702028015</t>
  </si>
  <si>
    <t>10.152.7.194</t>
  </si>
  <si>
    <t>PG-1522602148</t>
  </si>
  <si>
    <t>ZXIC074F35DF</t>
  </si>
  <si>
    <t>1/1/11:19</t>
  </si>
  <si>
    <t>G-15226070301</t>
  </si>
  <si>
    <t>NETI</t>
  </si>
  <si>
    <t>3302155212610002</t>
  </si>
  <si>
    <t>085742415168</t>
  </si>
  <si>
    <t>10.152.7.198</t>
  </si>
  <si>
    <t>PG-1522602149</t>
  </si>
  <si>
    <t>ZXIC074F35BF</t>
  </si>
  <si>
    <t>1/1/11:21</t>
  </si>
  <si>
    <t>G-15226070302</t>
  </si>
  <si>
    <t xml:space="preserve">HERRY SUPRAPTO </t>
  </si>
  <si>
    <t>3216060512540005</t>
  </si>
  <si>
    <t>08128614205</t>
  </si>
  <si>
    <t>10.152.7.202</t>
  </si>
  <si>
    <t>PG-1522602150</t>
  </si>
  <si>
    <t>ZXIC074F367F</t>
  </si>
  <si>
    <t>G-15226070303</t>
  </si>
  <si>
    <t>WASINGUN</t>
  </si>
  <si>
    <t>3302150206750007</t>
  </si>
  <si>
    <t>081296268389</t>
  </si>
  <si>
    <t>10.152.7.206</t>
  </si>
  <si>
    <t>PG-1522602151</t>
  </si>
  <si>
    <t>ZXIC074F33BF</t>
  </si>
  <si>
    <t>1/1/13:6</t>
  </si>
  <si>
    <t>G-15226070304</t>
  </si>
  <si>
    <t>MARJITO</t>
  </si>
  <si>
    <t>3302152304770003</t>
  </si>
  <si>
    <t>08977371920</t>
  </si>
  <si>
    <t>10.152.7.210</t>
  </si>
  <si>
    <t>PG-1522602152</t>
  </si>
  <si>
    <t>ZXIC074F36DF</t>
  </si>
  <si>
    <t>1/1/13:7</t>
  </si>
  <si>
    <t>G-15226070401</t>
  </si>
  <si>
    <t>ANITA YUNITA</t>
  </si>
  <si>
    <t>3302155106000001</t>
  </si>
  <si>
    <t>083104021162</t>
  </si>
  <si>
    <t>10.152.7.214</t>
  </si>
  <si>
    <t>PG-1522602153</t>
  </si>
  <si>
    <t>ZXIC074F366F</t>
  </si>
  <si>
    <t>1/1/10:7</t>
  </si>
  <si>
    <t>G-15226070402</t>
  </si>
  <si>
    <t>TARYONO</t>
  </si>
  <si>
    <t>3302151511810002</t>
  </si>
  <si>
    <t>085876187842</t>
  </si>
  <si>
    <t>10.152.7.218</t>
  </si>
  <si>
    <t>PG-1522602154</t>
  </si>
  <si>
    <t>ZXIC074F3A8F</t>
  </si>
  <si>
    <t>1/1/10:9</t>
  </si>
  <si>
    <t>G-15226070601</t>
  </si>
  <si>
    <t>SULISTIYONO</t>
  </si>
  <si>
    <t>3302150901810003</t>
  </si>
  <si>
    <t>081329994647</t>
  </si>
  <si>
    <t>10.152.5.98</t>
  </si>
  <si>
    <t>PG-1522602155</t>
  </si>
  <si>
    <t>ZXIC074F3EAF</t>
  </si>
  <si>
    <t>1/1/13:8</t>
  </si>
  <si>
    <t>G-15226070602</t>
  </si>
  <si>
    <t>TITIN RESTIYANI</t>
  </si>
  <si>
    <t>3302156303940003</t>
  </si>
  <si>
    <t>085786328163</t>
  </si>
  <si>
    <t>10.152.5.102</t>
  </si>
  <si>
    <t>PG-1522602156</t>
  </si>
  <si>
    <t>ZXIC074F398F</t>
  </si>
  <si>
    <t>1/1/13:9</t>
  </si>
  <si>
    <t>G-15226070603</t>
  </si>
  <si>
    <t>SRIYATI NINGRUM</t>
  </si>
  <si>
    <t>3302155603930002</t>
  </si>
  <si>
    <t>0895384022584</t>
  </si>
  <si>
    <t>10.152.7.222</t>
  </si>
  <si>
    <t>PG-1522602157</t>
  </si>
  <si>
    <t>ZXIC074F34CF</t>
  </si>
  <si>
    <t>1/1/13:10</t>
  </si>
  <si>
    <t>G-15226070701</t>
  </si>
  <si>
    <t>SURIPNO</t>
  </si>
  <si>
    <t>10.152.7.226</t>
  </si>
  <si>
    <t>PG-1522602158</t>
  </si>
  <si>
    <t>ZXIC074F392F</t>
  </si>
  <si>
    <t>1/1/13:11</t>
  </si>
  <si>
    <t>G-15226070702</t>
  </si>
  <si>
    <t>SUMINTO</t>
  </si>
  <si>
    <t>089526844917</t>
  </si>
  <si>
    <t>1</t>
  </si>
  <si>
    <t>3</t>
  </si>
  <si>
    <t>10.152.7.230</t>
  </si>
  <si>
    <t>PG-1522602159</t>
  </si>
  <si>
    <t>ZXIC074F34FF</t>
  </si>
  <si>
    <t>G-15226070801</t>
  </si>
  <si>
    <t>ANDHIKA DWI SAPUTRA</t>
  </si>
  <si>
    <t>3302150305090004</t>
  </si>
  <si>
    <t>081548170866</t>
  </si>
  <si>
    <t>PG-1522602160</t>
  </si>
  <si>
    <t>ZXIC074F3E4F</t>
  </si>
  <si>
    <t xml:space="preserve"> 1/1/8:19 </t>
  </si>
  <si>
    <t>https://drive.google.com/file/d/1IhaIxONuM9zLbYLzPecmz1wYxYpsyfTT/view?usp=drive_link</t>
  </si>
  <si>
    <t>G-15226070206</t>
  </si>
  <si>
    <t>SUYATI</t>
  </si>
  <si>
    <t>081393738970</t>
  </si>
  <si>
    <t>10.152.7.190</t>
  </si>
  <si>
    <t>PG-1522602161</t>
  </si>
  <si>
    <t>ZXIC074F35EF</t>
  </si>
  <si>
    <t>G-15226070901</t>
  </si>
  <si>
    <t>3302154809710001</t>
  </si>
  <si>
    <t>10.152.7.234</t>
  </si>
  <si>
    <t>PG-1522602162</t>
  </si>
  <si>
    <t>ZXIC074F3E7F</t>
  </si>
  <si>
    <t>1/1/12:10</t>
  </si>
  <si>
    <t>Sunarjo Suntar</t>
  </si>
  <si>
    <t>yolatulazizah</t>
  </si>
  <si>
    <t>all</t>
  </si>
  <si>
    <t>AGAN DIMAS</t>
  </si>
  <si>
    <t>G-15226070902</t>
  </si>
  <si>
    <t>10.152.7.238</t>
  </si>
  <si>
    <t>PG-1522602163</t>
  </si>
  <si>
    <t>ZXIC074F393F</t>
  </si>
  <si>
    <t>1/1/4:7</t>
  </si>
  <si>
    <t>G-15226071001</t>
  </si>
  <si>
    <t>3302157008020002</t>
  </si>
  <si>
    <t>081228624907</t>
  </si>
  <si>
    <t>10.152.4.22</t>
  </si>
  <si>
    <t>PG-1522602164</t>
  </si>
  <si>
    <t>ZXIC074F3DAF</t>
  </si>
  <si>
    <t>G-15226071002</t>
  </si>
  <si>
    <t>RUMYATNI</t>
  </si>
  <si>
    <t>3302156708890001</t>
  </si>
  <si>
    <t>085363357464</t>
  </si>
  <si>
    <t>PG-1522602165</t>
  </si>
  <si>
    <t>ZXIC074F3F7F</t>
  </si>
  <si>
    <t>1/1/8:21</t>
  </si>
  <si>
    <t>G-15226071003</t>
  </si>
  <si>
    <t>LILIS PRIYANI</t>
  </si>
  <si>
    <t>330215590490003</t>
  </si>
  <si>
    <t>085798011803</t>
  </si>
  <si>
    <t>10.152.7.242</t>
  </si>
  <si>
    <t>PG-1522602166</t>
  </si>
  <si>
    <t>ZXIC074F3F6F</t>
  </si>
  <si>
    <t>1/1/8:20</t>
  </si>
  <si>
    <t>G-15226071004</t>
  </si>
  <si>
    <t>WASIM</t>
  </si>
  <si>
    <t>3302150507690006</t>
  </si>
  <si>
    <t>085135958384</t>
  </si>
  <si>
    <t>10.152.7.250</t>
  </si>
  <si>
    <t>PG-1522602167</t>
  </si>
  <si>
    <t>ZXIC074F338F</t>
  </si>
  <si>
    <t>G-15226071005</t>
  </si>
  <si>
    <t>KUSTILAH</t>
  </si>
  <si>
    <t>3302154612690003</t>
  </si>
  <si>
    <t>085702574897</t>
  </si>
  <si>
    <t>PG-1522602168</t>
  </si>
  <si>
    <t>ZXIC074F3DBF</t>
  </si>
  <si>
    <t>G-15226071101</t>
  </si>
  <si>
    <t>JAMHARI</t>
  </si>
  <si>
    <t>3302140701830001</t>
  </si>
  <si>
    <t>10.152.7.178</t>
  </si>
  <si>
    <t>PG-1522602169</t>
  </si>
  <si>
    <t>ZXIC074F35CF</t>
  </si>
  <si>
    <t>1/1/2:8</t>
  </si>
  <si>
    <t>G-15226071102</t>
  </si>
  <si>
    <t>3302151506860002</t>
  </si>
  <si>
    <t>10.152.8.2</t>
  </si>
  <si>
    <t>PG-1522602170</t>
  </si>
  <si>
    <t>ZXIC074F39BF</t>
  </si>
  <si>
    <t>1/1/13:12</t>
  </si>
  <si>
    <t>G-15226071301</t>
  </si>
  <si>
    <t>SHOLICHIN</t>
  </si>
  <si>
    <t>3302152706770003</t>
  </si>
  <si>
    <t>08895272002</t>
  </si>
  <si>
    <t>10.152.5.110</t>
  </si>
  <si>
    <t>PG-1522602171</t>
  </si>
  <si>
    <t>ZXIC074F33EF</t>
  </si>
  <si>
    <t>1/1/8:24</t>
  </si>
  <si>
    <t>G-15226071401</t>
  </si>
  <si>
    <t>10.152.8.10</t>
  </si>
  <si>
    <t>PG-1522602172</t>
  </si>
  <si>
    <t>ZXIC074F3ABF</t>
  </si>
  <si>
    <t>1/1/1:3</t>
  </si>
  <si>
    <t>G-15226071501</t>
  </si>
  <si>
    <t>YUDHI ROBATA</t>
  </si>
  <si>
    <t>3302151906970001</t>
  </si>
  <si>
    <t>08996626398</t>
  </si>
  <si>
    <t>10.152.8.14</t>
  </si>
  <si>
    <t>PG-1522602173</t>
  </si>
  <si>
    <t>ZXIC074F3FAF</t>
  </si>
  <si>
    <t>1/1/2:9</t>
  </si>
  <si>
    <t>G-15226071601</t>
  </si>
  <si>
    <t>RISTO</t>
  </si>
  <si>
    <t>3302151408750002</t>
  </si>
  <si>
    <t>0882005771862</t>
  </si>
  <si>
    <t>10.152.8.26</t>
  </si>
  <si>
    <t>PG-1522602174</t>
  </si>
  <si>
    <t>ZXIC074F37CF</t>
  </si>
  <si>
    <t>G-15226071701</t>
  </si>
  <si>
    <t>3302155203670003</t>
  </si>
  <si>
    <t>10.152.8.22</t>
  </si>
  <si>
    <t>PG-1522602175</t>
  </si>
  <si>
    <t>ZXIC074F341F</t>
  </si>
  <si>
    <t>G-15226071702</t>
  </si>
  <si>
    <t>DUSWIYATI</t>
  </si>
  <si>
    <t>3302155802850001</t>
  </si>
  <si>
    <t>089612908033</t>
  </si>
  <si>
    <t>10.152.8.18</t>
  </si>
  <si>
    <t>PG-1522602176</t>
  </si>
  <si>
    <t>ZXIC074F3BEF</t>
  </si>
  <si>
    <t>1/1/16:13</t>
  </si>
  <si>
    <t>G-15226071801</t>
  </si>
  <si>
    <t>WARUN WIDIYANTO</t>
  </si>
  <si>
    <t>081310310667</t>
  </si>
  <si>
    <t>10.152.8.30</t>
  </si>
  <si>
    <t>PG-1522602177</t>
  </si>
  <si>
    <t>ZXIC074F3AAF</t>
  </si>
  <si>
    <t>G-15226071802</t>
  </si>
  <si>
    <t>DARYATI</t>
  </si>
  <si>
    <t>3302155204690004</t>
  </si>
  <si>
    <t>085394863253</t>
  </si>
  <si>
    <t>10.152.8.34</t>
  </si>
  <si>
    <t>PG-1522602178</t>
  </si>
  <si>
    <t>ZXIC074F3B3F</t>
  </si>
  <si>
    <t>1/1/9:6</t>
  </si>
  <si>
    <t>G-15226071901</t>
  </si>
  <si>
    <t>SITI SOLEHATI</t>
  </si>
  <si>
    <t>10.152.8.38</t>
  </si>
  <si>
    <t>PG-1522602179</t>
  </si>
  <si>
    <t>ZXIC074F39CF</t>
  </si>
  <si>
    <t>G-15226071902</t>
  </si>
  <si>
    <t>FIKA NANDA FIRMANA</t>
  </si>
  <si>
    <t>082234849174</t>
  </si>
  <si>
    <t>10.152.8.42</t>
  </si>
  <si>
    <t>PG-1522602180</t>
  </si>
  <si>
    <t>ZXIC074F378F</t>
  </si>
  <si>
    <t>1/1/8:26</t>
  </si>
  <si>
    <t>📦 RINGKASAN STOK PERANGKAT</t>
  </si>
  <si>
    <t>TOTAL DEVICE</t>
  </si>
  <si>
    <t>TERPASANG</t>
  </si>
  <si>
    <t>SISA STOK</t>
  </si>
  <si>
    <t>Rata-rata pasang baru/minggu (isi manual):</t>
  </si>
  <si>
    <t>MODEL</t>
  </si>
  <si>
    <t>ID</t>
  </si>
  <si>
    <t>TGL AMBIL
DARI STOK</t>
  </si>
  <si>
    <t>STATUS</t>
  </si>
  <si>
    <t>ID PELANGGAN</t>
  </si>
  <si>
    <t>NAMA PELANGGAN</t>
  </si>
  <si>
    <t>ID LAMA
(Referensi)</t>
  </si>
  <si>
    <t>KONDISI</t>
  </si>
  <si>
    <t>XPON ONT</t>
  </si>
  <si>
    <t>F680C</t>
  </si>
  <si>
    <t>Baru</t>
  </si>
  <si>
    <t>HWTC072EF3EF</t>
  </si>
  <si>
    <t>HWTC072EF8FF</t>
  </si>
  <si>
    <t>HWTC072EA65F</t>
  </si>
  <si>
    <t>ZXIC074F388F</t>
  </si>
  <si>
    <t>ZXIC074F3947</t>
  </si>
  <si>
    <t>PG-1522602093</t>
  </si>
  <si>
    <t>-</t>
  </si>
  <si>
    <t>PG-1522602133</t>
  </si>
  <si>
    <t>PG-1522602134</t>
  </si>
  <si>
    <t>PG-1522602135</t>
  </si>
  <si>
    <t>PG-1522602136</t>
  </si>
  <si>
    <t>PG-1522602137</t>
  </si>
  <si>
    <t>PG-1522602138</t>
  </si>
  <si>
    <t>PG-1522602181</t>
  </si>
  <si>
    <t>PG-1522602182</t>
  </si>
  <si>
    <t>PG-1522602183</t>
  </si>
  <si>
    <t>PG-1522602184</t>
  </si>
  <si>
    <t>PG-1522602185</t>
  </si>
  <si>
    <t>PG-1522602186</t>
  </si>
  <si>
    <t>PG-1522602187</t>
  </si>
  <si>
    <t>PG-1522602188</t>
  </si>
  <si>
    <t>PG-1522602189</t>
  </si>
  <si>
    <t>PG-1522602190</t>
  </si>
  <si>
    <t>PG-1522602191</t>
  </si>
  <si>
    <t>PG-1522602192</t>
  </si>
  <si>
    <t>PG-1522602193</t>
  </si>
  <si>
    <t>PG-1522602194</t>
  </si>
  <si>
    <t>PG-1522602195</t>
  </si>
  <si>
    <t>PG-1522602196</t>
  </si>
  <si>
    <t>PG-1522602197</t>
  </si>
  <si>
    <t>PG-1522602198</t>
  </si>
  <si>
    <t>PG-1522602199</t>
  </si>
  <si>
    <t>PG-1522602200</t>
  </si>
  <si>
    <t>PG-1522602201</t>
  </si>
  <si>
    <t>PG-1522602202</t>
  </si>
  <si>
    <t>PG-1522602203</t>
  </si>
  <si>
    <t>PG-1522602204</t>
  </si>
  <si>
    <t>PG-1522602205</t>
  </si>
  <si>
    <t>PG-1522602206</t>
  </si>
  <si>
    <t>PG-1522602207</t>
  </si>
  <si>
    <t>PG-1522602208</t>
  </si>
  <si>
    <t>PG-1522602209</t>
  </si>
  <si>
    <t>PG-1522602210</t>
  </si>
  <si>
    <t>PG-1522602211</t>
  </si>
  <si>
    <t>PG-1522602212</t>
  </si>
  <si>
    <t>PG-1522602213</t>
  </si>
  <si>
    <t>PG-1522602214</t>
  </si>
  <si>
    <t>PG-1522602215</t>
  </si>
  <si>
    <t>PG-1522602216</t>
  </si>
  <si>
    <t>PG-1522602217</t>
  </si>
  <si>
    <t>PG-1522602218</t>
  </si>
  <si>
    <t>PG-1522602219</t>
  </si>
  <si>
    <t>PG-1522602220</t>
  </si>
  <si>
    <t>PG-1522602221</t>
  </si>
  <si>
    <t>PG-1522602222</t>
  </si>
  <si>
    <t>PG-1522602223</t>
  </si>
  <si>
    <t>PG-1522602224</t>
  </si>
  <si>
    <t>PG-1522602225</t>
  </si>
  <si>
    <t>PG-1522602226</t>
  </si>
  <si>
    <t>PG-1522602227</t>
  </si>
  <si>
    <t>PG-1522602228</t>
  </si>
  <si>
    <t>PG-1522602229</t>
  </si>
  <si>
    <t>PG-1522602230</t>
  </si>
  <si>
    <t>PG-1522602231</t>
  </si>
  <si>
    <t>PG-1522602232</t>
  </si>
  <si>
    <t>PG-1522602233</t>
  </si>
  <si>
    <t>PG-1522602234</t>
  </si>
  <si>
    <t>PG-1522602235</t>
  </si>
  <si>
    <t>PG-1522602236</t>
  </si>
  <si>
    <t>PG-1522602237</t>
  </si>
  <si>
    <t>PG-1522602238</t>
  </si>
  <si>
    <t>PG-1522602239</t>
  </si>
  <si>
    <t>PG-1522602240</t>
  </si>
  <si>
    <t>PG-1522602241</t>
  </si>
  <si>
    <t>PG-1522602242</t>
  </si>
  <si>
    <t>PG-1522602243</t>
  </si>
  <si>
    <t>PG-1522602244</t>
  </si>
  <si>
    <t>PG-1522602245</t>
  </si>
  <si>
    <t>PG-1522602246</t>
  </si>
  <si>
    <t>PG-1522602247</t>
  </si>
  <si>
    <t>PG-1522602248</t>
  </si>
  <si>
    <t>PG-1522602249</t>
  </si>
  <si>
    <t>PG-1522602250</t>
  </si>
  <si>
    <t>PG-1522602251</t>
  </si>
  <si>
    <t>PG-1522602252</t>
  </si>
  <si>
    <t>PG-1522602253</t>
  </si>
  <si>
    <t>PG-1522602254</t>
  </si>
  <si>
    <t>PG-1522602255</t>
  </si>
  <si>
    <t>PG-1522602256</t>
  </si>
  <si>
    <t>PG-1522602257</t>
  </si>
  <si>
    <t>PG-1522602258</t>
  </si>
  <si>
    <t>PG-1522602259</t>
  </si>
  <si>
    <t>PG-1522602260</t>
  </si>
  <si>
    <t>PG-1522602261</t>
  </si>
  <si>
    <t>PG-1522602262</t>
  </si>
  <si>
    <t>PG-1522602263</t>
  </si>
  <si>
    <t>PG-1522602264</t>
  </si>
  <si>
    <t>PG-1522602265</t>
  </si>
  <si>
    <t>PG-1522602266</t>
  </si>
  <si>
    <t>PG-1522602267</t>
  </si>
  <si>
    <t>PG-1522602268</t>
  </si>
  <si>
    <t>PG-1522602269</t>
  </si>
  <si>
    <t>PG-1522602270</t>
  </si>
  <si>
    <t>PG-1522602271</t>
  </si>
  <si>
    <t>PG-1522602272</t>
  </si>
  <si>
    <t>PG-1522602273</t>
  </si>
  <si>
    <t>PG-1522602274</t>
  </si>
  <si>
    <t>PG-1522602275</t>
  </si>
  <si>
    <t>PG-1522602276</t>
  </si>
  <si>
    <t>PG-1522602277</t>
  </si>
  <si>
    <t>PG-1522602278</t>
  </si>
  <si>
    <t>PG-1522602279</t>
  </si>
  <si>
    <t>PG-1522602280</t>
  </si>
  <si>
    <t>PG-1522602281</t>
  </si>
  <si>
    <t>PG-1522602282</t>
  </si>
  <si>
    <t>PG-1522602283</t>
  </si>
  <si>
    <t>PG-1522602284</t>
  </si>
  <si>
    <t>PG-1522602285</t>
  </si>
  <si>
    <t>PG-1522602286</t>
  </si>
  <si>
    <t>PG-1522602287</t>
  </si>
  <si>
    <t>PG-1522602288</t>
  </si>
  <si>
    <t>PG-1522602289</t>
  </si>
  <si>
    <t>PG-1522602290</t>
  </si>
  <si>
    <t>PG-1522602291</t>
  </si>
  <si>
    <t>PG-1522602292</t>
  </si>
  <si>
    <t>PG-1522602293</t>
  </si>
  <si>
    <t>PG-1522602294</t>
  </si>
  <si>
    <t>PG-1522602295</t>
  </si>
  <si>
    <t>PG-1522602296</t>
  </si>
  <si>
    <t>PG-1522602297</t>
  </si>
  <si>
    <t>PG-1522602298</t>
  </si>
  <si>
    <t>PG-1522602299</t>
  </si>
  <si>
    <t>PG-1522602300</t>
  </si>
  <si>
    <t>PG-1522602309</t>
  </si>
  <si>
    <t>Nama</t>
  </si>
  <si>
    <t>Kapasitas</t>
  </si>
  <si>
    <t>Alokasi IP</t>
  </si>
  <si>
    <t>JUMLAH
PEMAKAI</t>
  </si>
  <si>
    <t>ARMED 10</t>
  </si>
  <si>
    <t>AR-1</t>
  </si>
  <si>
    <t>10.152.10</t>
  </si>
  <si>
    <t>ARMED 20</t>
  </si>
  <si>
    <t>10.152.6-10.152.7</t>
  </si>
  <si>
    <t>ARMED 30</t>
  </si>
  <si>
    <t>10.152.5</t>
  </si>
  <si>
    <t>ARMED 50</t>
  </si>
  <si>
    <t>10.152.4</t>
  </si>
  <si>
    <t>ARMED 75</t>
  </si>
  <si>
    <t>10.152.3</t>
  </si>
  <si>
    <t>ARMED 100</t>
  </si>
  <si>
    <t>10.152.2</t>
  </si>
  <si>
    <t>ARMED 150</t>
  </si>
  <si>
    <t>AR-7</t>
  </si>
  <si>
    <t>ARMED 200</t>
  </si>
  <si>
    <t>AR-8</t>
  </si>
  <si>
    <t>HEROIK 10</t>
  </si>
  <si>
    <t>HR-11</t>
  </si>
  <si>
    <t>HEROIK 20</t>
  </si>
  <si>
    <t>HR-12</t>
  </si>
  <si>
    <t>HEROIK 30</t>
  </si>
  <si>
    <t>HR-13</t>
  </si>
  <si>
    <t>HEROIK 40</t>
  </si>
  <si>
    <t>HR-14</t>
  </si>
  <si>
    <t>HEROIK 50</t>
  </si>
  <si>
    <t>HR-15</t>
  </si>
  <si>
    <t>HEROIK 100</t>
  </si>
  <si>
    <t>HR-16</t>
  </si>
  <si>
    <t>HEROIK 150</t>
  </si>
  <si>
    <t>HR-17</t>
  </si>
  <si>
    <t>ALAMAT</t>
  </si>
  <si>
    <t>JUM.PELANGGAN PER BULAN</t>
  </si>
  <si>
    <t>JUM.CSR PER BULAN</t>
  </si>
  <si>
    <t>TOTAL</t>
  </si>
  <si>
    <t>PEMBAGIAN DANA</t>
  </si>
  <si>
    <t>Prof.</t>
  </si>
  <si>
    <t>Kab.</t>
  </si>
  <si>
    <t>Kec.</t>
  </si>
  <si>
    <t>JUN</t>
  </si>
  <si>
    <t>JUL</t>
  </si>
  <si>
    <t>AGU</t>
  </si>
  <si>
    <t>SEP</t>
  </si>
  <si>
    <t>OKT</t>
  </si>
  <si>
    <t>NOV</t>
  </si>
  <si>
    <t>DES</t>
  </si>
  <si>
    <t>DANA DESA
(Rp1.000)</t>
  </si>
  <si>
    <t>DANA RT
(Rp2.000)</t>
  </si>
  <si>
    <t>STATUS
PENCAIRAN</t>
  </si>
  <si>
    <t>TGL BAYAR</t>
  </si>
  <si>
    <t>(Historis Maret-Mei 2026)</t>
  </si>
  <si>
    <t>jawa tengah</t>
  </si>
  <si>
    <t>Berbagai Desa</t>
  </si>
  <si>
    <t>Belum Dibayar</t>
  </si>
  <si>
    <t>banyumas</t>
  </si>
  <si>
    <t>gumelar</t>
  </si>
  <si>
    <t>KARANG TANJUNG</t>
  </si>
  <si>
    <t>REKAP PER DESA (Total Semua RT Digabung)</t>
  </si>
  <si>
    <t>DESA</t>
  </si>
  <si>
    <t>JUMLAH
PELANGGAN</t>
  </si>
  <si>
    <t>TOTAL CSR
2026</t>
  </si>
  <si>
    <t>(Historis, belum per-desa)</t>
  </si>
  <si>
    <t>TOTAL SEMUA DESA</t>
  </si>
  <si>
    <t>TOTAL DANA BELUM DICAIRKAN</t>
  </si>
  <si>
    <t>Sheet ini untuk mencatat fee mitra/marketing per pelanggan yang mereka referensikan. Data akan diisi menyusul.</t>
  </si>
  <si>
    <t>NAMA MARKETING/MITRA</t>
  </si>
  <si>
    <t>LOKASI</t>
  </si>
  <si>
    <t>NAMA CLIENT</t>
  </si>
  <si>
    <t>JUMLAH FEE (Rp)</t>
  </si>
  <si>
    <t>TGL DAFTAR</t>
  </si>
  <si>
    <t>SUMBER DATA</t>
  </si>
  <si>
    <t>Pak Yusuf</t>
  </si>
  <si>
    <t>Balaidesa Gumelar</t>
  </si>
  <si>
    <t>1_Calon_Pelanggan row6 (PSB15226063005)</t>
  </si>
  <si>
    <t>Suripno</t>
  </si>
  <si>
    <t>1_Calon_Pelanggan row7 (PSB15226063006)</t>
  </si>
  <si>
    <t>Agan</t>
  </si>
  <si>
    <t>Siti Solehati</t>
  </si>
  <si>
    <t>1_Calon_Pelanggan row8 (PSB15226063008)</t>
  </si>
  <si>
    <t>Andre Sayur</t>
  </si>
  <si>
    <t>1_Calon_Pelanggan row9 (PSB15226063011)</t>
  </si>
  <si>
    <t>Suliyah</t>
  </si>
  <si>
    <t>1_Calon_Pelanggan row10 (PSB15226063014)</t>
  </si>
  <si>
    <t>Andono</t>
  </si>
  <si>
    <t>Dani Iskandar Slamet</t>
  </si>
  <si>
    <t>1_Calon_Pelanggan row16 (PSB15226070505)</t>
  </si>
  <si>
    <t>REKAP PER MARKETING</t>
  </si>
  <si>
    <t>JUMLAH REFERRAL</t>
  </si>
  <si>
    <t>TOTAL FEE</t>
  </si>
  <si>
    <t>Catatan: Tgl Daftar diambil dari kode PSB di sheet 1_Calon_Pelanggan. Format: PSB[kode wilayah][MM][DD][urutan] — contoh PSB15226063005 = tanggal 30 (DD), bulan 06/Juni (MM).</t>
  </si>
  <si>
    <t>MASTER ODP — Kapasitas &amp; Pemakaian Jaringan</t>
  </si>
  <si>
    <t>STRUKTUR SUDAH SIAP — kolom Kapasitas Maks &amp; Desa/Lokasi masih perlu dilengkapi tim teknisi (data menyusul)</t>
  </si>
  <si>
    <t>KODE ODP</t>
  </si>
  <si>
    <t>JUMLAH PORT TERPAKAI (live)</t>
  </si>
  <si>
    <t>KAPASITAS MAKS</t>
  </si>
  <si>
    <t>SISA SLOT</t>
  </si>
  <si>
    <t>DESA / LOKASI (isi manual)</t>
  </si>
  <si>
    <t>1/1/1</t>
  </si>
  <si>
    <t>1/1/2</t>
  </si>
  <si>
    <t>1/1/3</t>
  </si>
  <si>
    <t>1/1/4</t>
  </si>
  <si>
    <t>1/1/5</t>
  </si>
  <si>
    <t>1/1/7</t>
  </si>
  <si>
    <t>1/1/8</t>
  </si>
  <si>
    <t>1/1/9</t>
  </si>
  <si>
    <t>1/1/10</t>
  </si>
  <si>
    <t>1/1/11</t>
  </si>
  <si>
    <t>1/1/12</t>
  </si>
  <si>
    <t>1/1/13</t>
  </si>
  <si>
    <t>1/1/14</t>
  </si>
  <si>
    <t>1/1/15</t>
  </si>
  <si>
    <t>1/1/16</t>
  </si>
  <si>
    <t>MONITORING NETWATCH MIKROTIK — Auto-Match ke Data Pelanggan</t>
  </si>
  <si>
    <t>IP ADDRESS
(paste dari Netwatch)</t>
  </si>
  <si>
    <t>STATUS KONEKSI
(paste dari Netwatch)</t>
  </si>
  <si>
    <t>RW/RT</t>
  </si>
  <si>
    <t>PAKET</t>
  </si>
  <si>
    <t>STATUS BERLANGGANAN</t>
  </si>
  <si>
    <t>CHAT WA</t>
  </si>
  <si>
    <t>WA - Follow Up
Gangguan</t>
  </si>
  <si>
    <t>DOWN</t>
  </si>
  <si>
    <t>10.152.2.6</t>
  </si>
  <si>
    <t>10.152.3.18</t>
  </si>
  <si>
    <t>10.152.3.22</t>
  </si>
  <si>
    <t>10.152.4.26</t>
  </si>
  <si>
    <t>10.152.4.30</t>
  </si>
  <si>
    <t>10.152.5.2</t>
  </si>
  <si>
    <t>10.152.5.14</t>
  </si>
  <si>
    <t>UP</t>
  </si>
  <si>
    <t>10.152.3.14</t>
  </si>
  <si>
    <t>10.152.5.30</t>
  </si>
  <si>
    <t>10.152.6.170</t>
  </si>
  <si>
    <t>10.152.6.178</t>
  </si>
  <si>
    <t>10.152.6.242</t>
  </si>
  <si>
    <t>10.152.7.142</t>
  </si>
  <si>
    <t>TAGIHAN BULANAN — Riwayat Pembayaran Pelanggan (2026)</t>
  </si>
  <si>
    <t>OTOMATIS: baris ini menarik langsung semua pelanggan dari 2_Data_Pelanggan. Pelanggan baru otomatis muncul di sini (siap diisi bayar bulanannya).</t>
  </si>
  <si>
    <t>ID (ARM)</t>
  </si>
  <si>
    <t>HARGA ACUAN
SAAT INI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</si>
  <si>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</si>
  <si>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</si>
  <si>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</si>
  <si>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</si>
  <si>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</si>
  <si>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</si>
  <si>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</si>
  <si>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</si>
  <si>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</si>
  <si>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</si>
  <si>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</si>
  <si>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</si>
  <si>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TOTAL 2026</t>
  </si>
  <si>
    <t>TOTAL SEMUA PELANGGAN</t>
  </si>
  <si>
    <t>ARMEDIA NET</t>
  </si>
  <si>
    <t>SLIP GAJI</t>
  </si>
  <si>
    <t>Internet Service Provider — Gumelar, Banyumas, Jawa Tengah</t>
  </si>
  <si>
    <t>DATA KARYAWAN  (isi sel kuning saja)</t>
  </si>
  <si>
    <t>Nama Karyawan</t>
  </si>
  <si>
    <t>Masa Kerja</t>
  </si>
  <si>
    <t>Jabatan</t>
  </si>
  <si>
    <t>Teknisi</t>
  </si>
  <si>
    <t>Tanggal Cetak</t>
  </si>
  <si>
    <t>Bulan Periode (1-12)</t>
  </si>
  <si>
    <t>Fee IKR / Pelanggan</t>
  </si>
  <si>
    <t>Tahun Periode</t>
  </si>
  <si>
    <t>Jumlah Teknisi Pasang</t>
  </si>
  <si>
    <t>Tanggal Masuk Kerja</t>
  </si>
  <si>
    <t>Karyawan Tetap (Setelah Training)</t>
  </si>
  <si>
    <t>KOMPONEN</t>
  </si>
  <si>
    <t>JUMLAH</t>
  </si>
  <si>
    <t>TARIF</t>
  </si>
  <si>
    <t>KETERANGAN</t>
  </si>
  <si>
    <t>Gaji Pokok</t>
  </si>
  <si>
    <t>Tarif bulanan</t>
  </si>
  <si>
    <t>Tunjangan Kinerja (IKR)</t>
  </si>
  <si>
    <t>Tunjangan Transport</t>
  </si>
  <si>
    <t>Per hari hadir</t>
  </si>
  <si>
    <t>Fee Marketing (Referral)</t>
  </si>
  <si>
    <t>Per pelanggan referral</t>
  </si>
  <si>
    <t>Total Pendapatan</t>
  </si>
  <si>
    <t>POTONGAN  (kosongkan kalau tidak ada)</t>
  </si>
  <si>
    <t>Potongan - Kasbon</t>
  </si>
  <si>
    <t>Dipotong dari gaji</t>
  </si>
  <si>
    <t>Potongan - Lain-lain</t>
  </si>
  <si>
    <t>Total Potongan</t>
  </si>
  <si>
    <t>TOTAL GAJI DITERIMA</t>
  </si>
  <si>
    <t>Catatan:</t>
  </si>
  <si>
    <t>- Tunjangan Kinerja: fee IKR per pelanggan (Rp40.000) dibagi rata ke jumlah teknisi yang ikut memasang.</t>
  </si>
  <si>
    <t>- Tunjangan Transport dihitung dari jumlah hari kerja sesuai laporan harian.</t>
  </si>
  <si>
    <t>- Fee Marketing dihitung dari jumlah pelanggan baru hasil referral karyawan ini.</t>
  </si>
  <si>
    <t>- Slip gaji ini diterbitkan secara resmi dan bersifat rahasia.</t>
  </si>
  <si>
    <t>Diterima oleh,</t>
  </si>
  <si>
    <t>Hormat kami,</t>
  </si>
  <si>
    <t>CARA PAKAI</t>
  </si>
  <si>
    <t>Sel KUNING</t>
  </si>
  <si>
    <t>Diisi manual: data karyawan, Fee IKR, Jumlah Teknisi Pasang, jumlah IKR, hari hadir, jumlah referral, dan potongan.</t>
  </si>
  <si>
    <t>Tarif IKR</t>
  </si>
  <si>
    <t>Otomatis = Fee IKR (F9) dibagi Jumlah Teknisi Pasang (F10). Contoh: Rp40.000 / 4 orang = Rp10.000 per pelanggan.</t>
  </si>
  <si>
    <t>Sel putih/abu</t>
  </si>
  <si>
    <t>Otomatis dihitung — JANGAN diketik manual, nanti rumusnya rusak.</t>
  </si>
  <si>
    <t>Kalau tidak ada potongan</t>
  </si>
  <si>
    <t>Kosongkan sel TARIF pada baris Kasbon / Lain-lain. Otomatis jadi Rp0.</t>
  </si>
  <si>
    <t>Kalau tidak ada referral</t>
  </si>
  <si>
    <t>Isi 0 di kolom JUMLAH baris Fee Marketing. Otomatis jadi Rp0.</t>
  </si>
  <si>
    <t>Slip untuk banyak orang</t>
  </si>
  <si>
    <t>Isi 1 karyawan, print/simpan PDF, lalu ganti datanya untuk karyawan berikutnya.</t>
  </si>
  <si>
    <t>📋 TABEL PRO-RATA TAGIHAN BULAN PERTAMA</t>
  </si>
  <si>
    <t>Tagihan bulan pertama = jumlah hari SETELAH tanggal pasang. Hari pasang tidak dihitung. Rumus: (30 - tgl pasang) x harga / 30</t>
  </si>
  <si>
    <t>TGL
PASANG</t>
  </si>
  <si>
    <t>🔧 GENERATOR PERINTAH REGISTRASI OLT + NETWATCH</t>
  </si>
  <si>
    <t>CARA PAKAI: Ketik ID Pelanggan di sel kuning. Lengkapi Port &amp; Index di sheet Data Pelanggan dulu. Semua perintah di bawah otomatis terisi — tinggal COPY per blok.</t>
  </si>
  <si>
    <t>ID Pelanggan:</t>
  </si>
  <si>
    <t>ARM-0163</t>
  </si>
  <si>
    <t>👤 DATA PELANGGAN (otomatis)</t>
  </si>
  <si>
    <t>🔍 LANGKAH 1 — CEK SEBELUM REGISTRASI</t>
  </si>
  <si>
    <t>Jalankan satu per satu. Pastikan SN tidak bentrok &amp; index kosong.</t>
  </si>
  <si>
    <t>⚙️ LANGKAH 2A — REGISTRASI ONU BARU (index baru)</t>
  </si>
  <si>
    <t>🔄 LANGKAH 2B — GANTI ONT (replace, index sama)</t>
  </si>
  <si>
    <t>⚙️ LANGKAH 3 — KONFIGURASI ONU (sama untuk baru &amp; ganti)</t>
  </si>
  <si>
    <t>⚙️ LANGKAH 4 — FLOW MANAGEMENT (WAJIB!) + SIMPAN</t>
  </si>
  <si>
    <t>🌐 LANGKAH 5 — NETWATCH MIKROTIK</t>
  </si>
  <si>
    <t>Login SSH dulu, lalu pilih ADD (pelanggan baru) atau SET (ganti ONT).</t>
  </si>
  <si>
    <t>ADD — pelanggan baru:</t>
  </si>
  <si>
    <t>SET — update (ganti ONT saja):</t>
  </si>
  <si>
    <t>✅ VERIFIKASI AKHIR</t>
  </si>
  <si>
    <t>⚠️ Data teknis versi LAMA — berpotensi duplikat dengan "Data Pelanggan". Jangan input data baru di sini.</t>
  </si>
  <si>
    <t>SIG</t>
  </si>
  <si>
    <t>PON</t>
  </si>
  <si>
    <t>NO HP</t>
  </si>
  <si>
    <t>S/N</t>
  </si>
  <si>
    <t>JARAK</t>
  </si>
  <si>
    <t>TANGGAL PASANG</t>
  </si>
  <si>
    <t>✓</t>
  </si>
  <si>
    <t>0821098956552</t>
  </si>
  <si>
    <t>33021525067600001</t>
  </si>
  <si>
    <t>27-04-2026</t>
  </si>
  <si>
    <t>28-04-2026</t>
  </si>
  <si>
    <t>ZXIC074F38IF</t>
  </si>
  <si>
    <t>085385768458</t>
  </si>
  <si>
    <t xml:space="preserve"> ZXICO74F32E2F</t>
  </si>
  <si>
    <t>SUMARNO</t>
  </si>
  <si>
    <t>ZXIC074F3E9F</t>
  </si>
  <si>
    <t>ZXIC074F3A2F</t>
  </si>
  <si>
    <t>G-15226061201</t>
  </si>
  <si>
    <t>ZX074F3AEF</t>
  </si>
  <si>
    <t>SRI MARTINI</t>
  </si>
  <si>
    <t>NASIM</t>
  </si>
  <si>
    <t>G-15226050302</t>
  </si>
  <si>
    <t>G-15260503112</t>
  </si>
  <si>
    <t>G-15226060001</t>
  </si>
  <si>
    <t>TURYATI</t>
  </si>
  <si>
    <t>G-15226052501</t>
  </si>
  <si>
    <t>ZXIC074F383F</t>
  </si>
  <si>
    <t>MUHAMMAD ABDUR R.</t>
  </si>
  <si>
    <t>KOMSIRAH</t>
  </si>
  <si>
    <t>1/1/</t>
  </si>
  <si>
    <t>VIDI PRASTYO</t>
  </si>
  <si>
    <t>SIGIT ARIYANTO</t>
  </si>
  <si>
    <t>PG-1522002125</t>
  </si>
  <si>
    <t>WINDAH EKA SARI</t>
  </si>
  <si>
    <t>ZXIC074F3EDF</t>
  </si>
  <si>
    <t>ZXIC074F3FCF</t>
  </si>
  <si>
    <t>GUMELAR ( CILENGKONG )</t>
  </si>
  <si>
    <t>ANITA</t>
  </si>
  <si>
    <t xml:space="preserve"> ZXIC074F366F</t>
  </si>
  <si>
    <t xml:space="preserve"> 10.152.7.218</t>
  </si>
  <si>
    <t>ZXIC074F3DCF</t>
  </si>
  <si>
    <t xml:space="preserve"> 10.152.5.98</t>
  </si>
  <si>
    <t xml:space="preserve"> 10.152.5.102</t>
  </si>
  <si>
    <t xml:space="preserve"> SRIYATI NINGRUM</t>
  </si>
  <si>
    <t xml:space="preserve"> 10.152.7.226</t>
  </si>
  <si>
    <t>GUMELAR RT 3/RW 1</t>
  </si>
  <si>
    <t>GUMELAR RT 04/09</t>
  </si>
  <si>
    <t>ZXIC074F3C3F</t>
  </si>
  <si>
    <t>INVENTORY BARANG ARMEDIA WIFI</t>
  </si>
  <si>
    <t>NAMA BARANG</t>
  </si>
  <si>
    <t>MEREK</t>
  </si>
  <si>
    <t>MAC ADDRESS</t>
  </si>
  <si>
    <t>IP ADDRESS</t>
  </si>
  <si>
    <t>TGL KELUAR</t>
  </si>
  <si>
    <t>TEKNISI</t>
  </si>
  <si>
    <t>PELANGGAN</t>
  </si>
  <si>
    <t>REKAP STOK ONT</t>
  </si>
  <si>
    <t>ONT</t>
  </si>
  <si>
    <t>GTE</t>
  </si>
  <si>
    <t>64-F8-8A-4F-3F-6F</t>
  </si>
  <si>
    <t>192.168.1.1</t>
  </si>
  <si>
    <t>5i957g_2.4G</t>
  </si>
  <si>
    <t>5i957g_5G</t>
  </si>
  <si>
    <t>NEW</t>
  </si>
  <si>
    <t>TERPAKAI</t>
  </si>
  <si>
    <t>Total unit (NEW)</t>
  </si>
  <si>
    <t>ZXIC074F3EBF</t>
  </si>
  <si>
    <t>64-F8-8A-4F-3E-BF</t>
  </si>
  <si>
    <t>5i95cg_2.4G</t>
  </si>
  <si>
    <t>5i95cg_5G</t>
  </si>
  <si>
    <t>Terpakai</t>
  </si>
  <si>
    <t>64-F8-8A-4F-3D-BF</t>
  </si>
  <si>
    <t>Tersedia (stok)</t>
  </si>
  <si>
    <t>64-F8-8A-4F-3D-CF</t>
  </si>
  <si>
    <t>5i95dg_2.4G</t>
  </si>
  <si>
    <t>5i95dg_5G</t>
  </si>
  <si>
    <t>ONT Error (retur)</t>
  </si>
  <si>
    <t>64-F8-8A-4F-3F-AF</t>
  </si>
  <si>
    <t>5i95bg_2.4G</t>
  </si>
  <si>
    <t>5i95bg_5G</t>
  </si>
  <si>
    <t>ZXIC074F3C1F</t>
  </si>
  <si>
    <t>64-F8-8A-4F-3C-1F</t>
  </si>
  <si>
    <t>5i952g_2.4G</t>
  </si>
  <si>
    <t>5i952g_5G</t>
  </si>
  <si>
    <t>ZXIC074F3F5F</t>
  </si>
  <si>
    <t>64-F8-8A-4F-3F-5F</t>
  </si>
  <si>
    <t>5i956g_2.4G</t>
  </si>
  <si>
    <t>5i956g_5G</t>
  </si>
  <si>
    <t>20/07/2026</t>
  </si>
  <si>
    <t>AGAN</t>
  </si>
  <si>
    <t>64-F8-8A-4F-36-6F</t>
  </si>
  <si>
    <t>64-F8-8A-4F-35-CF</t>
  </si>
  <si>
    <t>64-F8-8A-4F-39-BF</t>
  </si>
  <si>
    <t>64-F8-8A-4F-3F-7F</t>
  </si>
  <si>
    <t>5i958g_2.4G</t>
  </si>
  <si>
    <t>5i958g_5G</t>
  </si>
  <si>
    <t>ZXIC074F3E3F</t>
  </si>
  <si>
    <t>64-F8-8A-4F-3E-3F</t>
  </si>
  <si>
    <t>5i954g_2.4G</t>
  </si>
  <si>
    <t>5i954g_5G</t>
  </si>
  <si>
    <t>ZXIC074F3F8F</t>
  </si>
  <si>
    <t>64-F8-8A-4F-3F-8F</t>
  </si>
  <si>
    <t>5i959g_2.4G</t>
  </si>
  <si>
    <t>5i959g_5G</t>
  </si>
  <si>
    <t>ZXIC074F3F9F</t>
  </si>
  <si>
    <t>64-F8-8A-4F-3F-9F</t>
  </si>
  <si>
    <t>5i95ag_2.4G</t>
  </si>
  <si>
    <t>5i95ag_5G</t>
  </si>
  <si>
    <t>ZXIC074F37BF</t>
  </si>
  <si>
    <t>64-F8-8A-4F-37-BF</t>
  </si>
  <si>
    <t>18/07/2026</t>
  </si>
  <si>
    <t>IKHWAN</t>
  </si>
  <si>
    <t>64-F8-8A-4F-39-2F</t>
  </si>
  <si>
    <t>5i953g_2.4G</t>
  </si>
  <si>
    <t>5i953g_5G</t>
  </si>
  <si>
    <t>64-F8-8A-4F-3E-4F</t>
  </si>
  <si>
    <t>5i955g_2.4G</t>
  </si>
  <si>
    <t>5i955g_5G</t>
  </si>
  <si>
    <t>ZXIC074F3E5F</t>
  </si>
  <si>
    <t>64-F8-8A-4F-3E-5F</t>
  </si>
  <si>
    <t>64-F8-8A-4F-34-CF</t>
  </si>
  <si>
    <t>64-F8-8A-4F-34-FF</t>
  </si>
  <si>
    <t>5i95gg_2.4G</t>
  </si>
  <si>
    <t>5i95gg_5G</t>
  </si>
  <si>
    <t>64-F8-8A-4F-39-3F</t>
  </si>
  <si>
    <t>64-F8-8A-4F-3D-AF</t>
  </si>
  <si>
    <t>ZXIC074F3D9F</t>
  </si>
  <si>
    <t>64-F8-8A-4F-3D-9F</t>
  </si>
  <si>
    <t>64-F8-8A-4F-33-CF</t>
  </si>
  <si>
    <t>DIMAS</t>
  </si>
  <si>
    <t>ZXIC074F3BDF</t>
  </si>
  <si>
    <t>64-F8-8A-4F-3B-DF</t>
  </si>
  <si>
    <t>5i95eg_2.4G</t>
  </si>
  <si>
    <t>5i95eg_5G</t>
  </si>
  <si>
    <t>TERPAKAI ER0R</t>
  </si>
  <si>
    <t>64-F8-8A-4F-3B-EF</t>
  </si>
  <si>
    <t>5i95fg_2.4G</t>
  </si>
  <si>
    <t>5i95fg_5G</t>
  </si>
  <si>
    <t>ZXIC074F371F</t>
  </si>
  <si>
    <t>64-F8-8A-4F-37-1F</t>
  </si>
  <si>
    <t>ZXIC074F36EF</t>
  </si>
  <si>
    <t>64-F8-8A-4F-36-EF</t>
  </si>
  <si>
    <t>ZXIC074F3F3F</t>
  </si>
  <si>
    <t>64-F8-8A-4F-3F-3F</t>
  </si>
  <si>
    <t>ZXIC074F36FF</t>
  </si>
  <si>
    <t>64-F8-8A-4F-36-FF</t>
  </si>
  <si>
    <t>64-F8-8A-4F-33-8F</t>
  </si>
  <si>
    <t>64-F8-8A-4F-37-0F</t>
  </si>
  <si>
    <t>5i951g_2.4G</t>
  </si>
  <si>
    <t>5i951g_5G</t>
  </si>
  <si>
    <t>64-F8-8A-4F-39-8F</t>
  </si>
  <si>
    <t>64-F8-8A-4F-39-CF</t>
  </si>
  <si>
    <t>ZXIC074F39EF</t>
  </si>
  <si>
    <t>64-F8-8A-4F-39-EF</t>
  </si>
  <si>
    <t>64-F8-8A-4F-3B-3F</t>
  </si>
  <si>
    <t>64-F8-8A-4F-3A-BF</t>
  </si>
  <si>
    <t>ZXIC074F33DF</t>
  </si>
  <si>
    <t>64-F8-8A-4F-33-DF</t>
  </si>
  <si>
    <t>64-F8-8A-4F-34-1F</t>
  </si>
  <si>
    <t>ZXIC074F3A0F</t>
  </si>
  <si>
    <t>64-F8-8A-4F-3A-0F</t>
  </si>
  <si>
    <t>64-F8-8A-4F-37-CF</t>
  </si>
  <si>
    <t>64-F8-8A-4F-33-EF</t>
  </si>
  <si>
    <t>64-F8-8A-4F-3E-AF</t>
  </si>
  <si>
    <t>64-F8-8A-4F-35-2F</t>
  </si>
  <si>
    <t>64-F8-8A-4F-3A-AF</t>
  </si>
  <si>
    <t>ZXIC074F3A7F</t>
  </si>
  <si>
    <t>64-F8-8A-4F-3A-7F</t>
  </si>
  <si>
    <t>ZXIC074F3A1F</t>
  </si>
  <si>
    <t>64-F8-8A-4F-3A-1F</t>
  </si>
  <si>
    <t>ZXIC074F3B4F</t>
  </si>
  <si>
    <t>64-F8-8A-4F-3B-4F</t>
  </si>
  <si>
    <t>ZXIC074F3ACF</t>
  </si>
  <si>
    <t>64-F8-8A-4F-3A-CF</t>
  </si>
  <si>
    <t>ZXIC074F3E8F</t>
  </si>
  <si>
    <t>64-F8-8A-4F-3E-8F</t>
  </si>
  <si>
    <t>ZXIC074F39FF</t>
  </si>
  <si>
    <t>64-F8-8A-4F-39-FF</t>
  </si>
  <si>
    <t>ZXIC074F36AF</t>
  </si>
  <si>
    <t>64-F8-8A-4F-36-AF</t>
  </si>
  <si>
    <t>64-F8-8A-4F-3E-7F</t>
  </si>
  <si>
    <t>ZXIC074F3DEF</t>
  </si>
  <si>
    <t>64-F8-8A-4F-3D-EF</t>
  </si>
  <si>
    <t>ZXIC074F3B0F</t>
  </si>
  <si>
    <t>64-F8-8A-4F-3B-0F</t>
  </si>
  <si>
    <t>64-F8-8A-4F-3A-8F</t>
  </si>
  <si>
    <t>19/07/2026</t>
  </si>
  <si>
    <t>64-F8-8A-4F-36-DF</t>
  </si>
  <si>
    <t>ZXIC074F3DFF</t>
  </si>
  <si>
    <t>64-F8-8A-4F-3D-FF</t>
  </si>
  <si>
    <t>64-F8-8A-4F-33-BF</t>
  </si>
  <si>
    <t>ZXIC074F3BFF</t>
  </si>
  <si>
    <t>64-F8-8A-4F-3B-FF</t>
  </si>
  <si>
    <t>64-F8-8A-2F-06-9F</t>
  </si>
  <si>
    <t>5i93ag_2.4G</t>
  </si>
  <si>
    <t>5i93ag_5G</t>
  </si>
  <si>
    <t>64-F8-8A-4F-3B-1F</t>
  </si>
  <si>
    <t>15/07/2026</t>
  </si>
  <si>
    <t>ZXIC075E6F6F</t>
  </si>
  <si>
    <t>64-F8-8A-5E-6F-6F</t>
  </si>
  <si>
    <t>5i967g_2.4G</t>
  </si>
  <si>
    <t>5i967g_5G</t>
  </si>
  <si>
    <t xml:space="preserve">DATA ONT ERORR </t>
  </si>
  <si>
    <t>ZXIC074F3A4F</t>
  </si>
  <si>
    <t>64-F8-8A-4F-3A-4F</t>
  </si>
  <si>
    <t>EROR</t>
  </si>
  <si>
    <t>64-F8-8A-2E-A6-5F</t>
  </si>
  <si>
    <t>5i936g_2.4G</t>
  </si>
  <si>
    <t>5i936g_5G</t>
  </si>
  <si>
    <t>ZXIC074F3E2F</t>
  </si>
  <si>
    <t>64-F8-8A-4F-3E-2F</t>
  </si>
  <si>
    <t>64-F8-8A-4F-3A-3F</t>
  </si>
  <si>
    <t>ZXIC074F3E6F</t>
  </si>
  <si>
    <t>64-F8-8A-4F-3E-6F</t>
  </si>
  <si>
    <t>64-F8-8A-4F-3C-3F</t>
  </si>
  <si>
    <t>ZXIC074F3F4F</t>
  </si>
  <si>
    <t>64-F8-8A-4F-3F-4F</t>
  </si>
  <si>
    <t>ZXIC074F3B2F</t>
  </si>
  <si>
    <t>64-F8-8A-4F-3B-2F</t>
  </si>
  <si>
    <t>ZXIC074F362F</t>
  </si>
  <si>
    <t>64-F8-8A-4F-36-2F</t>
  </si>
  <si>
    <t>EROR RETUR DARI CUSTOMER</t>
  </si>
  <si>
    <t>ZXIC074F344F</t>
  </si>
  <si>
    <t>64-F8-8A-4F-34-4F</t>
  </si>
  <si>
    <t>ZXIC074F36CF</t>
  </si>
  <si>
    <t>64-F8-8A-4F-36-CF</t>
  </si>
  <si>
    <t>64-F8-8A-4F-3D-0F</t>
  </si>
  <si>
    <t>HWTC072EB5AF</t>
  </si>
  <si>
    <t>64-F8-8A-2E-B5-AF</t>
  </si>
  <si>
    <t>5i93bg_2.4G</t>
  </si>
  <si>
    <t>5i93bg_5G</t>
  </si>
  <si>
    <t>ZXIC074F3C0F</t>
  </si>
  <si>
    <t>64-F8-8A-4F-3C-0F</t>
  </si>
  <si>
    <t>ZXIC074F38FF</t>
  </si>
  <si>
    <t>64-F8-8A-4F-38-FF</t>
  </si>
  <si>
    <t>ZXIC074F34BF</t>
  </si>
  <si>
    <t>64-F8-8A-4F-34-BF</t>
  </si>
  <si>
    <t>64-F8-8A-4F-3C-7F</t>
  </si>
  <si>
    <t>64-F8-8A-4F-3A-9F</t>
  </si>
  <si>
    <t>ZXIC074F363F</t>
  </si>
  <si>
    <t>64-F8-8A-4F-36-3F</t>
  </si>
  <si>
    <t>ZXIC074F38BF</t>
  </si>
  <si>
    <t>64-F8-8A-4F-38-BF</t>
  </si>
  <si>
    <t>64-F8-8A-4F-3A-2F</t>
  </si>
  <si>
    <t>64-F8-8A-4F-3E-DF</t>
  </si>
  <si>
    <t>HWTC072EF40F</t>
  </si>
  <si>
    <t>64-F8-8A-2E-F4-0F</t>
  </si>
  <si>
    <t>5i931g_2.4G</t>
  </si>
  <si>
    <t>5i931g_5G</t>
  </si>
  <si>
    <t>ERROR</t>
  </si>
  <si>
    <t>HWTC072EF82F</t>
  </si>
  <si>
    <t>64-F8-8A-2E-F8-2F</t>
  </si>
  <si>
    <t>5i933g_2.4G</t>
  </si>
  <si>
    <t>5i933g_5G</t>
  </si>
  <si>
    <t>HWTC072F215F</t>
  </si>
  <si>
    <t>64-F8-8A-2F-21-5F</t>
  </si>
  <si>
    <t>HWTC072EE3AF</t>
  </si>
  <si>
    <t>64-F8-8A-2E-E3-AF</t>
  </si>
  <si>
    <t>64-F8-8A-2E-F3-EF</t>
  </si>
  <si>
    <t>64-F8-8A-2E-F8-FF</t>
  </si>
  <si>
    <t>EX DARIKEM</t>
  </si>
  <si>
    <t>EX TARYONO</t>
  </si>
  <si>
    <t>64-F8-8A-2E-D2-EF</t>
  </si>
  <si>
    <t>5i93fg_2.4G</t>
  </si>
  <si>
    <t>5i93fg_5G</t>
  </si>
  <si>
    <t>EROR EX WARSITO</t>
  </si>
  <si>
    <t xml:space="preserve">NOTA </t>
  </si>
  <si>
    <t>OPERASIONAL</t>
  </si>
  <si>
    <t>QTY</t>
  </si>
  <si>
    <t>HARGA SATUAN</t>
  </si>
  <si>
    <t xml:space="preserve">TOTAL HARGA </t>
  </si>
  <si>
    <t xml:space="preserve">NOTA KABEL </t>
  </si>
  <si>
    <t>KABEL LAN 1 CORE 100M</t>
  </si>
  <si>
    <t>1 ROL</t>
  </si>
  <si>
    <t xml:space="preserve">C-Data HONGAN DC 1C3S G657A1 1.0ml 1Km </t>
  </si>
  <si>
    <t>5,00 ROL</t>
  </si>
  <si>
    <t>HS-Airpo RJ45  Cat6 isi 50 Pcs EZRC6EU</t>
  </si>
  <si>
    <t>1,00 PKT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</si>
</sst>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p&quot;#,##0"/>
    <numFmt numFmtId="165" formatCode="dd/mm/yyyy"/>
    <numFmt numFmtId="166" formatCode="[$Rp-421]#,##0"/>
    <numFmt numFmtId="167" formatCode="&quot;Rp&quot;#,##0;[RED]&quot;-Rp&quot;#,##0"/>
    <numFmt numFmtId="168" formatCode="0.0"/>
    <numFmt numFmtId="169" formatCode="m/d/yyyy"/>
    <numFmt numFmtId="170" formatCode="dd\/mm\/yyyy"/>
    <numFmt numFmtId="171" formatCode="dd/mm/yyyy\ h:mm:ss"/>
    <numFmt numFmtId="172" formatCode="yyyy\-mm\-dd\ h:mm:ss"/>
  </numFmts>
  <fonts count="94">
    <font>
      <sz val="11.0"/>
      <color rgb="FF000000"/>
      <name val="Calibri"/>
      <scheme val="minor"/>
    </font>
    <font>
      <b/>
      <sz val="18.0"/>
      <color rgb="FF1F4E78"/>
      <name val="Arial"/>
    </font>
    <font>
      <i/>
      <sz val="10.0"/>
      <color rgb="FF808080"/>
      <name val="Arial"/>
    </font>
    <font>
      <b/>
      <sz val="10.0"/>
      <color rgb="FFFFFFFF"/>
      <name val="Arial"/>
    </font>
    <font/>
    <font>
      <b/>
      <sz val="24.0"/>
      <color rgb="FFFFFFFF"/>
      <name val="Arial"/>
    </font>
    <font>
      <sz val="9.0"/>
      <color rgb="FFFFFFFF"/>
      <name val="Arial"/>
    </font>
    <font>
      <b/>
      <sz val="12.0"/>
      <color rgb="FF1F4E78"/>
      <name val="Arial"/>
    </font>
    <font>
      <b/>
      <sz val="11.0"/>
      <color rgb="FFC00000"/>
      <name val="Arial"/>
    </font>
    <font>
      <sz val="10.0"/>
      <color rgb="FF262626"/>
      <name val="Arial"/>
    </font>
    <font>
      <i/>
      <sz val="9.0"/>
      <color rgb="FF808080"/>
      <name val="Arial"/>
    </font>
    <font>
      <sz val="11.0"/>
      <color theme="1"/>
      <name val="Cambria"/>
    </font>
    <font>
      <sz val="11.0"/>
      <color theme="1"/>
      <name val="Calibri"/>
    </font>
    <font>
      <b/>
      <u/>
      <sz val="10.0"/>
      <color rgb="FFFFFFFF"/>
      <name val="Arial"/>
    </font>
    <font>
      <b/>
      <u/>
      <sz val="11.0"/>
      <color rgb="FF1F4E78"/>
      <name val="Arial"/>
    </font>
    <font>
      <b/>
      <u/>
      <sz val="11.0"/>
      <color rgb="FF1F4E78"/>
      <name val="Arial"/>
    </font>
    <font>
      <sz val="11.0"/>
      <color rgb="FF000000"/>
      <name val="Calibri"/>
    </font>
    <font>
      <b/>
      <u/>
      <sz val="11.0"/>
      <color rgb="FF1F4E78"/>
      <name val="Arial"/>
    </font>
    <font>
      <b/>
      <sz val="10.0"/>
      <color rgb="FFC00000"/>
      <name val="Arial"/>
    </font>
    <font>
      <i/>
      <sz val="9.0"/>
      <color rgb="FF595959"/>
      <name val="Arial"/>
    </font>
    <font>
      <b/>
      <sz val="11.0"/>
      <color rgb="FF1F4E78"/>
      <name val="Arial"/>
    </font>
    <font>
      <b/>
      <sz val="10.0"/>
      <color rgb="FF0F6E6E"/>
      <name val="Arial"/>
    </font>
    <font>
      <sz val="10.0"/>
      <color rgb="FF333333"/>
      <name val="Arial"/>
    </font>
    <font>
      <b/>
      <u/>
      <sz val="10.0"/>
      <color rgb="FF0F6E6E"/>
      <name val="Arial"/>
    </font>
    <font>
      <b/>
      <sz val="11.0"/>
      <color rgb="FFC00000"/>
      <name val="Calibri"/>
      <scheme val="minor"/>
    </font>
    <font>
      <b/>
      <sz val="9.0"/>
      <color rgb="FF7F6000"/>
      <name val="Arial"/>
    </font>
    <font>
      <b/>
      <sz val="11.0"/>
      <color theme="1"/>
      <name val="Calibri"/>
    </font>
    <font>
      <sz val="10.0"/>
      <color rgb="FF7F7F7F"/>
      <name val="Arial"/>
    </font>
    <font>
      <b/>
      <sz val="9.0"/>
      <color rgb="FF006100"/>
      <name val="Arial"/>
    </font>
    <font>
      <b/>
      <sz val="9.0"/>
      <color rgb="FFFFFFFF"/>
      <name val="Arial"/>
    </font>
    <font>
      <sz val="10.0"/>
      <color rgb="FF595959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sz val="10.0"/>
      <color theme="1"/>
      <name val="Arial"/>
    </font>
    <font>
      <b/>
      <sz val="10.0"/>
      <color rgb="FF7B2D8E"/>
      <name val="Arial"/>
    </font>
    <font>
      <sz val="9.0"/>
      <color rgb="FF555555"/>
      <name val="Arial"/>
    </font>
    <font>
      <u/>
      <sz val="10.0"/>
      <color rgb="FF0563C1"/>
      <name val="Arial"/>
    </font>
    <font>
      <sz val="10.0"/>
      <color rgb="FF0563C1"/>
      <name val="Arial"/>
    </font>
    <font>
      <u/>
      <sz val="10.0"/>
      <color rgb="FF262626"/>
      <name val="Arial"/>
    </font>
    <font>
      <u/>
      <sz val="10.0"/>
      <color rgb="FF262626"/>
      <name val="Arial"/>
    </font>
    <font>
      <u/>
      <sz val="11.0"/>
      <color rgb="FF000000"/>
      <name val="Calibri"/>
    </font>
    <font>
      <b/>
      <sz val="10.0"/>
      <color rgb="FF1F4E78"/>
      <name val="Arial"/>
    </font>
    <font>
      <b/>
      <sz val="14.0"/>
      <color rgb="FF1F4E78"/>
      <name val="Arial"/>
    </font>
    <font>
      <b/>
      <sz val="10.0"/>
      <color rgb="FF595959"/>
      <name val="Arial"/>
    </font>
    <font>
      <b/>
      <sz val="20.0"/>
      <color rgb="FF1F4E78"/>
      <name val="Arial"/>
    </font>
    <font>
      <b/>
      <sz val="20.0"/>
      <color rgb="FFC00000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0.0"/>
      <color rgb="FF006100"/>
      <name val="Arial"/>
    </font>
    <font>
      <b/>
      <sz val="9.0"/>
      <color rgb="FFC00000"/>
      <name val="Arial"/>
    </font>
    <font>
      <i/>
      <sz val="9.0"/>
      <color rgb="FF7F7F7F"/>
      <name val="Arial"/>
    </font>
    <font>
      <b/>
      <sz val="10.0"/>
      <color rgb="FFA04000"/>
      <name val="Arial"/>
    </font>
    <font>
      <b/>
      <sz val="10.0"/>
      <color rgb="FF943126"/>
      <name val="Arial"/>
    </font>
    <font>
      <sz val="10.0"/>
      <color rgb="FFA04000"/>
      <name val="Arial"/>
    </font>
    <font>
      <sz val="10.0"/>
      <color rgb="FF186A3B"/>
      <name val="Arial"/>
    </font>
    <font>
      <b/>
      <sz val="10.0"/>
      <color rgb="FF186A3B"/>
      <name val="Arial"/>
    </font>
    <font>
      <sz val="10.0"/>
      <color rgb="FF5B2C87"/>
      <name val="Arial"/>
    </font>
    <font>
      <b/>
      <sz val="10.0"/>
      <color rgb="FF5B2C87"/>
      <name val="Arial"/>
    </font>
    <font>
      <sz val="10.0"/>
      <color rgb="FF943126"/>
      <name val="Arial"/>
    </font>
    <font>
      <sz val="10.0"/>
      <color rgb="FF1F4E78"/>
      <name val="Arial"/>
    </font>
    <font>
      <sz val="10.0"/>
      <color rgb="FF9C640C"/>
      <name val="Arial"/>
    </font>
    <font>
      <b/>
      <sz val="10.0"/>
      <color rgb="FF9C640C"/>
      <name val="Arial"/>
    </font>
    <font>
      <sz val="10.0"/>
      <color rgb="FF1A5276"/>
      <name val="Arial"/>
    </font>
    <font>
      <b/>
      <sz val="10.0"/>
      <color rgb="FF1A5276"/>
      <name val="Arial"/>
    </font>
    <font>
      <sz val="11.0"/>
      <color rgb="FF000000"/>
      <name val="Times New Roman"/>
    </font>
    <font>
      <b/>
      <sz val="9.0"/>
      <color rgb="FF9C6500"/>
      <name val="Arial"/>
    </font>
    <font>
      <b/>
      <sz val="9.0"/>
      <color rgb="FFAD1457"/>
      <name val="Arial"/>
    </font>
    <font>
      <b/>
      <sz val="10.0"/>
      <color rgb="FF9C6500"/>
      <name val="Arial"/>
    </font>
    <font>
      <i/>
      <sz val="9.0"/>
      <color rgb="FF7030A0"/>
      <name val="Arial"/>
    </font>
    <font>
      <sz val="9.0"/>
      <color rgb="FFBFBFBF"/>
      <name val="Arial"/>
    </font>
    <font>
      <sz val="9.0"/>
      <color rgb="FF006100"/>
      <name val="Arial"/>
    </font>
    <font>
      <b/>
      <sz val="9.0"/>
      <color theme="1"/>
      <name val="Arial"/>
    </font>
    <font>
      <b/>
      <sz val="18.0"/>
      <color rgb="FFFFFFFF"/>
      <name val="Arial"/>
    </font>
    <font>
      <b/>
      <sz val="14.0"/>
      <color rgb="FFFFFFFF"/>
      <name val="Arial"/>
    </font>
    <font>
      <sz val="10.0"/>
      <color rgb="FFFFFFFF"/>
      <name val="Arial"/>
    </font>
    <font>
      <sz val="8.0"/>
      <color rgb="FF7F7F7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7F7F7F"/>
      <name val="Arial"/>
    </font>
    <font>
      <sz val="10.0"/>
      <color rgb="FFC00000"/>
      <name val="Arial"/>
    </font>
    <font>
      <b/>
      <sz val="14.0"/>
      <color rgb="FFC00000"/>
      <name val="Arial"/>
    </font>
    <font>
      <i/>
      <sz val="8.0"/>
      <color rgb="FF7F7F7F"/>
      <name val="Arial"/>
    </font>
    <font>
      <b/>
      <sz val="9.0"/>
      <color rgb="FF1F4E78"/>
      <name val="Arial"/>
    </font>
    <font>
      <sz val="10.0"/>
      <color rgb="FFC55A11"/>
      <name val="Arial"/>
    </font>
    <font>
      <b/>
      <sz val="15.0"/>
      <color rgb="FFFFFFFF"/>
      <name val="Arial"/>
    </font>
    <font>
      <b/>
      <sz val="14.0"/>
      <color theme="1"/>
      <name val="Arial"/>
    </font>
    <font>
      <b/>
      <sz val="11.0"/>
      <color rgb="FFFFFFFF"/>
      <name val="Arial"/>
    </font>
    <font>
      <sz val="10.0"/>
      <color rgb="FFD4D4D4"/>
      <name val="Consolas"/>
    </font>
    <font>
      <b/>
      <sz val="10.0"/>
      <color rgb="FFC55A11"/>
      <name val="Arial"/>
    </font>
    <font>
      <b/>
      <sz val="9.0"/>
      <color rgb="FF9C0006"/>
      <name val="Arial"/>
    </font>
    <font>
      <u/>
      <sz val="10.0"/>
      <color rgb="FF262626"/>
      <name val="Arial"/>
    </font>
    <font>
      <b/>
      <sz val="11.0"/>
      <color rgb="FF1F4E78"/>
      <name val="Cambria"/>
    </font>
    <font>
      <sz val="10.0"/>
      <color theme="1"/>
      <name val="Cambria"/>
    </font>
    <font>
      <b/>
      <sz val="10.0"/>
      <color rgb="FF0F6E6E"/>
      <name val="Cambria"/>
    </font>
  </fonts>
  <fills count="4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692E98"/>
        <bgColor rgb="FF692E98"/>
      </patternFill>
    </fill>
    <fill>
      <patternFill patternType="solid">
        <fgColor rgb="FFFDEDEC"/>
        <bgColor rgb="FFFDEDEC"/>
      </patternFill>
    </fill>
    <fill>
      <patternFill patternType="solid">
        <fgColor rgb="FFFFF9E6"/>
        <bgColor rgb="FFFFF9E6"/>
      </patternFill>
    </fill>
    <fill>
      <patternFill patternType="solid">
        <fgColor rgb="FF1F5184"/>
        <bgColor rgb="FF1F5184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  <fill>
      <patternFill patternType="solid">
        <fgColor rgb="FF00B0F0"/>
        <bgColor rgb="FF00B0F0"/>
      </patternFill>
    </fill>
    <fill>
      <patternFill patternType="solid">
        <fgColor rgb="FFC18F00"/>
        <bgColor rgb="FFC18F00"/>
      </patternFill>
    </fill>
    <fill>
      <patternFill patternType="solid">
        <fgColor rgb="FFFF0000"/>
        <bgColor rgb="FFFF0000"/>
      </patternFill>
    </fill>
    <fill>
      <patternFill patternType="solid">
        <fgColor rgb="FFFF66CC"/>
        <bgColor rgb="FFFF66CC"/>
      </patternFill>
    </fill>
    <fill>
      <patternFill patternType="solid">
        <fgColor rgb="FF4472C4"/>
        <bgColor rgb="FF4472C4"/>
      </patternFill>
    </fill>
    <fill>
      <patternFill patternType="solid">
        <fgColor rgb="FFEAF7F2"/>
        <bgColor rgb="FFEAF7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7F9FB"/>
        <bgColor rgb="FFF7F9FB"/>
      </patternFill>
    </fill>
    <fill>
      <patternFill patternType="solid">
        <fgColor rgb="FFEDF3F2"/>
        <bgColor rgb="FFEDF3F2"/>
      </patternFill>
    </fill>
    <fill>
      <patternFill patternType="solid">
        <fgColor rgb="FF16693C"/>
        <bgColor rgb="FF16693C"/>
      </patternFill>
    </fill>
    <fill>
      <patternFill patternType="solid">
        <fgColor rgb="FF7F7F7F"/>
        <bgColor rgb="FF7F7F7F"/>
      </patternFill>
    </fill>
    <fill>
      <patternFill patternType="solid">
        <fgColor rgb="FF7B2D8E"/>
        <bgColor rgb="FF7B2D8E"/>
      </patternFill>
    </fill>
    <fill>
      <patternFill patternType="solid">
        <fgColor rgb="FFB6D7A8"/>
        <bgColor rgb="FFB6D7A8"/>
      </patternFill>
    </fill>
    <fill>
      <patternFill patternType="solid">
        <fgColor rgb="FFEBF6F5"/>
        <bgColor rgb="FFEBF6F5"/>
      </patternFill>
    </fill>
    <fill>
      <patternFill patternType="solid">
        <fgColor rgb="FFE8BDD0"/>
        <bgColor rgb="FFE8BDD0"/>
      </patternFill>
    </fill>
    <fill>
      <patternFill patternType="solid">
        <fgColor rgb="FFEAF7EB"/>
        <bgColor rgb="FFEAF7EB"/>
      </patternFill>
    </fill>
    <fill>
      <patternFill patternType="solid">
        <fgColor rgb="FFC6EFCE"/>
        <bgColor rgb="FFC6EFCE"/>
      </patternFill>
    </fill>
    <fill>
      <patternFill patternType="solid">
        <fgColor rgb="FFE8F0FE"/>
        <bgColor rgb="FFE8F0FE"/>
      </patternFill>
    </fill>
    <fill>
      <patternFill patternType="solid">
        <fgColor rgb="FFFDF2E8"/>
        <bgColor rgb="FFFDF2E8"/>
      </patternFill>
    </fill>
    <fill>
      <patternFill patternType="solid">
        <fgColor rgb="FFEEF1F1"/>
        <bgColor rgb="FFEEF1F1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E8DFF5"/>
        <bgColor rgb="FFE8DFF5"/>
      </patternFill>
    </fill>
    <fill>
      <patternFill patternType="solid">
        <fgColor rgb="FFFAE7E6"/>
        <bgColor rgb="FFFAE7E6"/>
      </patternFill>
    </fill>
    <fill>
      <patternFill patternType="solid">
        <fgColor rgb="FFDDEBF7"/>
        <bgColor rgb="FFDDEBF7"/>
      </patternFill>
    </fill>
    <fill>
      <patternFill patternType="solid">
        <fgColor rgb="FFFCF3CF"/>
        <bgColor rgb="FFFCF3CF"/>
      </patternFill>
    </fill>
    <fill>
      <patternFill patternType="solid">
        <fgColor rgb="FFD6EAF8"/>
        <bgColor rgb="FFD6E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F6E6E"/>
        <bgColor rgb="FF0F6E6E"/>
      </patternFill>
    </fill>
    <fill>
      <patternFill patternType="solid">
        <fgColor rgb="FF272727"/>
        <bgColor rgb="FF272727"/>
      </patternFill>
    </fill>
    <fill>
      <patternFill patternType="solid">
        <fgColor rgb="FFC55A11"/>
        <bgColor rgb="FFC55A11"/>
      </patternFill>
    </fill>
  </fills>
  <borders count="38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  <border>
      <bottom style="medium">
        <color rgb="FF1F4E78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5B7B1"/>
      </left>
      <right style="thin">
        <color rgb="FFF5B7B1"/>
      </right>
      <top style="thin">
        <color rgb="FFF5B7B1"/>
      </top>
      <bottom style="thin">
        <color rgb="FFF5B7B1"/>
      </bottom>
    </border>
    <border>
      <right style="thin">
        <color rgb="FFF5B7B1"/>
      </right>
      <top style="thin">
        <color rgb="FFF5B7B1"/>
      </top>
      <bottom style="thin">
        <color rgb="FFF5B7B1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ck">
        <color rgb="FFFFC000"/>
      </left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00B05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FF66CC"/>
      </left>
      <top/>
      <bottom/>
    </border>
    <border>
      <left/>
      <top/>
    </border>
    <border>
      <top/>
    </border>
    <border>
      <right/>
      <top/>
    </border>
    <border>
      <left/>
      <top/>
      <bottom/>
    </border>
    <border>
      <left/>
      <bottom/>
    </border>
    <border>
      <bottom/>
    </border>
    <border>
      <right/>
      <bottom/>
    </border>
    <border>
      <top style="thin">
        <color rgb="FFD9D9D9"/>
      </top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4" fillId="0" fontId="4" numFmtId="0" xfId="0" applyBorder="1" applyFont="1"/>
    <xf borderId="3" fillId="3" fontId="5" numFmtId="164" xfId="0" applyAlignment="1" applyBorder="1" applyFont="1" applyNumberFormat="1">
      <alignment horizontal="center" vertical="center"/>
    </xf>
    <xf borderId="3" fillId="4" fontId="5" numFmtId="164" xfId="0" applyAlignment="1" applyBorder="1" applyFont="1" applyNumberFormat="1">
      <alignment horizontal="center" vertical="center"/>
    </xf>
    <xf borderId="3" fillId="5" fontId="5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1" fillId="2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1" fillId="6" fontId="8" numFmtId="0" xfId="0" applyAlignment="1" applyBorder="1" applyFill="1" applyFont="1">
      <alignment vertical="center"/>
    </xf>
    <xf borderId="7" fillId="0" fontId="4" numFmtId="0" xfId="0" applyBorder="1" applyFont="1"/>
    <xf borderId="8" fillId="0" fontId="4" numFmtId="0" xfId="0" applyBorder="1" applyFont="1"/>
    <xf borderId="1" fillId="7" fontId="9" numFmtId="0" xfId="0" applyAlignment="1" applyBorder="1" applyFill="1" applyFont="1">
      <alignment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0" fillId="0" fontId="12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9" fillId="0" fontId="11" numFmtId="0" xfId="0" applyAlignment="1" applyBorder="1" applyFont="1">
      <alignment horizontal="left" vertical="bottom"/>
    </xf>
    <xf borderId="0" fillId="0" fontId="11" numFmtId="0" xfId="0" applyAlignment="1" applyFont="1">
      <alignment horizontal="left" vertical="center"/>
    </xf>
    <xf borderId="10" fillId="8" fontId="11" numFmtId="0" xfId="0" applyAlignment="1" applyBorder="1" applyFill="1" applyFont="1">
      <alignment horizontal="left" vertical="bottom"/>
    </xf>
    <xf borderId="10" fillId="8" fontId="13" numFmtId="0" xfId="0" applyAlignment="1" applyBorder="1" applyFont="1">
      <alignment horizontal="left" vertical="center"/>
    </xf>
    <xf borderId="10" fillId="2" fontId="3" numFmtId="0" xfId="0" applyAlignment="1" applyBorder="1" applyFont="1">
      <alignment horizontal="left" vertical="center"/>
    </xf>
    <xf borderId="10" fillId="9" fontId="11" numFmtId="0" xfId="0" applyAlignment="1" applyBorder="1" applyFill="1" applyFont="1">
      <alignment horizontal="left" vertical="bottom"/>
    </xf>
    <xf borderId="10" fillId="10" fontId="14" numFmtId="0" xfId="0" applyAlignment="1" applyBorder="1" applyFill="1" applyFont="1">
      <alignment horizontal="left" shrinkToFit="0" vertical="center" wrapText="1"/>
    </xf>
    <xf borderId="10" fillId="10" fontId="9" numFmtId="0" xfId="0" applyAlignment="1" applyBorder="1" applyFont="1">
      <alignment horizontal="left" shrinkToFit="0" vertical="center" wrapText="1"/>
    </xf>
    <xf borderId="10" fillId="3" fontId="11" numFmtId="0" xfId="0" applyAlignment="1" applyBorder="1" applyFont="1">
      <alignment horizontal="left" vertical="bottom"/>
    </xf>
    <xf borderId="10" fillId="11" fontId="15" numFmtId="0" xfId="0" applyAlignment="1" applyBorder="1" applyFill="1" applyFont="1">
      <alignment horizontal="left" shrinkToFit="0" vertical="center" wrapText="1"/>
    </xf>
    <xf borderId="10" fillId="11" fontId="9" numFmtId="0" xfId="0" applyAlignment="1" applyBorder="1" applyFont="1">
      <alignment horizontal="left" shrinkToFit="0" vertical="center" wrapText="1"/>
    </xf>
    <xf borderId="10" fillId="12" fontId="11" numFmtId="0" xfId="0" applyAlignment="1" applyBorder="1" applyFill="1" applyFont="1">
      <alignment horizontal="left" vertical="bottom"/>
    </xf>
    <xf borderId="10" fillId="5" fontId="11" numFmtId="0" xfId="0" applyAlignment="1" applyBorder="1" applyFont="1">
      <alignment horizontal="left" vertical="bottom"/>
    </xf>
    <xf borderId="10" fillId="13" fontId="11" numFmtId="0" xfId="0" applyAlignment="1" applyBorder="1" applyFill="1" applyFont="1">
      <alignment horizontal="left" vertical="bottom"/>
    </xf>
    <xf borderId="10" fillId="14" fontId="11" numFmtId="0" xfId="0" applyAlignment="1" applyBorder="1" applyFill="1" applyFont="1">
      <alignment horizontal="left" vertical="bottom"/>
    </xf>
    <xf borderId="10" fillId="15" fontId="11" numFmtId="0" xfId="0" applyAlignment="1" applyBorder="1" applyFill="1" applyFont="1">
      <alignment horizontal="left" vertical="bottom"/>
    </xf>
    <xf borderId="10" fillId="16" fontId="16" numFmtId="0" xfId="0" applyAlignment="1" applyBorder="1" applyFill="1" applyFont="1">
      <alignment horizontal="left" vertical="bottom"/>
    </xf>
    <xf borderId="10" fillId="14" fontId="16" numFmtId="0" xfId="0" applyAlignment="1" applyBorder="1" applyFont="1">
      <alignment horizontal="left" vertical="bottom"/>
    </xf>
    <xf borderId="0" fillId="0" fontId="16" numFmtId="0" xfId="0" applyAlignment="1" applyFont="1">
      <alignment vertical="bottom"/>
    </xf>
    <xf borderId="1" fillId="11" fontId="17" numFmtId="0" xfId="0" applyAlignment="1" applyBorder="1" applyFont="1">
      <alignment horizontal="left" shrinkToFit="0" vertical="center" wrapText="1"/>
    </xf>
    <xf borderId="2" fillId="0" fontId="16" numFmtId="0" xfId="0" applyAlignment="1" applyBorder="1" applyFont="1">
      <alignment vertical="bottom"/>
    </xf>
    <xf borderId="11" fillId="6" fontId="18" numFmtId="0" xfId="0" applyAlignment="1" applyBorder="1" applyFont="1">
      <alignment horizontal="left" shrinkToFit="0" vertical="top" wrapText="1"/>
    </xf>
    <xf borderId="12" fillId="0" fontId="16" numFmtId="0" xfId="0" applyAlignment="1" applyBorder="1" applyFont="1">
      <alignment vertical="bottom"/>
    </xf>
    <xf borderId="11" fillId="6" fontId="19" numFmtId="0" xfId="0" applyAlignment="1" applyBorder="1" applyFont="1">
      <alignment horizontal="left" shrinkToFit="0" vertical="center" wrapText="1"/>
    </xf>
    <xf borderId="12" fillId="0" fontId="16" numFmtId="0" xfId="0" applyAlignment="1" applyBorder="1" applyFont="1">
      <alignment horizontal="left" vertical="bottom"/>
    </xf>
    <xf borderId="0" fillId="0" fontId="20" numFmtId="0" xfId="0" applyAlignment="1" applyFont="1">
      <alignment horizontal="left" vertical="bottom"/>
    </xf>
    <xf borderId="13" fillId="17" fontId="9" numFmtId="0" xfId="0" applyAlignment="1" applyBorder="1" applyFill="1" applyFont="1">
      <alignment horizontal="left" shrinkToFit="0" vertical="top" wrapText="1"/>
    </xf>
    <xf borderId="7" fillId="0" fontId="16" numFmtId="0" xfId="0" applyAlignment="1" applyBorder="1" applyFont="1">
      <alignment vertical="bottom"/>
    </xf>
    <xf borderId="0" fillId="0" fontId="16" numFmtId="0" xfId="0" applyAlignment="1" applyFont="1">
      <alignment horizontal="left" vertical="bottom"/>
    </xf>
    <xf borderId="0" fillId="0" fontId="10" numFmtId="0" xfId="0" applyAlignment="1" applyFont="1">
      <alignment shrinkToFit="0" vertical="top" wrapText="1"/>
    </xf>
    <xf borderId="0" fillId="0" fontId="7" numFmtId="0" xfId="0" applyAlignment="1" applyFont="1">
      <alignment horizontal="left" vertical="bottom"/>
    </xf>
    <xf borderId="0" fillId="0" fontId="21" numFmtId="0" xfId="0" applyAlignment="1" applyFont="1">
      <alignment horizontal="left" vertical="top"/>
    </xf>
    <xf borderId="0" fillId="0" fontId="22" numFmtId="0" xfId="0" applyAlignment="1" applyFont="1">
      <alignment horizontal="left" shrinkToFit="0" vertical="top" wrapText="1"/>
    </xf>
    <xf borderId="0" fillId="0" fontId="23" numFmtId="0" xfId="0" applyAlignment="1" applyFont="1">
      <alignment horizontal="left" vertical="bottom"/>
    </xf>
    <xf borderId="0" fillId="0" fontId="22" numFmtId="0" xfId="0" applyAlignment="1" applyFont="1">
      <alignment shrinkToFit="0" vertical="top" wrapText="1"/>
    </xf>
    <xf borderId="0" fillId="0" fontId="24" numFmtId="0" xfId="0" applyAlignment="1" applyFont="1">
      <alignment horizontal="left" vertical="bottom"/>
    </xf>
    <xf borderId="14" fillId="18" fontId="16" numFmtId="0" xfId="0" applyAlignment="1" applyBorder="1" applyFill="1" applyFont="1">
      <alignment horizontal="left" vertical="bottom"/>
    </xf>
    <xf borderId="14" fillId="19" fontId="16" numFmtId="0" xfId="0" applyAlignment="1" applyBorder="1" applyFill="1" applyFont="1">
      <alignment horizontal="left" vertical="bottom"/>
    </xf>
    <xf borderId="15" fillId="7" fontId="25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18" fillId="2" fontId="3" numFmtId="0" xfId="0" applyAlignment="1" applyBorder="1" applyFont="1">
      <alignment horizontal="center" shrinkToFit="0" vertical="center" wrapText="1"/>
    </xf>
    <xf borderId="10" fillId="10" fontId="9" numFmtId="0" xfId="0" applyAlignment="1" applyBorder="1" applyFont="1">
      <alignment horizontal="center" vertical="bottom"/>
    </xf>
    <xf borderId="10" fillId="20" fontId="9" numFmtId="0" xfId="0" applyAlignment="1" applyBorder="1" applyFill="1" applyFont="1">
      <alignment vertical="center"/>
    </xf>
    <xf borderId="10" fillId="20" fontId="9" numFmtId="49" xfId="0" applyAlignment="1" applyBorder="1" applyFont="1" applyNumberFormat="1">
      <alignment horizontal="center" vertical="center"/>
    </xf>
    <xf borderId="10" fillId="20" fontId="9" numFmtId="0" xfId="0" applyAlignment="1" applyBorder="1" applyFont="1">
      <alignment horizontal="center" vertical="center"/>
    </xf>
    <xf borderId="10" fillId="7" fontId="9" numFmtId="0" xfId="0" applyAlignment="1" applyBorder="1" applyFont="1">
      <alignment vertical="bottom"/>
    </xf>
    <xf borderId="10" fillId="21" fontId="27" numFmtId="0" xfId="0" applyAlignment="1" applyBorder="1" applyFill="1" applyFont="1">
      <alignment horizontal="center" vertical="bottom"/>
    </xf>
    <xf borderId="10" fillId="20" fontId="9" numFmtId="0" xfId="0" applyAlignment="1" applyBorder="1" applyFont="1">
      <alignment vertical="bottom"/>
    </xf>
    <xf borderId="10" fillId="10" fontId="9" numFmtId="0" xfId="0" applyAlignment="1" applyBorder="1" applyFont="1">
      <alignment vertical="center"/>
    </xf>
    <xf borderId="10" fillId="10" fontId="9" numFmtId="49" xfId="0" applyAlignment="1" applyBorder="1" applyFont="1" applyNumberFormat="1">
      <alignment horizontal="center" vertical="center"/>
    </xf>
    <xf borderId="10" fillId="10" fontId="9" numFmtId="0" xfId="0" applyAlignment="1" applyBorder="1" applyFont="1">
      <alignment horizontal="center" vertical="center"/>
    </xf>
    <xf borderId="10" fillId="10" fontId="9" numFmtId="0" xfId="0" applyAlignment="1" applyBorder="1" applyFont="1">
      <alignment vertical="bottom"/>
    </xf>
    <xf borderId="10" fillId="7" fontId="9" numFmtId="0" xfId="0" applyAlignment="1" applyBorder="1" applyFont="1">
      <alignment horizontal="center" vertical="bottom"/>
    </xf>
    <xf borderId="10" fillId="20" fontId="9" numFmtId="49" xfId="0" applyAlignment="1" applyBorder="1" applyFont="1" applyNumberFormat="1">
      <alignment horizontal="center" vertical="bottom"/>
    </xf>
    <xf borderId="10" fillId="0" fontId="16" numFmtId="0" xfId="0" applyAlignment="1" applyBorder="1" applyFont="1">
      <alignment horizontal="center" vertical="bottom"/>
    </xf>
    <xf borderId="10" fillId="0" fontId="16" numFmtId="0" xfId="0" applyAlignment="1" applyBorder="1" applyFont="1">
      <alignment vertical="bottom"/>
    </xf>
    <xf borderId="10" fillId="7" fontId="16" numFmtId="0" xfId="0" applyAlignment="1" applyBorder="1" applyFont="1">
      <alignment vertical="bottom"/>
    </xf>
    <xf borderId="10" fillId="7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19" fillId="17" fontId="28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0" fillId="2" fontId="29" numFmtId="0" xfId="0" applyAlignment="1" applyBorder="1" applyFont="1">
      <alignment horizontal="center" shrinkToFit="0" vertical="center" wrapText="1"/>
    </xf>
    <xf borderId="10" fillId="22" fontId="3" numFmtId="0" xfId="0" applyAlignment="1" applyBorder="1" applyFill="1" applyFont="1">
      <alignment horizontal="center" shrinkToFit="0" vertical="center" wrapText="1"/>
    </xf>
    <xf borderId="10" fillId="23" fontId="3" numFmtId="0" xfId="0" applyAlignment="1" applyBorder="1" applyFill="1" applyFont="1">
      <alignment horizontal="center" shrinkToFit="0" vertical="center" wrapText="1"/>
    </xf>
    <xf borderId="10" fillId="13" fontId="29" numFmtId="0" xfId="0" applyAlignment="1" applyBorder="1" applyFont="1">
      <alignment horizontal="center" shrinkToFit="0" vertical="center" wrapText="1"/>
    </xf>
    <xf borderId="10" fillId="22" fontId="29" numFmtId="0" xfId="0" applyAlignment="1" applyBorder="1" applyFont="1">
      <alignment horizontal="center" shrinkToFit="0" vertical="center" wrapText="1"/>
    </xf>
    <xf borderId="10" fillId="4" fontId="29" numFmtId="0" xfId="0" applyAlignment="1" applyBorder="1" applyFont="1">
      <alignment horizontal="center" shrinkToFit="0" vertical="center" wrapText="1"/>
    </xf>
    <xf borderId="10" fillId="24" fontId="3" numFmtId="0" xfId="0" applyAlignment="1" applyBorder="1" applyFill="1" applyFont="1">
      <alignment horizontal="center" shrinkToFit="0" vertical="center" wrapText="1"/>
    </xf>
    <xf borderId="10" fillId="24" fontId="29" numFmtId="0" xfId="0" applyAlignment="1" applyBorder="1" applyFont="1">
      <alignment horizontal="center" shrinkToFit="0" vertical="center" wrapText="1"/>
    </xf>
    <xf borderId="10" fillId="25" fontId="9" numFmtId="0" xfId="0" applyAlignment="1" applyBorder="1" applyFill="1" applyFont="1">
      <alignment vertical="bottom"/>
    </xf>
    <xf borderId="10" fillId="25" fontId="18" numFmtId="0" xfId="0" applyAlignment="1" applyBorder="1" applyFont="1">
      <alignment horizontal="center" vertical="bottom"/>
    </xf>
    <xf borderId="10" fillId="25" fontId="30" numFmtId="0" xfId="0" applyAlignment="1" applyBorder="1" applyFont="1">
      <alignment vertical="bottom"/>
    </xf>
    <xf borderId="10" fillId="25" fontId="9" numFmtId="0" xfId="0" applyAlignment="1" applyBorder="1" applyFont="1">
      <alignment horizontal="center" vertical="bottom"/>
    </xf>
    <xf borderId="10" fillId="10" fontId="12" numFmtId="0" xfId="0" applyAlignment="1" applyBorder="1" applyFont="1">
      <alignment horizontal="center" vertical="bottom"/>
    </xf>
    <xf borderId="10" fillId="25" fontId="31" numFmtId="0" xfId="0" applyAlignment="1" applyBorder="1" applyFont="1">
      <alignment horizontal="center" vertical="bottom"/>
    </xf>
    <xf borderId="10" fillId="0" fontId="32" numFmtId="0" xfId="0" applyAlignment="1" applyBorder="1" applyFont="1">
      <alignment horizontal="center" vertical="bottom"/>
    </xf>
    <xf borderId="10" fillId="26" fontId="33" numFmtId="0" xfId="0" applyAlignment="1" applyBorder="1" applyFill="1" applyFont="1">
      <alignment horizontal="left" vertical="bottom"/>
    </xf>
    <xf borderId="10" fillId="26" fontId="33" numFmtId="0" xfId="0" applyAlignment="1" applyBorder="1" applyFont="1">
      <alignment horizontal="center" vertical="bottom"/>
    </xf>
    <xf borderId="10" fillId="0" fontId="16" numFmtId="165" xfId="0" applyAlignment="1" applyBorder="1" applyFont="1" applyNumberFormat="1">
      <alignment horizontal="center" vertical="bottom"/>
    </xf>
    <xf borderId="10" fillId="0" fontId="34" numFmtId="164" xfId="0" applyAlignment="1" applyBorder="1" applyFont="1" applyNumberFormat="1">
      <alignment horizontal="right" vertical="bottom"/>
    </xf>
    <xf borderId="10" fillId="0" fontId="35" numFmtId="0" xfId="0" applyAlignment="1" applyBorder="1" applyFont="1">
      <alignment horizontal="center" vertical="bottom"/>
    </xf>
    <xf borderId="10" fillId="7" fontId="16" numFmtId="0" xfId="0" applyAlignment="1" applyBorder="1" applyFont="1">
      <alignment horizontal="left" vertical="bottom"/>
    </xf>
    <xf borderId="10" fillId="25" fontId="16" numFmtId="0" xfId="0" applyAlignment="1" applyBorder="1" applyFont="1">
      <alignment horizontal="center" vertical="bottom"/>
    </xf>
    <xf borderId="10" fillId="18" fontId="9" numFmtId="0" xfId="0" applyAlignment="1" applyBorder="1" applyFont="1">
      <alignment horizontal="center" vertical="bottom"/>
    </xf>
    <xf borderId="10" fillId="25" fontId="9" numFmtId="165" xfId="0" applyAlignment="1" applyBorder="1" applyFont="1" applyNumberFormat="1">
      <alignment horizontal="center" vertical="bottom"/>
    </xf>
    <xf borderId="10" fillId="20" fontId="18" numFmtId="0" xfId="0" applyAlignment="1" applyBorder="1" applyFont="1">
      <alignment horizontal="center" vertical="bottom"/>
    </xf>
    <xf borderId="10" fillId="20" fontId="30" numFmtId="0" xfId="0" applyAlignment="1" applyBorder="1" applyFont="1">
      <alignment vertical="bottom"/>
    </xf>
    <xf borderId="10" fillId="20" fontId="9" numFmtId="0" xfId="0" applyAlignment="1" applyBorder="1" applyFont="1">
      <alignment horizontal="center" vertical="bottom"/>
    </xf>
    <xf borderId="10" fillId="20" fontId="9" numFmtId="165" xfId="0" applyAlignment="1" applyBorder="1" applyFont="1" applyNumberFormat="1">
      <alignment horizontal="center" vertical="bottom"/>
    </xf>
    <xf borderId="10" fillId="19" fontId="9" numFmtId="0" xfId="0" applyAlignment="1" applyBorder="1" applyFont="1">
      <alignment horizontal="center" vertical="bottom"/>
    </xf>
    <xf borderId="10" fillId="10" fontId="18" numFmtId="0" xfId="0" applyAlignment="1" applyBorder="1" applyFont="1">
      <alignment horizontal="center" vertical="bottom"/>
    </xf>
    <xf borderId="10" fillId="10" fontId="30" numFmtId="0" xfId="0" applyAlignment="1" applyBorder="1" applyFont="1">
      <alignment vertical="bottom"/>
    </xf>
    <xf borderId="10" fillId="10" fontId="9" numFmtId="165" xfId="0" applyAlignment="1" applyBorder="1" applyFont="1" applyNumberFormat="1">
      <alignment horizontal="center" vertical="bottom"/>
    </xf>
    <xf borderId="10" fillId="27" fontId="9" numFmtId="0" xfId="0" applyAlignment="1" applyBorder="1" applyFill="1" applyFont="1">
      <alignment vertical="bottom"/>
    </xf>
    <xf borderId="10" fillId="27" fontId="18" numFmtId="0" xfId="0" applyAlignment="1" applyBorder="1" applyFont="1">
      <alignment horizontal="center" vertical="bottom"/>
    </xf>
    <xf borderId="10" fillId="27" fontId="30" numFmtId="0" xfId="0" applyAlignment="1" applyBorder="1" applyFont="1">
      <alignment vertical="bottom"/>
    </xf>
    <xf borderId="10" fillId="27" fontId="9" numFmtId="0" xfId="0" applyAlignment="1" applyBorder="1" applyFont="1">
      <alignment horizontal="center" vertical="bottom"/>
    </xf>
    <xf borderId="10" fillId="27" fontId="9" numFmtId="165" xfId="0" applyAlignment="1" applyBorder="1" applyFont="1" applyNumberFormat="1">
      <alignment horizontal="center" vertical="bottom"/>
    </xf>
    <xf borderId="10" fillId="27" fontId="36" numFmtId="0" xfId="0" applyAlignment="1" applyBorder="1" applyFont="1">
      <alignment horizontal="center" vertical="bottom"/>
    </xf>
    <xf borderId="10" fillId="20" fontId="9" numFmtId="0" xfId="0" applyAlignment="1" applyBorder="1" applyFont="1">
      <alignment horizontal="center" shrinkToFit="0" vertical="bottom" wrapText="1"/>
    </xf>
    <xf borderId="10" fillId="19" fontId="37" numFmtId="0" xfId="0" applyAlignment="1" applyBorder="1" applyFont="1">
      <alignment horizontal="center" vertical="bottom"/>
    </xf>
    <xf borderId="10" fillId="19" fontId="9" numFmtId="0" xfId="0" applyAlignment="1" applyBorder="1" applyFont="1">
      <alignment vertical="bottom"/>
    </xf>
    <xf borderId="10" fillId="27" fontId="16" numFmtId="0" xfId="0" applyAlignment="1" applyBorder="1" applyFont="1">
      <alignment horizontal="center" vertical="bottom"/>
    </xf>
    <xf borderId="10" fillId="19" fontId="38" numFmtId="0" xfId="0" applyAlignment="1" applyBorder="1" applyFont="1">
      <alignment horizontal="center" vertical="bottom"/>
    </xf>
    <xf borderId="10" fillId="20" fontId="39" numFmtId="0" xfId="0" applyAlignment="1" applyBorder="1" applyFont="1">
      <alignment vertical="bottom"/>
    </xf>
    <xf borderId="10" fillId="28" fontId="18" numFmtId="0" xfId="0" applyAlignment="1" applyBorder="1" applyFill="1" applyFont="1">
      <alignment horizontal="center" vertical="bottom"/>
    </xf>
    <xf borderId="10" fillId="19" fontId="16" numFmtId="0" xfId="0" applyAlignment="1" applyBorder="1" applyFont="1">
      <alignment vertical="bottom"/>
    </xf>
    <xf borderId="10" fillId="28" fontId="9" numFmtId="0" xfId="0" applyAlignment="1" applyBorder="1" applyFont="1">
      <alignment vertical="bottom"/>
    </xf>
    <xf borderId="10" fillId="28" fontId="9" numFmtId="0" xfId="0" applyAlignment="1" applyBorder="1" applyFont="1">
      <alignment horizontal="center" vertical="bottom"/>
    </xf>
    <xf borderId="10" fillId="19" fontId="16" numFmtId="0" xfId="0" applyAlignment="1" applyBorder="1" applyFont="1">
      <alignment horizontal="center" vertical="bottom"/>
    </xf>
    <xf borderId="0" fillId="0" fontId="16" numFmtId="165" xfId="0" applyAlignment="1" applyFont="1" applyNumberFormat="1">
      <alignment horizontal="center" vertical="bottom"/>
    </xf>
    <xf borderId="0" fillId="0" fontId="40" numFmtId="0" xfId="0" applyAlignment="1" applyFont="1">
      <alignment horizontal="center" vertical="bottom"/>
    </xf>
    <xf borderId="10" fillId="28" fontId="33" numFmtId="0" xfId="0" applyAlignment="1" applyBorder="1" applyFont="1">
      <alignment vertical="bottom"/>
    </xf>
    <xf borderId="10" fillId="19" fontId="33" numFmtId="0" xfId="0" applyAlignment="1" applyBorder="1" applyFont="1">
      <alignment vertical="bottom"/>
    </xf>
    <xf borderId="10" fillId="28" fontId="33" numFmtId="0" xfId="0" applyAlignment="1" applyBorder="1" applyFont="1">
      <alignment horizontal="center" vertical="bottom"/>
    </xf>
    <xf borderId="10" fillId="28" fontId="33" numFmtId="164" xfId="0" applyAlignment="1" applyBorder="1" applyFont="1" applyNumberFormat="1">
      <alignment horizontal="center" vertical="bottom"/>
    </xf>
    <xf borderId="10" fillId="28" fontId="16" numFmtId="0" xfId="0" applyAlignment="1" applyBorder="1" applyFont="1">
      <alignment horizontal="center" vertical="bottom"/>
    </xf>
    <xf borderId="10" fillId="28" fontId="16" numFmtId="165" xfId="0" applyAlignment="1" applyBorder="1" applyFont="1" applyNumberFormat="1">
      <alignment horizontal="center" vertical="bottom"/>
    </xf>
    <xf borderId="10" fillId="19" fontId="33" numFmtId="0" xfId="0" applyAlignment="1" applyBorder="1" applyFont="1">
      <alignment horizontal="center" vertical="bottom"/>
    </xf>
    <xf borderId="10" fillId="0" fontId="41" numFmtId="0" xfId="0" applyAlignment="1" applyBorder="1" applyFont="1">
      <alignment horizontal="center" vertical="bottom"/>
    </xf>
    <xf borderId="10" fillId="0" fontId="16" numFmtId="164" xfId="0" applyAlignment="1" applyBorder="1" applyFont="1" applyNumberFormat="1">
      <alignment horizontal="center" vertical="bottom"/>
    </xf>
    <xf borderId="10" fillId="7" fontId="16" numFmtId="165" xfId="0" applyAlignment="1" applyBorder="1" applyFont="1" applyNumberFormat="1">
      <alignment horizontal="center" vertical="bottom"/>
    </xf>
    <xf borderId="10" fillId="0" fontId="16" numFmtId="165" xfId="0" applyAlignment="1" applyBorder="1" applyFont="1" applyNumberFormat="1">
      <alignment vertical="bottom"/>
    </xf>
    <xf borderId="10" fillId="0" fontId="16" numFmtId="164" xfId="0" applyAlignment="1" applyBorder="1" applyFont="1" applyNumberFormat="1">
      <alignment vertical="bottom"/>
    </xf>
    <xf borderId="10" fillId="18" fontId="16" numFmtId="0" xfId="0" applyAlignment="1" applyBorder="1" applyFon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6" numFmtId="165" xfId="0" applyAlignment="1" applyFont="1" applyNumberFormat="1">
      <alignment vertical="bottom"/>
    </xf>
    <xf borderId="0" fillId="0" fontId="16" numFmtId="164" xfId="0" applyAlignment="1" applyFont="1" applyNumberFormat="1">
      <alignment vertical="bottom"/>
    </xf>
    <xf borderId="0" fillId="0" fontId="42" numFmtId="0" xfId="0" applyAlignment="1" applyFont="1">
      <alignment vertical="bottom"/>
    </xf>
    <xf borderId="10" fillId="11" fontId="43" numFmtId="0" xfId="0" applyAlignment="1" applyBorder="1" applyFont="1">
      <alignment horizontal="center" vertical="bottom"/>
    </xf>
    <xf borderId="10" fillId="6" fontId="43" numFmtId="0" xfId="0" applyAlignment="1" applyBorder="1" applyFont="1">
      <alignment horizontal="center" vertical="bottom"/>
    </xf>
    <xf borderId="10" fillId="11" fontId="44" numFmtId="0" xfId="0" applyAlignment="1" applyBorder="1" applyFont="1">
      <alignment horizontal="center" vertical="bottom"/>
    </xf>
    <xf borderId="10" fillId="6" fontId="45" numFmtId="0" xfId="0" applyAlignment="1" applyBorder="1" applyFont="1">
      <alignment horizontal="center" vertical="bottom"/>
    </xf>
    <xf borderId="10" fillId="7" fontId="46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10" fillId="10" fontId="47" numFmtId="165" xfId="0" applyAlignment="1" applyBorder="1" applyFont="1" applyNumberFormat="1">
      <alignment horizontal="center" vertical="bottom"/>
    </xf>
    <xf borderId="10" fillId="29" fontId="48" numFmtId="0" xfId="0" applyAlignment="1" applyBorder="1" applyFill="1" applyFont="1">
      <alignment horizontal="center" vertical="bottom"/>
    </xf>
    <xf borderId="10" fillId="0" fontId="49" numFmtId="0" xfId="0" applyAlignment="1" applyBorder="1" applyFont="1">
      <alignment horizontal="center" vertical="bottom"/>
    </xf>
    <xf borderId="10" fillId="0" fontId="47" numFmtId="0" xfId="0" applyAlignment="1" applyBorder="1" applyFont="1">
      <alignment horizontal="center" vertical="bottom"/>
    </xf>
    <xf borderId="10" fillId="0" fontId="50" numFmtId="0" xfId="0" applyAlignment="1" applyBorder="1" applyFont="1">
      <alignment horizontal="center" vertical="bottom"/>
    </xf>
    <xf borderId="10" fillId="20" fontId="47" numFmtId="165" xfId="0" applyAlignment="1" applyBorder="1" applyFont="1" applyNumberFormat="1">
      <alignment horizontal="center" vertical="bottom"/>
    </xf>
    <xf borderId="10" fillId="20" fontId="9" numFmtId="0" xfId="0" applyAlignment="1" applyBorder="1" applyFont="1">
      <alignment horizontal="center" shrinkToFit="0" vertical="center" wrapText="1"/>
    </xf>
    <xf borderId="10" fillId="0" fontId="47" numFmtId="165" xfId="0" applyAlignment="1" applyBorder="1" applyFont="1" applyNumberFormat="1">
      <alignment horizontal="center" vertical="bottom"/>
    </xf>
    <xf borderId="10" fillId="28" fontId="47" numFmtId="0" xfId="0" applyAlignment="1" applyBorder="1" applyFont="1">
      <alignment horizontal="center" vertical="bottom"/>
    </xf>
    <xf borderId="10" fillId="30" fontId="9" numFmtId="0" xfId="0" applyAlignment="1" applyBorder="1" applyFill="1" applyFont="1">
      <alignment vertical="center"/>
    </xf>
    <xf borderId="10" fillId="30" fontId="9" numFmtId="164" xfId="0" applyAlignment="1" applyBorder="1" applyFont="1" applyNumberFormat="1">
      <alignment horizontal="right" vertical="bottom"/>
    </xf>
    <xf borderId="10" fillId="0" fontId="33" numFmtId="0" xfId="0" applyAlignment="1" applyBorder="1" applyFont="1">
      <alignment horizontal="center" vertical="bottom"/>
    </xf>
    <xf borderId="10" fillId="31" fontId="9" numFmtId="0" xfId="0" applyAlignment="1" applyBorder="1" applyFill="1" applyFont="1">
      <alignment vertical="center"/>
    </xf>
    <xf borderId="10" fillId="31" fontId="9" numFmtId="164" xfId="0" applyAlignment="1" applyBorder="1" applyFont="1" applyNumberFormat="1">
      <alignment horizontal="right" vertical="bottom"/>
    </xf>
    <xf borderId="20" fillId="0" fontId="12" numFmtId="0" xfId="0" applyAlignment="1" applyBorder="1" applyFont="1">
      <alignment vertical="center"/>
    </xf>
    <xf borderId="20" fillId="0" fontId="12" numFmtId="166" xfId="0" applyAlignment="1" applyBorder="1" applyFont="1" applyNumberFormat="1">
      <alignment vertical="center"/>
    </xf>
    <xf borderId="0" fillId="0" fontId="12" numFmtId="166" xfId="0" applyAlignment="1" applyFont="1" applyNumberFormat="1">
      <alignment vertical="center"/>
    </xf>
    <xf borderId="21" fillId="2" fontId="3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23" fillId="0" fontId="4" numFmtId="0" xfId="0" applyBorder="1" applyFont="1"/>
    <xf borderId="18" fillId="2" fontId="29" numFmtId="0" xfId="0" applyAlignment="1" applyBorder="1" applyFont="1">
      <alignment horizontal="center" vertical="bottom"/>
    </xf>
    <xf borderId="21" fillId="2" fontId="29" numFmtId="0" xfId="0" applyAlignment="1" applyBorder="1" applyFont="1">
      <alignment horizontal="center" vertical="bottom"/>
    </xf>
    <xf borderId="18" fillId="2" fontId="29" numFmtId="0" xfId="0" applyAlignment="1" applyBorder="1" applyFont="1">
      <alignment horizontal="center" vertical="center"/>
    </xf>
    <xf borderId="18" fillId="16" fontId="3" numFmtId="0" xfId="0" applyAlignment="1" applyBorder="1" applyFont="1">
      <alignment horizontal="center" shrinkToFit="0" vertical="center" wrapText="1"/>
    </xf>
    <xf borderId="10" fillId="2" fontId="29" numFmtId="0" xfId="0" applyAlignment="1" applyBorder="1" applyFont="1">
      <alignment horizontal="center" vertical="center"/>
    </xf>
    <xf borderId="18" fillId="32" fontId="30" numFmtId="0" xfId="0" applyAlignment="1" applyBorder="1" applyFill="1" applyFont="1">
      <alignment horizontal="center" vertical="bottom"/>
    </xf>
    <xf borderId="18" fillId="32" fontId="30" numFmtId="0" xfId="0" applyAlignment="1" applyBorder="1" applyFont="1">
      <alignment vertical="bottom"/>
    </xf>
    <xf borderId="18" fillId="32" fontId="30" numFmtId="0" xfId="0" applyAlignment="1" applyBorder="1" applyFont="1">
      <alignment vertical="center"/>
    </xf>
    <xf borderId="20" fillId="32" fontId="30" numFmtId="0" xfId="0" applyAlignment="1" applyBorder="1" applyFont="1">
      <alignment vertical="center"/>
    </xf>
    <xf borderId="24" fillId="32" fontId="43" numFmtId="0" xfId="0" applyAlignment="1" applyBorder="1" applyFont="1">
      <alignment horizontal="left" vertical="bottom"/>
    </xf>
    <xf borderId="24" fillId="32" fontId="30" numFmtId="0" xfId="0" applyAlignment="1" applyBorder="1" applyFont="1">
      <alignment horizontal="center" vertical="bottom"/>
    </xf>
    <xf borderId="18" fillId="32" fontId="30" numFmtId="0" xfId="0" applyAlignment="1" applyBorder="1" applyFont="1">
      <alignment horizontal="center" vertical="center"/>
    </xf>
    <xf borderId="25" fillId="32" fontId="30" numFmtId="0" xfId="0" applyAlignment="1" applyBorder="1" applyFont="1">
      <alignment vertical="center"/>
    </xf>
    <xf borderId="10" fillId="32" fontId="30" numFmtId="164" xfId="0" applyAlignment="1" applyBorder="1" applyFont="1" applyNumberFormat="1">
      <alignment horizontal="center" vertical="bottom"/>
    </xf>
    <xf borderId="14" fillId="32" fontId="30" numFmtId="0" xfId="0" applyAlignment="1" applyBorder="1" applyFont="1">
      <alignment vertical="bottom"/>
    </xf>
    <xf borderId="14" fillId="32" fontId="30" numFmtId="164" xfId="0" applyAlignment="1" applyBorder="1" applyFont="1" applyNumberFormat="1">
      <alignment vertical="bottom"/>
    </xf>
    <xf borderId="10" fillId="0" fontId="51" numFmtId="164" xfId="0" applyAlignment="1" applyBorder="1" applyFont="1" applyNumberFormat="1">
      <alignment horizontal="center" vertical="bottom"/>
    </xf>
    <xf borderId="10" fillId="0" fontId="52" numFmtId="164" xfId="0" applyAlignment="1" applyBorder="1" applyFont="1" applyNumberFormat="1">
      <alignment horizontal="center" vertical="bottom"/>
    </xf>
    <xf borderId="10" fillId="33" fontId="53" numFmtId="0" xfId="0" applyAlignment="1" applyBorder="1" applyFill="1" applyFont="1">
      <alignment horizontal="center" vertical="bottom"/>
    </xf>
    <xf borderId="10" fillId="33" fontId="53" numFmtId="0" xfId="0" applyAlignment="1" applyBorder="1" applyFont="1">
      <alignment vertical="bottom"/>
    </xf>
    <xf borderId="10" fillId="33" fontId="53" numFmtId="0" xfId="0" applyAlignment="1" applyBorder="1" applyFont="1">
      <alignment vertical="center"/>
    </xf>
    <xf borderId="10" fillId="33" fontId="51" numFmtId="0" xfId="0" applyAlignment="1" applyBorder="1" applyFont="1">
      <alignment horizontal="left" vertical="bottom"/>
    </xf>
    <xf borderId="10" fillId="33" fontId="53" numFmtId="164" xfId="0" applyAlignment="1" applyBorder="1" applyFont="1" applyNumberFormat="1">
      <alignment horizontal="center" vertical="bottom"/>
    </xf>
    <xf borderId="10" fillId="34" fontId="54" numFmtId="0" xfId="0" applyAlignment="1" applyBorder="1" applyFill="1" applyFont="1">
      <alignment horizontal="center" vertical="bottom"/>
    </xf>
    <xf borderId="10" fillId="34" fontId="54" numFmtId="0" xfId="0" applyAlignment="1" applyBorder="1" applyFont="1">
      <alignment vertical="bottom"/>
    </xf>
    <xf borderId="10" fillId="34" fontId="54" numFmtId="0" xfId="0" applyAlignment="1" applyBorder="1" applyFont="1">
      <alignment vertical="center"/>
    </xf>
    <xf borderId="10" fillId="34" fontId="55" numFmtId="0" xfId="0" applyAlignment="1" applyBorder="1" applyFont="1">
      <alignment horizontal="left" vertical="bottom"/>
    </xf>
    <xf borderId="10" fillId="34" fontId="54" numFmtId="164" xfId="0" applyAlignment="1" applyBorder="1" applyFont="1" applyNumberFormat="1">
      <alignment horizontal="center" vertical="bottom"/>
    </xf>
    <xf borderId="10" fillId="35" fontId="56" numFmtId="0" xfId="0" applyAlignment="1" applyBorder="1" applyFill="1" applyFont="1">
      <alignment horizontal="center" vertical="bottom"/>
    </xf>
    <xf borderId="10" fillId="35" fontId="56" numFmtId="0" xfId="0" applyAlignment="1" applyBorder="1" applyFont="1">
      <alignment vertical="bottom"/>
    </xf>
    <xf borderId="10" fillId="35" fontId="56" numFmtId="0" xfId="0" applyAlignment="1" applyBorder="1" applyFont="1">
      <alignment vertical="center"/>
    </xf>
    <xf borderId="10" fillId="35" fontId="57" numFmtId="0" xfId="0" applyAlignment="1" applyBorder="1" applyFont="1">
      <alignment horizontal="left" vertical="bottom"/>
    </xf>
    <xf borderId="10" fillId="35" fontId="56" numFmtId="164" xfId="0" applyAlignment="1" applyBorder="1" applyFont="1" applyNumberFormat="1">
      <alignment horizontal="center" vertical="bottom"/>
    </xf>
    <xf borderId="10" fillId="36" fontId="58" numFmtId="0" xfId="0" applyAlignment="1" applyBorder="1" applyFill="1" applyFont="1">
      <alignment horizontal="center" vertical="bottom"/>
    </xf>
    <xf borderId="10" fillId="36" fontId="58" numFmtId="0" xfId="0" applyAlignment="1" applyBorder="1" applyFont="1">
      <alignment vertical="bottom"/>
    </xf>
    <xf borderId="10" fillId="36" fontId="58" numFmtId="0" xfId="0" applyAlignment="1" applyBorder="1" applyFont="1">
      <alignment vertical="center"/>
    </xf>
    <xf borderId="10" fillId="36" fontId="52" numFmtId="0" xfId="0" applyAlignment="1" applyBorder="1" applyFont="1">
      <alignment horizontal="left" vertical="bottom"/>
    </xf>
    <xf borderId="10" fillId="36" fontId="58" numFmtId="164" xfId="0" applyAlignment="1" applyBorder="1" applyFont="1" applyNumberFormat="1">
      <alignment horizontal="center" vertical="bottom"/>
    </xf>
    <xf borderId="10" fillId="37" fontId="59" numFmtId="0" xfId="0" applyAlignment="1" applyBorder="1" applyFill="1" applyFont="1">
      <alignment horizontal="center" vertical="bottom"/>
    </xf>
    <xf borderId="10" fillId="37" fontId="59" numFmtId="0" xfId="0" applyAlignment="1" applyBorder="1" applyFont="1">
      <alignment vertical="bottom"/>
    </xf>
    <xf borderId="10" fillId="37" fontId="59" numFmtId="0" xfId="0" applyAlignment="1" applyBorder="1" applyFont="1">
      <alignment vertical="center"/>
    </xf>
    <xf borderId="10" fillId="37" fontId="41" numFmtId="0" xfId="0" applyAlignment="1" applyBorder="1" applyFont="1">
      <alignment horizontal="left" vertical="bottom"/>
    </xf>
    <xf borderId="10" fillId="37" fontId="59" numFmtId="164" xfId="0" applyAlignment="1" applyBorder="1" applyFont="1" applyNumberFormat="1">
      <alignment horizontal="center" vertical="bottom"/>
    </xf>
    <xf borderId="10" fillId="38" fontId="60" numFmtId="0" xfId="0" applyAlignment="1" applyBorder="1" applyFill="1" applyFont="1">
      <alignment horizontal="center" vertical="bottom"/>
    </xf>
    <xf borderId="10" fillId="38" fontId="60" numFmtId="0" xfId="0" applyAlignment="1" applyBorder="1" applyFont="1">
      <alignment vertical="bottom"/>
    </xf>
    <xf borderId="10" fillId="38" fontId="60" numFmtId="0" xfId="0" applyAlignment="1" applyBorder="1" applyFont="1">
      <alignment vertical="center"/>
    </xf>
    <xf borderId="10" fillId="38" fontId="61" numFmtId="0" xfId="0" applyAlignment="1" applyBorder="1" applyFont="1">
      <alignment horizontal="left" vertical="bottom"/>
    </xf>
    <xf borderId="10" fillId="38" fontId="60" numFmtId="164" xfId="0" applyAlignment="1" applyBorder="1" applyFont="1" applyNumberFormat="1">
      <alignment horizontal="center" vertical="bottom"/>
    </xf>
    <xf borderId="10" fillId="39" fontId="62" numFmtId="0" xfId="0" applyAlignment="1" applyBorder="1" applyFill="1" applyFont="1">
      <alignment horizontal="center" vertical="bottom"/>
    </xf>
    <xf borderId="10" fillId="39" fontId="62" numFmtId="0" xfId="0" applyAlignment="1" applyBorder="1" applyFont="1">
      <alignment vertical="center"/>
    </xf>
    <xf borderId="10" fillId="39" fontId="63" numFmtId="0" xfId="0" applyAlignment="1" applyBorder="1" applyFont="1">
      <alignment horizontal="left" vertical="bottom"/>
    </xf>
    <xf borderId="10" fillId="39" fontId="33" numFmtId="0" xfId="0" applyAlignment="1" applyBorder="1" applyFont="1">
      <alignment horizontal="center" vertical="bottom"/>
    </xf>
    <xf borderId="10" fillId="39" fontId="33" numFmtId="164" xfId="0" applyAlignment="1" applyBorder="1" applyFont="1" applyNumberFormat="1">
      <alignment horizontal="center" vertical="bottom"/>
    </xf>
    <xf borderId="10" fillId="39" fontId="41" numFmtId="164" xfId="0" applyAlignment="1" applyBorder="1" applyFont="1" applyNumberFormat="1">
      <alignment horizontal="center" vertical="bottom"/>
    </xf>
    <xf borderId="10" fillId="39" fontId="51" numFmtId="164" xfId="0" applyAlignment="1" applyBorder="1" applyFont="1" applyNumberFormat="1">
      <alignment horizontal="center" vertical="bottom"/>
    </xf>
    <xf borderId="10" fillId="39" fontId="52" numFmtId="164" xfId="0" applyAlignment="1" applyBorder="1" applyFont="1" applyNumberFormat="1">
      <alignment horizontal="center" vertical="bottom"/>
    </xf>
    <xf borderId="10" fillId="33" fontId="53" numFmtId="0" xfId="0" applyAlignment="1" applyBorder="1" applyFont="1">
      <alignment horizontal="left" vertical="bottom"/>
    </xf>
    <xf borderId="10" fillId="20" fontId="33" numFmtId="164" xfId="0" applyAlignment="1" applyBorder="1" applyFont="1" applyNumberFormat="1">
      <alignment horizontal="center" vertical="bottom"/>
    </xf>
    <xf borderId="10" fillId="0" fontId="33" numFmtId="164" xfId="0" applyAlignment="1" applyBorder="1" applyFont="1" applyNumberFormat="1">
      <alignment horizontal="center" vertical="bottom"/>
    </xf>
    <xf borderId="10" fillId="0" fontId="41" numFmtId="164" xfId="0" applyAlignment="1" applyBorder="1" applyFont="1" applyNumberFormat="1">
      <alignment horizontal="center" vertical="bottom"/>
    </xf>
    <xf borderId="10" fillId="10" fontId="33" numFmtId="164" xfId="0" applyAlignment="1" applyBorder="1" applyFont="1" applyNumberFormat="1">
      <alignment horizontal="center" vertical="bottom"/>
    </xf>
    <xf borderId="18" fillId="0" fontId="33" numFmtId="0" xfId="0" applyAlignment="1" applyBorder="1" applyFont="1">
      <alignment horizontal="center" vertical="bottom"/>
    </xf>
    <xf borderId="20" fillId="0" fontId="64" numFmtId="0" xfId="0" applyAlignment="1" applyBorder="1" applyFont="1">
      <alignment vertical="bottom"/>
    </xf>
    <xf borderId="20" fillId="0" fontId="64" numFmtId="0" xfId="0" applyAlignment="1" applyBorder="1" applyFont="1">
      <alignment horizontal="left" vertical="bottom"/>
    </xf>
    <xf borderId="20" fillId="0" fontId="64" numFmtId="0" xfId="0" applyAlignment="1" applyBorder="1" applyFont="1">
      <alignment horizontal="center" vertical="bottom"/>
    </xf>
    <xf borderId="14" fillId="40" fontId="46" numFmtId="0" xfId="0" applyAlignment="1" applyBorder="1" applyFill="1" applyFont="1">
      <alignment vertical="bottom"/>
    </xf>
    <xf borderId="10" fillId="40" fontId="18" numFmtId="0" xfId="0" applyAlignment="1" applyBorder="1" applyFont="1">
      <alignment vertical="bottom"/>
    </xf>
    <xf borderId="10" fillId="40" fontId="18" numFmtId="164" xfId="0" applyAlignment="1" applyBorder="1" applyFont="1" applyNumberFormat="1">
      <alignment vertical="bottom"/>
    </xf>
    <xf borderId="10" fillId="40" fontId="28" numFmtId="0" xfId="0" applyAlignment="1" applyBorder="1" applyFont="1">
      <alignment vertical="bottom"/>
    </xf>
    <xf borderId="10" fillId="40" fontId="65" numFmtId="0" xfId="0" applyAlignment="1" applyBorder="1" applyFont="1">
      <alignment vertical="bottom"/>
    </xf>
    <xf borderId="10" fillId="3" fontId="3" numFmtId="0" xfId="0" applyAlignment="1" applyBorder="1" applyFont="1">
      <alignment horizontal="center" shrinkToFit="0" vertical="center" wrapText="1"/>
    </xf>
    <xf borderId="10" fillId="0" fontId="33" numFmtId="0" xfId="0" applyAlignment="1" applyBorder="1" applyFont="1">
      <alignment vertical="bottom"/>
    </xf>
    <xf borderId="10" fillId="0" fontId="33" numFmtId="164" xfId="0" applyAlignment="1" applyBorder="1" applyFont="1" applyNumberFormat="1">
      <alignment horizontal="left" vertical="bottom"/>
    </xf>
    <xf borderId="10" fillId="40" fontId="33" numFmtId="0" xfId="0" applyAlignment="1" applyBorder="1" applyFont="1">
      <alignment vertical="bottom"/>
    </xf>
    <xf borderId="10" fillId="40" fontId="41" numFmtId="0" xfId="0" applyAlignment="1" applyBorder="1" applyFont="1">
      <alignment horizontal="center" vertical="bottom"/>
    </xf>
    <xf borderId="10" fillId="40" fontId="33" numFmtId="164" xfId="0" applyAlignment="1" applyBorder="1" applyFont="1" applyNumberFormat="1">
      <alignment horizontal="left" vertical="bottom"/>
    </xf>
    <xf borderId="10" fillId="0" fontId="2" numFmtId="0" xfId="0" applyAlignment="1" applyBorder="1" applyFont="1">
      <alignment vertical="bottom"/>
    </xf>
    <xf borderId="10" fillId="40" fontId="46" numFmtId="0" xfId="0" applyAlignment="1" applyBorder="1" applyFont="1">
      <alignment vertical="bottom"/>
    </xf>
    <xf borderId="10" fillId="40" fontId="18" numFmtId="0" xfId="0" applyAlignment="1" applyBorder="1" applyFont="1">
      <alignment horizontal="center" vertical="bottom"/>
    </xf>
    <xf borderId="10" fillId="40" fontId="18" numFmtId="164" xfId="0" applyAlignment="1" applyBorder="1" applyFont="1" applyNumberFormat="1">
      <alignment horizontal="left" vertical="bottom"/>
    </xf>
    <xf borderId="10" fillId="6" fontId="18" numFmtId="0" xfId="0" applyAlignment="1" applyBorder="1" applyFont="1">
      <alignment vertical="bottom"/>
    </xf>
    <xf borderId="10" fillId="6" fontId="18" numFmtId="164" xfId="0" applyAlignment="1" applyBorder="1" applyFont="1" applyNumberFormat="1">
      <alignment vertical="bottom"/>
    </xf>
    <xf borderId="26" fillId="36" fontId="66" numFmtId="0" xfId="0" applyAlignment="1" applyBorder="1" applyFont="1">
      <alignment shrinkToFit="0" vertical="center" wrapText="1"/>
    </xf>
    <xf borderId="10" fillId="0" fontId="33" numFmtId="165" xfId="0" applyAlignment="1" applyBorder="1" applyFont="1" applyNumberFormat="1">
      <alignment horizontal="center" vertical="bottom"/>
    </xf>
    <xf borderId="10" fillId="0" fontId="50" numFmtId="0" xfId="0" applyAlignment="1" applyBorder="1" applyFont="1">
      <alignment vertical="bottom"/>
    </xf>
    <xf borderId="10" fillId="0" fontId="20" numFmtId="0" xfId="0" applyAlignment="1" applyBorder="1" applyFont="1">
      <alignment vertical="bottom"/>
    </xf>
    <xf borderId="10" fillId="2" fontId="29" numFmtId="0" xfId="0" applyAlignment="1" applyBorder="1" applyFont="1">
      <alignment horizontal="center" vertical="bottom"/>
    </xf>
    <xf borderId="10" fillId="0" fontId="10" numFmtId="0" xfId="0" applyAlignment="1" applyBorder="1" applyFont="1">
      <alignment shrinkToFit="0" vertical="top" wrapText="1"/>
    </xf>
    <xf borderId="7" fillId="0" fontId="16" numFmtId="0" xfId="0" applyBorder="1" applyFont="1"/>
    <xf borderId="2" fillId="0" fontId="16" numFmtId="0" xfId="0" applyBorder="1" applyFont="1"/>
    <xf borderId="10" fillId="10" fontId="46" numFmtId="0" xfId="0" applyAlignment="1" applyBorder="1" applyFont="1">
      <alignment horizontal="center" vertical="bottom"/>
    </xf>
    <xf borderId="10" fillId="10" fontId="33" numFmtId="0" xfId="0" applyAlignment="1" applyBorder="1" applyFont="1">
      <alignment horizontal="center" vertical="bottom"/>
    </xf>
    <xf borderId="10" fillId="19" fontId="67" numFmtId="0" xfId="0" applyAlignment="1" applyBorder="1" applyFont="1">
      <alignment horizontal="center" vertical="bottom"/>
    </xf>
    <xf borderId="10" fillId="20" fontId="46" numFmtId="0" xfId="0" applyAlignment="1" applyBorder="1" applyFont="1">
      <alignment horizontal="center" vertical="bottom"/>
    </xf>
    <xf borderId="10" fillId="20" fontId="33" numFmtId="0" xfId="0" applyAlignment="1" applyBorder="1" applyFont="1">
      <alignment horizontal="center" vertical="bottom"/>
    </xf>
    <xf borderId="0" fillId="0" fontId="42" numFmtId="0" xfId="0" applyAlignment="1" applyFont="1">
      <alignment horizontal="center" vertical="bottom"/>
    </xf>
    <xf borderId="14" fillId="2" fontId="3" numFmtId="0" xfId="0" applyAlignment="1" applyBorder="1" applyFont="1">
      <alignment horizontal="center" shrinkToFit="0" vertical="center" wrapText="1"/>
    </xf>
    <xf borderId="14" fillId="7" fontId="33" numFmtId="0" xfId="0" applyAlignment="1" applyBorder="1" applyFont="1">
      <alignment horizontal="center" vertical="bottom"/>
    </xf>
    <xf borderId="10" fillId="7" fontId="33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left" vertical="bottom"/>
    </xf>
    <xf borderId="14" fillId="7" fontId="16" numFmtId="0" xfId="0" applyAlignment="1" applyBorder="1" applyFont="1">
      <alignment horizontal="center" vertical="bottom"/>
    </xf>
    <xf borderId="10" fillId="10" fontId="30" numFmtId="0" xfId="0" applyAlignment="1" applyBorder="1" applyFont="1">
      <alignment horizontal="center" vertical="bottom"/>
    </xf>
    <xf borderId="10" fillId="10" fontId="33" numFmtId="0" xfId="0" applyAlignment="1" applyBorder="1" applyFont="1">
      <alignment vertical="bottom"/>
    </xf>
    <xf borderId="10" fillId="0" fontId="68" numFmtId="164" xfId="0" applyAlignment="1" applyBorder="1" applyFont="1" applyNumberFormat="1">
      <alignment horizontal="center" vertical="bottom"/>
    </xf>
    <xf borderId="10" fillId="10" fontId="69" numFmtId="0" xfId="0" applyAlignment="1" applyBorder="1" applyFont="1">
      <alignment horizontal="center" vertical="bottom"/>
    </xf>
    <xf borderId="10" fillId="10" fontId="41" numFmtId="164" xfId="0" applyAlignment="1" applyBorder="1" applyFont="1" applyNumberFormat="1">
      <alignment vertical="bottom"/>
    </xf>
    <xf borderId="10" fillId="20" fontId="30" numFmtId="0" xfId="0" applyAlignment="1" applyBorder="1" applyFont="1">
      <alignment horizontal="center" vertical="bottom"/>
    </xf>
    <xf borderId="10" fillId="20" fontId="33" numFmtId="0" xfId="0" applyAlignment="1" applyBorder="1" applyFont="1">
      <alignment vertical="bottom"/>
    </xf>
    <xf borderId="10" fillId="20" fontId="69" numFmtId="0" xfId="0" applyAlignment="1" applyBorder="1" applyFont="1">
      <alignment horizontal="center" vertical="bottom"/>
    </xf>
    <xf borderId="10" fillId="20" fontId="41" numFmtId="164" xfId="0" applyAlignment="1" applyBorder="1" applyFont="1" applyNumberFormat="1">
      <alignment vertical="bottom"/>
    </xf>
    <xf borderId="10" fillId="10" fontId="70" numFmtId="3" xfId="0" applyAlignment="1" applyBorder="1" applyFont="1" applyNumberFormat="1">
      <alignment horizontal="center" vertical="bottom"/>
    </xf>
    <xf borderId="10" fillId="20" fontId="70" numFmtId="3" xfId="0" applyAlignment="1" applyBorder="1" applyFont="1" applyNumberFormat="1">
      <alignment horizontal="center" vertical="bottom"/>
    </xf>
    <xf borderId="10" fillId="40" fontId="16" numFmtId="0" xfId="0" applyAlignment="1" applyBorder="1" applyFont="1">
      <alignment vertical="bottom"/>
    </xf>
    <xf borderId="10" fillId="40" fontId="71" numFmtId="3" xfId="0" applyAlignment="1" applyBorder="1" applyFont="1" applyNumberFormat="1">
      <alignment vertical="bottom"/>
    </xf>
    <xf borderId="27" fillId="2" fontId="72" numFmtId="0" xfId="0" applyAlignment="1" applyBorder="1" applyFont="1">
      <alignment vertical="center"/>
    </xf>
    <xf borderId="28" fillId="0" fontId="4" numFmtId="0" xfId="0" applyBorder="1" applyFont="1"/>
    <xf borderId="29" fillId="0" fontId="4" numFmtId="0" xfId="0" applyBorder="1" applyFont="1"/>
    <xf borderId="30" fillId="2" fontId="73" numFmtId="0" xfId="0" applyAlignment="1" applyBorder="1" applyFont="1">
      <alignment horizontal="right" vertical="center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0" fillId="2" fontId="74" numFmtId="0" xfId="0" applyAlignment="1" applyBorder="1" applyFont="1">
      <alignment horizontal="right" vertical="center"/>
    </xf>
    <xf borderId="0" fillId="0" fontId="75" numFmtId="0" xfId="0" applyAlignment="1" applyFont="1">
      <alignment vertical="center"/>
    </xf>
    <xf borderId="0" fillId="0" fontId="20" numFmtId="0" xfId="0" applyAlignment="1" applyFont="1">
      <alignment vertical="center"/>
    </xf>
    <xf borderId="10" fillId="0" fontId="27" numFmtId="0" xfId="0" applyAlignment="1" applyBorder="1" applyFont="1">
      <alignment vertical="center"/>
    </xf>
    <xf borderId="10" fillId="41" fontId="76" numFmtId="0" xfId="0" applyAlignment="1" applyBorder="1" applyFill="1" applyFont="1">
      <alignment horizontal="left" vertical="center"/>
    </xf>
    <xf borderId="10" fillId="0" fontId="76" numFmtId="0" xfId="0" applyAlignment="1" applyBorder="1" applyFont="1">
      <alignment horizontal="left" vertical="center"/>
    </xf>
    <xf borderId="10" fillId="0" fontId="76" numFmtId="165" xfId="0" applyAlignment="1" applyBorder="1" applyFont="1" applyNumberFormat="1">
      <alignment horizontal="left" vertical="center"/>
    </xf>
    <xf borderId="10" fillId="41" fontId="76" numFmtId="164" xfId="0" applyAlignment="1" applyBorder="1" applyFont="1" applyNumberFormat="1">
      <alignment horizontal="left" vertical="center"/>
    </xf>
    <xf borderId="10" fillId="41" fontId="76" numFmtId="165" xfId="0" applyAlignment="1" applyBorder="1" applyFont="1" applyNumberFormat="1">
      <alignment horizontal="left" vertical="center"/>
    </xf>
    <xf borderId="10" fillId="2" fontId="29" numFmtId="0" xfId="0" applyAlignment="1" applyBorder="1" applyFont="1">
      <alignment horizontal="right" vertical="center"/>
    </xf>
    <xf borderId="10" fillId="0" fontId="77" numFmtId="0" xfId="0" applyAlignment="1" applyBorder="1" applyFont="1">
      <alignment vertical="center"/>
    </xf>
    <xf borderId="10" fillId="41" fontId="77" numFmtId="0" xfId="0" applyAlignment="1" applyBorder="1" applyFont="1">
      <alignment horizontal="center" vertical="center"/>
    </xf>
    <xf borderId="10" fillId="41" fontId="77" numFmtId="164" xfId="0" applyAlignment="1" applyBorder="1" applyFont="1" applyNumberFormat="1">
      <alignment horizontal="center" vertical="center"/>
    </xf>
    <xf borderId="10" fillId="0" fontId="78" numFmtId="0" xfId="0" applyAlignment="1" applyBorder="1" applyFont="1">
      <alignment vertical="center"/>
    </xf>
    <xf borderId="10" fillId="0" fontId="76" numFmtId="164" xfId="0" applyAlignment="1" applyBorder="1" applyFont="1" applyNumberFormat="1">
      <alignment horizontal="right" vertical="center"/>
    </xf>
    <xf borderId="10" fillId="0" fontId="77" numFmtId="164" xfId="0" applyAlignment="1" applyBorder="1" applyFont="1" applyNumberFormat="1">
      <alignment horizontal="center" vertical="center"/>
    </xf>
    <xf borderId="10" fillId="11" fontId="41" numFmtId="0" xfId="0" applyAlignment="1" applyBorder="1" applyFont="1">
      <alignment vertical="center"/>
    </xf>
    <xf borderId="10" fillId="11" fontId="77" numFmtId="0" xfId="0" applyAlignment="1" applyBorder="1" applyFont="1">
      <alignment vertical="center"/>
    </xf>
    <xf borderId="10" fillId="11" fontId="41" numFmtId="164" xfId="0" applyAlignment="1" applyBorder="1" applyFont="1" applyNumberFormat="1">
      <alignment horizontal="right" vertical="center"/>
    </xf>
    <xf borderId="0" fillId="0" fontId="49" numFmtId="0" xfId="0" applyAlignment="1" applyFont="1">
      <alignment vertical="center"/>
    </xf>
    <xf borderId="10" fillId="0" fontId="79" numFmtId="0" xfId="0" applyAlignment="1" applyBorder="1" applyFont="1">
      <alignment vertical="center"/>
    </xf>
    <xf borderId="10" fillId="0" fontId="77" numFmtId="0" xfId="0" applyAlignment="1" applyBorder="1" applyFont="1">
      <alignment horizontal="center" vertical="center"/>
    </xf>
    <xf borderId="10" fillId="41" fontId="78" numFmtId="0" xfId="0" applyAlignment="1" applyBorder="1" applyFont="1">
      <alignment vertical="center"/>
    </xf>
    <xf borderId="10" fillId="0" fontId="18" numFmtId="167" xfId="0" applyAlignment="1" applyBorder="1" applyFont="1" applyNumberFormat="1">
      <alignment horizontal="right" vertical="center"/>
    </xf>
    <xf borderId="10" fillId="11" fontId="18" numFmtId="0" xfId="0" applyAlignment="1" applyBorder="1" applyFont="1">
      <alignment vertical="center"/>
    </xf>
    <xf borderId="10" fillId="11" fontId="18" numFmtId="167" xfId="0" applyAlignment="1" applyBorder="1" applyFont="1" applyNumberFormat="1">
      <alignment horizontal="right" vertical="center"/>
    </xf>
    <xf borderId="1" fillId="40" fontId="7" numFmtId="0" xfId="0" applyAlignment="1" applyBorder="1" applyFont="1">
      <alignment vertical="center"/>
    </xf>
    <xf borderId="10" fillId="40" fontId="80" numFmtId="164" xfId="0" applyAlignment="1" applyBorder="1" applyFont="1" applyNumberFormat="1">
      <alignment horizontal="right" vertical="center"/>
    </xf>
    <xf borderId="0" fillId="0" fontId="81" numFmtId="0" xfId="0" applyAlignment="1" applyFont="1">
      <alignment vertical="center"/>
    </xf>
    <xf borderId="0" fillId="0" fontId="77" numFmtId="0" xfId="0" applyAlignment="1" applyFont="1">
      <alignment vertical="center"/>
    </xf>
    <xf borderId="34" fillId="0" fontId="77" numFmtId="0" xfId="0" applyAlignment="1" applyBorder="1" applyFont="1">
      <alignment vertical="center"/>
    </xf>
    <xf borderId="34" fillId="0" fontId="76" numFmtId="0" xfId="0" applyAlignment="1" applyBorder="1" applyFont="1">
      <alignment vertical="center"/>
    </xf>
    <xf borderId="0" fillId="0" fontId="82" numFmtId="0" xfId="0" applyAlignment="1" applyFont="1">
      <alignment vertical="center"/>
    </xf>
    <xf borderId="0" fillId="0" fontId="78" numFmtId="0" xfId="0" applyAlignment="1" applyFont="1">
      <alignment shrinkToFit="0" vertical="center" wrapText="1"/>
    </xf>
    <xf borderId="10" fillId="0" fontId="83" numFmtId="164" xfId="0" applyAlignment="1" applyBorder="1" applyFont="1" applyNumberFormat="1">
      <alignment horizontal="center" vertical="bottom"/>
    </xf>
    <xf borderId="14" fillId="42" fontId="84" numFmtId="0" xfId="0" applyAlignment="1" applyBorder="1" applyFill="1" applyFont="1">
      <alignment horizontal="left" vertical="center"/>
    </xf>
    <xf borderId="0" fillId="0" fontId="21" numFmtId="0" xfId="0" applyAlignment="1" applyFont="1">
      <alignment horizontal="left" shrinkToFit="0" vertical="center" wrapText="1"/>
    </xf>
    <xf borderId="0" fillId="0" fontId="41" numFmtId="0" xfId="0" applyAlignment="1" applyFont="1">
      <alignment horizontal="left" shrinkToFit="0" vertical="center" wrapText="1"/>
    </xf>
    <xf borderId="35" fillId="41" fontId="85" numFmtId="0" xfId="0" applyAlignment="1" applyBorder="1" applyFont="1">
      <alignment horizontal="center" vertical="center"/>
    </xf>
    <xf borderId="14" fillId="2" fontId="86" numFmtId="0" xfId="0" applyAlignment="1" applyBorder="1" applyFont="1">
      <alignment horizontal="left" vertical="center"/>
    </xf>
    <xf borderId="10" fillId="26" fontId="22" numFmtId="0" xfId="0" applyAlignment="1" applyBorder="1" applyFont="1">
      <alignment horizontal="left" vertical="bottom"/>
    </xf>
    <xf borderId="14" fillId="24" fontId="86" numFmtId="0" xfId="0" applyAlignment="1" applyBorder="1" applyFont="1">
      <alignment horizontal="left" vertical="center"/>
    </xf>
    <xf borderId="0" fillId="0" fontId="22" numFmtId="0" xfId="0" applyAlignment="1" applyFont="1">
      <alignment horizontal="left" shrinkToFit="0" vertical="center" wrapText="1"/>
    </xf>
    <xf borderId="14" fillId="43" fontId="87" numFmtId="0" xfId="0" applyAlignment="1" applyBorder="1" applyFill="1" applyFont="1">
      <alignment horizontal="left" shrinkToFit="0" vertical="top" wrapText="1"/>
    </xf>
    <xf borderId="14" fillId="42" fontId="86" numFmtId="0" xfId="0" applyAlignment="1" applyBorder="1" applyFont="1">
      <alignment horizontal="left" vertical="center"/>
    </xf>
    <xf borderId="14" fillId="44" fontId="86" numFmtId="0" xfId="0" applyAlignment="1" applyBorder="1" applyFill="1" applyFont="1">
      <alignment horizontal="left" vertical="center"/>
    </xf>
    <xf borderId="0" fillId="0" fontId="88" numFmtId="0" xfId="0" applyAlignment="1" applyFont="1">
      <alignment horizontal="left" shrinkToFit="0" vertical="center" wrapText="1"/>
    </xf>
    <xf borderId="30" fillId="18" fontId="89" numFmtId="0" xfId="0" applyAlignment="1" applyBorder="1" applyFont="1">
      <alignment horizontal="left" shrinkToFit="0" vertical="center" wrapText="1"/>
    </xf>
    <xf borderId="20" fillId="0" fontId="64" numFmtId="49" xfId="0" applyAlignment="1" applyBorder="1" applyFont="1" applyNumberFormat="1">
      <alignment horizontal="center" vertical="bottom"/>
    </xf>
    <xf borderId="36" fillId="0" fontId="16" numFmtId="0" xfId="0" applyAlignment="1" applyBorder="1" applyFont="1">
      <alignment vertical="bottom"/>
    </xf>
    <xf borderId="37" fillId="0" fontId="16" numFmtId="0" xfId="0" applyAlignment="1" applyBorder="1" applyFont="1">
      <alignment vertical="bottom"/>
    </xf>
    <xf borderId="20" fillId="0" fontId="64" numFmtId="165" xfId="0" applyAlignment="1" applyBorder="1" applyFont="1" applyNumberFormat="1">
      <alignment horizontal="center" vertical="bottom"/>
    </xf>
    <xf borderId="0" fillId="0" fontId="64" numFmtId="0" xfId="0" applyAlignment="1" applyFont="1">
      <alignment vertical="bottom"/>
    </xf>
    <xf borderId="18" fillId="2" fontId="3" numFmtId="49" xfId="0" applyAlignment="1" applyBorder="1" applyFont="1" applyNumberFormat="1">
      <alignment horizontal="center" shrinkToFit="0" vertical="center" wrapText="1"/>
    </xf>
    <xf borderId="18" fillId="16" fontId="3" numFmtId="49" xfId="0" applyAlignment="1" applyBorder="1" applyFont="1" applyNumberFormat="1">
      <alignment horizontal="center" shrinkToFit="0" vertical="center" wrapText="1"/>
    </xf>
    <xf borderId="18" fillId="16" fontId="3" numFmtId="1" xfId="0" applyAlignment="1" applyBorder="1" applyFont="1" applyNumberFormat="1">
      <alignment horizontal="center" shrinkToFit="0" vertical="center" wrapText="1"/>
    </xf>
    <xf borderId="18" fillId="16" fontId="3" numFmtId="165" xfId="0" applyAlignment="1" applyBorder="1" applyFont="1" applyNumberFormat="1">
      <alignment horizontal="center" shrinkToFit="0" vertical="center" wrapText="1"/>
    </xf>
    <xf borderId="10" fillId="20" fontId="9" numFmtId="0" xfId="0" applyAlignment="1" applyBorder="1" applyFont="1">
      <alignment horizontal="left" vertical="center"/>
    </xf>
    <xf borderId="10" fillId="20" fontId="9" numFmtId="168" xfId="0" applyAlignment="1" applyBorder="1" applyFont="1" applyNumberFormat="1">
      <alignment vertical="center"/>
    </xf>
    <xf borderId="10" fillId="20" fontId="9" numFmtId="1" xfId="0" applyAlignment="1" applyBorder="1" applyFont="1" applyNumberFormat="1">
      <alignment horizontal="center" vertical="center"/>
    </xf>
    <xf borderId="10" fillId="20" fontId="9" numFmtId="165" xfId="0" applyAlignment="1" applyBorder="1" applyFont="1" applyNumberFormat="1">
      <alignment horizontal="center" vertical="center"/>
    </xf>
    <xf borderId="10" fillId="10" fontId="9" numFmtId="0" xfId="0" applyAlignment="1" applyBorder="1" applyFont="1">
      <alignment horizontal="left" vertical="center"/>
    </xf>
    <xf borderId="10" fillId="10" fontId="9" numFmtId="168" xfId="0" applyAlignment="1" applyBorder="1" applyFont="1" applyNumberFormat="1">
      <alignment vertical="center"/>
    </xf>
    <xf borderId="10" fillId="10" fontId="9" numFmtId="1" xfId="0" applyAlignment="1" applyBorder="1" applyFont="1" applyNumberFormat="1">
      <alignment horizontal="center" vertical="center"/>
    </xf>
    <xf borderId="10" fillId="10" fontId="9" numFmtId="165" xfId="0" applyAlignment="1" applyBorder="1" applyFont="1" applyNumberFormat="1">
      <alignment horizontal="center" vertical="center"/>
    </xf>
    <xf borderId="10" fillId="10" fontId="9" numFmtId="49" xfId="0" applyAlignment="1" applyBorder="1" applyFont="1" applyNumberFormat="1">
      <alignment horizontal="left" vertical="bottom"/>
    </xf>
    <xf borderId="10" fillId="10" fontId="9" numFmtId="49" xfId="0" applyAlignment="1" applyBorder="1" applyFont="1" applyNumberFormat="1">
      <alignment horizontal="left" vertical="center"/>
    </xf>
    <xf borderId="10" fillId="20" fontId="9" numFmtId="49" xfId="0" applyAlignment="1" applyBorder="1" applyFont="1" applyNumberFormat="1">
      <alignment horizontal="left" vertical="center"/>
    </xf>
    <xf borderId="10" fillId="10" fontId="9" numFmtId="49" xfId="0" applyAlignment="1" applyBorder="1" applyFont="1" applyNumberFormat="1">
      <alignment horizontal="center" vertical="bottom"/>
    </xf>
    <xf borderId="10" fillId="10" fontId="9" numFmtId="49" xfId="0" applyAlignment="1" applyBorder="1" applyFont="1" applyNumberFormat="1">
      <alignment vertical="center"/>
    </xf>
    <xf borderId="10" fillId="20" fontId="9" numFmtId="49" xfId="0" applyAlignment="1" applyBorder="1" applyFont="1" applyNumberFormat="1">
      <alignment vertical="center"/>
    </xf>
    <xf borderId="10" fillId="10" fontId="9" numFmtId="0" xfId="0" applyAlignment="1" applyBorder="1" applyFont="1">
      <alignment horizontal="left" vertical="bottom"/>
    </xf>
    <xf borderId="10" fillId="20" fontId="9" numFmtId="0" xfId="0" applyAlignment="1" applyBorder="1" applyFont="1">
      <alignment horizontal="left" vertical="bottom"/>
    </xf>
    <xf borderId="10" fillId="20" fontId="9" numFmtId="49" xfId="0" applyAlignment="1" applyBorder="1" applyFont="1" applyNumberFormat="1">
      <alignment vertical="bottom"/>
    </xf>
    <xf borderId="20" fillId="10" fontId="9" numFmtId="0" xfId="0" applyAlignment="1" applyBorder="1" applyFont="1">
      <alignment horizontal="center" vertical="center"/>
    </xf>
    <xf borderId="20" fillId="10" fontId="9" numFmtId="0" xfId="0" applyAlignment="1" applyBorder="1" applyFont="1">
      <alignment vertical="center"/>
    </xf>
    <xf borderId="20" fillId="10" fontId="9" numFmtId="0" xfId="0" applyAlignment="1" applyBorder="1" applyFont="1">
      <alignment horizontal="left" vertical="bottom"/>
    </xf>
    <xf borderId="20" fillId="10" fontId="9" numFmtId="49" xfId="0" applyAlignment="1" applyBorder="1" applyFont="1" applyNumberFormat="1">
      <alignment horizontal="center" vertical="bottom"/>
    </xf>
    <xf borderId="20" fillId="10" fontId="9" numFmtId="49" xfId="0" applyAlignment="1" applyBorder="1" applyFont="1" applyNumberFormat="1">
      <alignment horizontal="center" vertical="center"/>
    </xf>
    <xf borderId="20" fillId="10" fontId="9" numFmtId="168" xfId="0" applyAlignment="1" applyBorder="1" applyFont="1" applyNumberFormat="1">
      <alignment vertical="center"/>
    </xf>
    <xf borderId="20" fillId="10" fontId="9" numFmtId="1" xfId="0" applyAlignment="1" applyBorder="1" applyFont="1" applyNumberFormat="1">
      <alignment horizontal="center" vertical="center"/>
    </xf>
    <xf borderId="20" fillId="10" fontId="9" numFmtId="165" xfId="0" applyAlignment="1" applyBorder="1" applyFont="1" applyNumberFormat="1">
      <alignment horizontal="center" vertical="center"/>
    </xf>
    <xf borderId="14" fillId="10" fontId="9" numFmtId="0" xfId="0" applyAlignment="1" applyBorder="1" applyFont="1">
      <alignment vertical="bottom"/>
    </xf>
    <xf borderId="10" fillId="10" fontId="9" numFmtId="1" xfId="0" applyAlignment="1" applyBorder="1" applyFont="1" applyNumberFormat="1">
      <alignment horizontal="center" vertical="bottom"/>
    </xf>
    <xf borderId="10" fillId="20" fontId="9" numFmtId="1" xfId="0" applyAlignment="1" applyBorder="1" applyFont="1" applyNumberFormat="1">
      <alignment horizontal="center" vertical="bottom"/>
    </xf>
    <xf borderId="10" fillId="10" fontId="9" numFmtId="49" xfId="0" applyAlignment="1" applyBorder="1" applyFont="1" applyNumberFormat="1">
      <alignment vertical="bottom"/>
    </xf>
    <xf borderId="10" fillId="20" fontId="9" numFmtId="49" xfId="0" applyAlignment="1" applyBorder="1" applyFont="1" applyNumberFormat="1">
      <alignment horizontal="left" vertical="bottom"/>
    </xf>
    <xf borderId="10" fillId="10" fontId="9" numFmtId="49" xfId="0" applyAlignment="1" applyBorder="1" applyFont="1" applyNumberFormat="1">
      <alignment horizontal="right" vertical="bottom"/>
    </xf>
    <xf borderId="10" fillId="20" fontId="9" numFmtId="169" xfId="0" applyAlignment="1" applyBorder="1" applyFont="1" applyNumberFormat="1">
      <alignment horizontal="center" vertical="bottom"/>
    </xf>
    <xf borderId="10" fillId="10" fontId="9" numFmtId="170" xfId="0" applyAlignment="1" applyBorder="1" applyFont="1" applyNumberFormat="1">
      <alignment horizontal="center" vertical="bottom"/>
    </xf>
    <xf borderId="10" fillId="20" fontId="9" numFmtId="170" xfId="0" applyAlignment="1" applyBorder="1" applyFont="1" applyNumberFormat="1">
      <alignment horizontal="center" vertical="bottom"/>
    </xf>
    <xf borderId="10" fillId="10" fontId="90" numFmtId="0" xfId="0" applyAlignment="1" applyBorder="1" applyFont="1">
      <alignment vertical="bottom"/>
    </xf>
    <xf borderId="10" fillId="20" fontId="9" numFmtId="171" xfId="0" applyAlignment="1" applyBorder="1" applyFont="1" applyNumberFormat="1">
      <alignment horizontal="center" vertical="bottom"/>
    </xf>
    <xf borderId="0" fillId="0" fontId="12" numFmtId="0" xfId="0" applyAlignment="1" applyFont="1">
      <alignment vertical="bottom"/>
    </xf>
    <xf borderId="10" fillId="10" fontId="64" numFmtId="0" xfId="0" applyAlignment="1" applyBorder="1" applyFont="1">
      <alignment horizontal="center" vertical="center"/>
    </xf>
    <xf borderId="10" fillId="10" fontId="64" numFmtId="0" xfId="0" applyAlignment="1" applyBorder="1" applyFont="1">
      <alignment vertical="bottom"/>
    </xf>
    <xf borderId="10" fillId="10" fontId="64" numFmtId="0" xfId="0" applyAlignment="1" applyBorder="1" applyFont="1">
      <alignment horizontal="center" vertical="bottom"/>
    </xf>
    <xf borderId="10" fillId="10" fontId="64" numFmtId="0" xfId="0" applyAlignment="1" applyBorder="1" applyFont="1">
      <alignment horizontal="left" vertical="bottom"/>
    </xf>
    <xf borderId="10" fillId="10" fontId="64" numFmtId="49" xfId="0" applyAlignment="1" applyBorder="1" applyFont="1" applyNumberFormat="1">
      <alignment horizontal="center" vertical="bottom"/>
    </xf>
    <xf borderId="10" fillId="10" fontId="64" numFmtId="1" xfId="0" applyAlignment="1" applyBorder="1" applyFont="1" applyNumberFormat="1">
      <alignment horizontal="center" vertical="bottom"/>
    </xf>
    <xf borderId="10" fillId="10" fontId="64" numFmtId="165" xfId="0" applyAlignment="1" applyBorder="1" applyFont="1" applyNumberFormat="1">
      <alignment horizontal="center" vertical="bottom"/>
    </xf>
    <xf borderId="10" fillId="0" fontId="64" numFmtId="0" xfId="0" applyAlignment="1" applyBorder="1" applyFont="1">
      <alignment vertical="bottom"/>
    </xf>
    <xf borderId="20" fillId="0" fontId="64" numFmtId="1" xfId="0" applyAlignment="1" applyBorder="1" applyFont="1" applyNumberFormat="1">
      <alignment horizontal="center" vertical="bottom"/>
    </xf>
    <xf borderId="20" fillId="0" fontId="64" numFmtId="170" xfId="0" applyAlignment="1" applyBorder="1" applyFont="1" applyNumberFormat="1">
      <alignment horizontal="center" vertical="bottom"/>
    </xf>
    <xf borderId="0" fillId="0" fontId="64" numFmtId="0" xfId="0" applyAlignment="1" applyFont="1">
      <alignment horizontal="center" vertical="bottom"/>
    </xf>
    <xf borderId="0" fillId="0" fontId="64" numFmtId="49" xfId="0" applyAlignment="1" applyFont="1" applyNumberFormat="1">
      <alignment horizontal="center" vertical="bottom"/>
    </xf>
    <xf borderId="0" fillId="0" fontId="64" numFmtId="0" xfId="0" applyAlignment="1" applyFont="1">
      <alignment horizontal="left" vertical="bottom"/>
    </xf>
    <xf borderId="0" fillId="0" fontId="64" numFmtId="1" xfId="0" applyAlignment="1" applyFont="1" applyNumberFormat="1">
      <alignment horizontal="center" vertical="bottom"/>
    </xf>
    <xf borderId="0" fillId="0" fontId="64" numFmtId="165" xfId="0" applyAlignment="1" applyFont="1" applyNumberFormat="1">
      <alignment horizontal="center" vertical="bottom"/>
    </xf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49" xfId="0" applyAlignment="1" applyFont="1" applyNumberFormat="1">
      <alignment horizontal="center" vertical="center"/>
    </xf>
    <xf borderId="0" fillId="0" fontId="12" numFmtId="1" xfId="0" applyAlignment="1" applyFont="1" applyNumberFormat="1">
      <alignment horizontal="center" vertical="center"/>
    </xf>
    <xf borderId="0" fillId="0" fontId="12" numFmtId="165" xfId="0" applyAlignment="1" applyFont="1" applyNumberFormat="1">
      <alignment vertical="center"/>
    </xf>
    <xf borderId="10" fillId="0" fontId="47" numFmtId="0" xfId="0" applyAlignment="1" applyBorder="1" applyFont="1">
      <alignment vertical="bottom"/>
    </xf>
    <xf borderId="0" fillId="0" fontId="91" numFmtId="0" xfId="0" applyAlignment="1" applyFont="1">
      <alignment vertical="bottom"/>
    </xf>
    <xf borderId="0" fillId="0" fontId="92" numFmtId="0" xfId="0" applyAlignment="1" applyFont="1">
      <alignment vertical="bottom"/>
    </xf>
    <xf borderId="0" fillId="0" fontId="93" numFmtId="0" xfId="0" applyAlignment="1" applyFont="1">
      <alignment horizontal="center" vertical="bottom"/>
    </xf>
    <xf borderId="10" fillId="0" fontId="47" numFmtId="172" xfId="0" applyAlignment="1" applyBorder="1" applyFont="1" applyNumberFormat="1">
      <alignment vertical="bottom"/>
    </xf>
  </cellXfs>
  <cellStyles count="1">
    <cellStyle xfId="0" name="Normal" builtinId="0"/>
  </cellStyles>
  <dxfs count="7"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9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9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9.0"/>
        <color rgb="FF7F6000"/>
        <name val="Arial"/>
      </font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http://panduan_v2.xlsx/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IhaIxONuM9zLbYLzPecmz1wYxYpsyfTT/view?usp=drive_link" TargetMode="External"/><Relationship Id="rId3" Type="http://schemas.openxmlformats.org/officeDocument/2006/relationships/hyperlink" Target="https://maps.app.goo.gl/1DiPYcbuNpUPYenS6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1DiPYcbuNpUPYenS6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2" ht="21.75" customHeight="1">
      <c r="B2" s="1" t="s">
        <v>0</v>
      </c>
    </row>
    <row r="3" ht="15.0" customHeight="1">
      <c r="B3" s="2" t="str">
        <f>"Update otomatis: "&amp;TEXT(NOW(),"DD MMMM YYYY, HH:MM")</f>
        <v>Update otomatis: 20 Juli 2026, 11:22</v>
      </c>
    </row>
    <row r="5" ht="15.0" customHeight="1">
      <c r="B5" s="3" t="s">
        <v>1</v>
      </c>
      <c r="C5" s="4"/>
      <c r="D5" s="5" t="s">
        <v>2</v>
      </c>
      <c r="E5" s="4"/>
      <c r="F5" s="6" t="s">
        <v>3</v>
      </c>
      <c r="G5" s="4"/>
      <c r="H5" s="7" t="s">
        <v>4</v>
      </c>
      <c r="I5" s="4"/>
    </row>
    <row r="6" ht="15.0" customHeight="1">
      <c r="B6" s="8">
        <f>COUNTIF('2_Data_Pelanggan'!$W$5:$W$500,"Aktif")</f>
        <v>178</v>
      </c>
      <c r="C6" s="9"/>
      <c r="D6" s="10">
        <f t="array" ref="D6">INDEX('10_Tagihan_Bulanan'!$F$208:$Q$208,1,MONTH(NOW()))</f>
        <v>15569418</v>
      </c>
      <c r="E6" s="9"/>
      <c r="F6" s="11">
        <f>'5_Rekap_CSR'!D160</f>
        <v>390000</v>
      </c>
      <c r="G6" s="9"/>
      <c r="H6" s="12">
        <f>'3_Perangkat'!C4</f>
        <v>128</v>
      </c>
      <c r="I6" s="9"/>
    </row>
    <row r="7" ht="15.0" customHeight="1">
      <c r="B7" s="13"/>
      <c r="C7" s="14"/>
      <c r="D7" s="13"/>
      <c r="E7" s="14"/>
      <c r="F7" s="13"/>
      <c r="G7" s="14"/>
      <c r="H7" s="13"/>
      <c r="I7" s="14"/>
    </row>
    <row r="8" ht="15.0" customHeight="1">
      <c r="B8" s="15" t="str">
        <f>"🔴 "&amp;COUNTIF('2_Data_Pelanggan'!$W$5:$W$500,"Berhenti")&amp;" berhenti"</f>
        <v>🔴 3 berhenti</v>
      </c>
      <c r="C8" s="4"/>
      <c r="D8" s="16" t="str">
        <f>CHOOSE(MONTH(NOW()),"Januari","Februari","Maret","April","Mei","Juni","Juli","Agustus","September","Oktober","November","Desember")</f>
        <v>Juli</v>
      </c>
      <c r="E8" s="4"/>
      <c r="F8" s="17" t="s">
        <v>5</v>
      </c>
      <c r="G8" s="4"/>
      <c r="H8" s="18" t="s">
        <v>6</v>
      </c>
      <c r="I8" s="4"/>
    </row>
    <row r="11" ht="15.0" customHeight="1">
      <c r="B11" s="19" t="s">
        <v>7</v>
      </c>
      <c r="G11" s="19" t="s">
        <v>8</v>
      </c>
    </row>
    <row r="12" ht="19.5" customHeight="1">
      <c r="B12" s="20" t="str">
        <f>COUNTIFS('9_Monitoring_Netwatch'!$C$4:$C$300,"DOWN",'9_Monitoring_Netwatch'!$E$4:$E$300,"?*")&amp;" pelanggan sedang OFFLINE"</f>
        <v>9 pelanggan sedang OFFLINE</v>
      </c>
      <c r="C12" s="21"/>
      <c r="D12" s="21"/>
      <c r="E12" s="22"/>
      <c r="G12" s="23" t="str">
        <f>SUMPRODUCT(('2_Data_Pelanggan'!$D$5:$D$500&lt;&gt;"")*(('2_Data_Pelanggan'!$I$5:$I$500="")+('2_Data_Pelanggan'!$J$5:$J$500="")&gt;0))&amp;" — RW/RT kosong"</f>
        <v>16 — RW/RT kosong</v>
      </c>
      <c r="H12" s="21"/>
      <c r="I12" s="21"/>
      <c r="J12" s="22"/>
    </row>
    <row r="13" ht="19.5" customHeight="1">
      <c r="B13" s="24" t="s">
        <v>9</v>
      </c>
      <c r="G13" s="23" t="str">
        <f>COUNTIFS('2_Data_Pelanggan'!$D$5:$D$500,"&lt;&gt;",'2_Data_Pelanggan'!$E$5:$E$500,"")&amp;" — NIK kosong"</f>
        <v>34 — NIK kosong</v>
      </c>
      <c r="H13" s="21"/>
      <c r="I13" s="21"/>
      <c r="J13" s="22"/>
    </row>
    <row r="14" ht="19.5" customHeight="1">
      <c r="G14" s="23" t="str">
        <f>COUNTIF('5_Rekap_CSR'!$Z$3:$Z$141,"Belum Dibayar")&amp;" — RT Dana CSR belum cair"</f>
        <v>139 — RT Dana CSR belum cair</v>
      </c>
      <c r="H14" s="21"/>
      <c r="I14" s="21"/>
      <c r="J14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C7"/>
    <mergeCell ref="B8:C8"/>
    <mergeCell ref="B11:E11"/>
    <mergeCell ref="B12:E12"/>
    <mergeCell ref="B13:E13"/>
    <mergeCell ref="B2:J2"/>
    <mergeCell ref="B3:J3"/>
    <mergeCell ref="B5:C5"/>
    <mergeCell ref="D5:E5"/>
    <mergeCell ref="F5:G5"/>
    <mergeCell ref="H5:I5"/>
    <mergeCell ref="H6:I7"/>
    <mergeCell ref="G13:J13"/>
    <mergeCell ref="G14:J14"/>
    <mergeCell ref="D6:E7"/>
    <mergeCell ref="F6:G7"/>
    <mergeCell ref="D8:E8"/>
    <mergeCell ref="F8:G8"/>
    <mergeCell ref="H8:I8"/>
    <mergeCell ref="G11:J11"/>
    <mergeCell ref="G12:J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0"/>
    <col customWidth="1" min="2" max="2" width="34.43"/>
    <col customWidth="1" min="3" max="3" width="157.57"/>
    <col customWidth="1" min="4" max="23" width="8.71"/>
  </cols>
  <sheetData>
    <row r="1" ht="15.0" customHeight="1">
      <c r="A1" s="25"/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7.75" customHeight="1">
      <c r="A2" s="25"/>
      <c r="B2" s="27" t="s">
        <v>10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8.0" customHeight="1">
      <c r="A3" s="25"/>
      <c r="B3" s="28" t="s">
        <v>11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6.0" customHeight="1">
      <c r="A4" s="25"/>
      <c r="B4" s="29"/>
      <c r="C4" s="29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25"/>
      <c r="B5" s="30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1.75" customHeight="1">
      <c r="A6" s="31"/>
      <c r="B6" s="32" t="s">
        <v>12</v>
      </c>
      <c r="C6" s="33" t="s">
        <v>13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42.0" customHeight="1">
      <c r="A7" s="34"/>
      <c r="B7" s="35" t="s">
        <v>14</v>
      </c>
      <c r="C7" s="36" t="s">
        <v>15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42.0" customHeight="1">
      <c r="A8" s="37"/>
      <c r="B8" s="38" t="s">
        <v>16</v>
      </c>
      <c r="C8" s="39" t="s">
        <v>17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42.0" customHeight="1">
      <c r="A9" s="40"/>
      <c r="B9" s="35" t="s">
        <v>18</v>
      </c>
      <c r="C9" s="36" t="s">
        <v>19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42.0" customHeight="1">
      <c r="A10" s="41"/>
      <c r="B10" s="38" t="s">
        <v>20</v>
      </c>
      <c r="C10" s="39" t="s">
        <v>21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42.0" customHeight="1">
      <c r="A11" s="42"/>
      <c r="B11" s="35" t="s">
        <v>22</v>
      </c>
      <c r="C11" s="36" t="s">
        <v>23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42.0" customHeight="1">
      <c r="A12" s="43"/>
      <c r="B12" s="38" t="s">
        <v>24</v>
      </c>
      <c r="C12" s="39" t="s">
        <v>25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42.0" customHeight="1">
      <c r="A13" s="44"/>
      <c r="B13" s="35" t="s">
        <v>26</v>
      </c>
      <c r="C13" s="36" t="s">
        <v>27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42.0" customHeight="1">
      <c r="A14" s="45"/>
      <c r="B14" s="38" t="s">
        <v>28</v>
      </c>
      <c r="C14" s="39" t="s">
        <v>29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42.0" customHeight="1">
      <c r="A15" s="46"/>
      <c r="B15" s="38" t="s">
        <v>30</v>
      </c>
      <c r="C15" s="39" t="s">
        <v>31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42.0" customHeight="1">
      <c r="A16" s="25"/>
      <c r="B16" s="38" t="s">
        <v>32</v>
      </c>
      <c r="C16" s="39" t="s">
        <v>33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42.0" customHeight="1">
      <c r="A17" s="47"/>
      <c r="B17" s="48" t="s">
        <v>34</v>
      </c>
      <c r="C17" s="4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42.0" customHeight="1">
      <c r="A18" s="47"/>
      <c r="B18" s="38" t="s">
        <v>35</v>
      </c>
      <c r="C18" s="49" t="s">
        <v>36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42.0" customHeight="1">
      <c r="A19" s="47"/>
      <c r="B19" s="38" t="s">
        <v>37</v>
      </c>
      <c r="C19" s="49" t="s">
        <v>38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0" customHeight="1">
      <c r="A20" s="25"/>
      <c r="B20" s="50" t="s">
        <v>39</v>
      </c>
      <c r="C20" s="51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0" customHeight="1">
      <c r="A21" s="25"/>
      <c r="B21" s="52" t="s">
        <v>40</v>
      </c>
      <c r="C21" s="5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9.75" customHeight="1">
      <c r="A22" s="25"/>
      <c r="B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5"/>
      <c r="B23" s="54" t="s">
        <v>41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5"/>
      <c r="B24" s="55" t="s">
        <v>42</v>
      </c>
      <c r="C24" s="5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57"/>
      <c r="B25" s="58" t="s">
        <v>43</v>
      </c>
      <c r="C25" s="4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57"/>
      <c r="B26" s="57"/>
      <c r="C26" s="4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57"/>
      <c r="B27" s="57"/>
      <c r="C27" s="5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57"/>
      <c r="B28" s="59" t="s">
        <v>44</v>
      </c>
      <c r="C28" s="5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31.5" customHeight="1">
      <c r="A29" s="57"/>
      <c r="B29" s="60" t="s">
        <v>45</v>
      </c>
      <c r="C29" s="61" t="s">
        <v>46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31.5" customHeight="1">
      <c r="A30" s="57"/>
      <c r="B30" s="60" t="s">
        <v>47</v>
      </c>
      <c r="C30" s="61" t="s">
        <v>48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31.5" customHeight="1">
      <c r="A31" s="57"/>
      <c r="B31" s="60" t="s">
        <v>49</v>
      </c>
      <c r="C31" s="61" t="s">
        <v>50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31.5" customHeight="1">
      <c r="A32" s="57"/>
      <c r="B32" s="60" t="s">
        <v>51</v>
      </c>
      <c r="C32" s="61" t="s">
        <v>52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31.5" customHeight="1">
      <c r="A33" s="57"/>
      <c r="B33" s="60" t="s">
        <v>53</v>
      </c>
      <c r="C33" s="61" t="s">
        <v>54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7.75" customHeight="1">
      <c r="A34" s="57"/>
      <c r="B34" s="60" t="s">
        <v>55</v>
      </c>
      <c r="C34" s="61" t="s">
        <v>56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57"/>
      <c r="B35" s="57"/>
      <c r="C35" s="5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5.5" customHeight="1">
      <c r="A36" s="57"/>
      <c r="B36" s="62" t="s">
        <v>57</v>
      </c>
      <c r="C36" s="63" t="s">
        <v>58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5.5" customHeight="1">
      <c r="A37" s="57"/>
      <c r="B37" s="62" t="s">
        <v>59</v>
      </c>
      <c r="C37" s="63" t="s">
        <v>60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5.5" customHeight="1">
      <c r="A38" s="57"/>
      <c r="B38" s="62" t="s">
        <v>61</v>
      </c>
      <c r="C38" s="63" t="s">
        <v>62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57"/>
      <c r="B39" s="57"/>
      <c r="C39" s="5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57"/>
      <c r="B40" s="64" t="s">
        <v>63</v>
      </c>
      <c r="C40" s="5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57"/>
      <c r="B41" s="65" t="s">
        <v>64</v>
      </c>
      <c r="C41" s="57" t="s">
        <v>65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57"/>
      <c r="B42" s="66" t="s">
        <v>66</v>
      </c>
      <c r="C42" s="57" t="s">
        <v>67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57"/>
      <c r="B43" s="57"/>
      <c r="C43" s="5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57"/>
      <c r="B44" s="57"/>
      <c r="C44" s="5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57"/>
      <c r="B45" s="57"/>
      <c r="C45" s="5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57"/>
      <c r="B46" s="57"/>
      <c r="C46" s="5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57"/>
      <c r="B47" s="57"/>
      <c r="C47" s="5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57"/>
      <c r="B48" s="57"/>
      <c r="C48" s="5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57"/>
      <c r="B49" s="57"/>
      <c r="C49" s="5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57"/>
      <c r="B50" s="57"/>
      <c r="C50" s="57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57"/>
      <c r="B51" s="57"/>
      <c r="C51" s="57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57"/>
      <c r="B52" s="57"/>
      <c r="C52" s="57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57"/>
      <c r="B53" s="57"/>
      <c r="C53" s="57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57"/>
      <c r="B54" s="57"/>
      <c r="C54" s="57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57"/>
      <c r="B55" s="57"/>
      <c r="C55" s="57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57"/>
      <c r="B56" s="57"/>
      <c r="C56" s="57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57"/>
      <c r="B57" s="57"/>
      <c r="C57" s="5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57"/>
      <c r="B58" s="57"/>
      <c r="C58" s="57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57"/>
      <c r="B59" s="57"/>
      <c r="C59" s="57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57"/>
      <c r="B60" s="57"/>
      <c r="C60" s="57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57"/>
      <c r="B61" s="57"/>
      <c r="C61" s="57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57"/>
      <c r="B62" s="57"/>
      <c r="C62" s="57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57"/>
      <c r="B63" s="57"/>
      <c r="C63" s="57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57"/>
      <c r="B64" s="57"/>
      <c r="C64" s="5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57"/>
      <c r="B65" s="57"/>
      <c r="C65" s="57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57"/>
      <c r="B66" s="57"/>
      <c r="C66" s="57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57"/>
      <c r="B67" s="57"/>
      <c r="C67" s="57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57"/>
      <c r="B68" s="57"/>
      <c r="C68" s="57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57"/>
      <c r="B69" s="57"/>
      <c r="C69" s="57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57"/>
      <c r="B70" s="57"/>
      <c r="C70" s="5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57"/>
      <c r="B71" s="57"/>
      <c r="C71" s="5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57"/>
      <c r="B72" s="57"/>
      <c r="C72" s="5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57"/>
      <c r="B73" s="57"/>
      <c r="C73" s="5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57"/>
      <c r="B74" s="57"/>
      <c r="C74" s="57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57"/>
      <c r="B75" s="57"/>
      <c r="C75" s="57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57"/>
      <c r="B76" s="57"/>
      <c r="C76" s="57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57"/>
      <c r="B77" s="57"/>
      <c r="C77" s="57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57"/>
      <c r="B78" s="57"/>
      <c r="C78" s="57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57"/>
      <c r="B79" s="57"/>
      <c r="C79" s="57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57"/>
      <c r="B80" s="57"/>
      <c r="C80" s="5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57"/>
      <c r="B81" s="57"/>
      <c r="C81" s="57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57"/>
      <c r="B82" s="57"/>
      <c r="C82" s="5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57"/>
      <c r="B83" s="57"/>
      <c r="C83" s="57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57"/>
      <c r="B84" s="57"/>
      <c r="C84" s="57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57"/>
      <c r="B85" s="57"/>
      <c r="C85" s="57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57"/>
      <c r="B86" s="57"/>
      <c r="C86" s="57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57"/>
      <c r="B87" s="57"/>
      <c r="C87" s="5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57"/>
      <c r="B88" s="57"/>
      <c r="C88" s="57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57"/>
      <c r="B89" s="57"/>
      <c r="C89" s="57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57"/>
      <c r="B90" s="57"/>
      <c r="C90" s="57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57"/>
      <c r="B91" s="57"/>
      <c r="C91" s="5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57"/>
      <c r="B92" s="57"/>
      <c r="C92" s="57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57"/>
      <c r="B93" s="57"/>
      <c r="C93" s="57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57"/>
      <c r="B94" s="57"/>
      <c r="C94" s="57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57"/>
      <c r="B95" s="57"/>
      <c r="C95" s="5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57"/>
      <c r="B96" s="57"/>
      <c r="C96" s="5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57"/>
      <c r="B97" s="57"/>
      <c r="C97" s="5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57"/>
      <c r="B98" s="57"/>
      <c r="C98" s="57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57"/>
      <c r="B99" s="57"/>
      <c r="C99" s="5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57"/>
      <c r="B100" s="57"/>
      <c r="C100" s="57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57"/>
      <c r="B101" s="57"/>
      <c r="C101" s="5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57"/>
      <c r="B102" s="57"/>
      <c r="C102" s="57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57"/>
      <c r="B103" s="57"/>
      <c r="C103" s="5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57"/>
      <c r="B104" s="57"/>
      <c r="C104" s="57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57"/>
      <c r="B105" s="57"/>
      <c r="C105" s="57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57"/>
      <c r="B106" s="57"/>
      <c r="C106" s="57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57"/>
      <c r="B107" s="57"/>
      <c r="C107" s="57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57"/>
      <c r="B108" s="57"/>
      <c r="C108" s="57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57"/>
      <c r="B109" s="57"/>
      <c r="C109" s="5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57"/>
      <c r="B110" s="57"/>
      <c r="C110" s="5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57"/>
      <c r="B111" s="57"/>
      <c r="C111" s="5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57"/>
      <c r="B112" s="57"/>
      <c r="C112" s="5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57"/>
      <c r="B113" s="57"/>
      <c r="C113" s="57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57"/>
      <c r="B114" s="57"/>
      <c r="C114" s="5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57"/>
      <c r="B115" s="57"/>
      <c r="C115" s="57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57"/>
      <c r="B116" s="57"/>
      <c r="C116" s="57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57"/>
      <c r="B117" s="57"/>
      <c r="C117" s="57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57"/>
      <c r="B118" s="57"/>
      <c r="C118" s="57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57"/>
      <c r="B119" s="57"/>
      <c r="C119" s="57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57"/>
      <c r="B120" s="57"/>
      <c r="C120" s="57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57"/>
      <c r="B121" s="57"/>
      <c r="C121" s="5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57"/>
      <c r="B122" s="57"/>
      <c r="C122" s="57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57"/>
      <c r="B123" s="57"/>
      <c r="C123" s="57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57"/>
      <c r="B124" s="57"/>
      <c r="C124" s="57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57"/>
      <c r="B125" s="57"/>
      <c r="C125" s="57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57"/>
      <c r="B126" s="57"/>
      <c r="C126" s="57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57"/>
      <c r="B127" s="57"/>
      <c r="C127" s="57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57"/>
      <c r="B128" s="57"/>
      <c r="C128" s="57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57"/>
      <c r="B129" s="57"/>
      <c r="C129" s="57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57"/>
      <c r="B130" s="57"/>
      <c r="C130" s="57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57"/>
      <c r="B131" s="57"/>
      <c r="C131" s="57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57"/>
      <c r="B132" s="57"/>
      <c r="C132" s="57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57"/>
      <c r="B133" s="57"/>
      <c r="C133" s="5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57"/>
      <c r="B134" s="57"/>
      <c r="C134" s="57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57"/>
      <c r="B135" s="57"/>
      <c r="C135" s="57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57"/>
      <c r="B136" s="57"/>
      <c r="C136" s="57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57"/>
      <c r="B137" s="57"/>
      <c r="C137" s="57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57"/>
      <c r="B138" s="57"/>
      <c r="C138" s="5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57"/>
      <c r="B139" s="57"/>
      <c r="C139" s="57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57"/>
      <c r="B140" s="57"/>
      <c r="C140" s="57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57"/>
      <c r="B141" s="57"/>
      <c r="C141" s="57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57"/>
      <c r="B142" s="57"/>
      <c r="C142" s="57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57"/>
      <c r="B143" s="57"/>
      <c r="C143" s="57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57"/>
      <c r="B144" s="57"/>
      <c r="C144" s="57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57"/>
      <c r="B145" s="57"/>
      <c r="C145" s="5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57"/>
      <c r="B146" s="57"/>
      <c r="C146" s="5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57"/>
      <c r="B147" s="57"/>
      <c r="C147" s="57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57"/>
      <c r="B148" s="57"/>
      <c r="C148" s="57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57"/>
      <c r="B149" s="57"/>
      <c r="C149" s="5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57"/>
      <c r="B150" s="57"/>
      <c r="C150" s="5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57"/>
      <c r="B151" s="57"/>
      <c r="C151" s="5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57"/>
      <c r="B152" s="57"/>
      <c r="C152" s="5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57"/>
      <c r="B153" s="57"/>
      <c r="C153" s="5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57"/>
      <c r="B154" s="57"/>
      <c r="C154" s="5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57"/>
      <c r="B155" s="57"/>
      <c r="C155" s="5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57"/>
      <c r="B156" s="57"/>
      <c r="C156" s="5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57"/>
      <c r="B157" s="57"/>
      <c r="C157" s="5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57"/>
      <c r="B158" s="57"/>
      <c r="C158" s="5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57"/>
      <c r="B159" s="57"/>
      <c r="C159" s="5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57"/>
      <c r="B160" s="57"/>
      <c r="C160" s="5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57"/>
      <c r="B161" s="57"/>
      <c r="C161" s="5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57"/>
      <c r="B162" s="57"/>
      <c r="C162" s="5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57"/>
      <c r="B163" s="57"/>
      <c r="C163" s="5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57"/>
      <c r="B164" s="57"/>
      <c r="C164" s="5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57"/>
      <c r="B165" s="57"/>
      <c r="C165" s="5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57"/>
      <c r="B166" s="57"/>
      <c r="C166" s="5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57"/>
      <c r="B167" s="57"/>
      <c r="C167" s="5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57"/>
      <c r="B168" s="57"/>
      <c r="C168" s="5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57"/>
      <c r="B169" s="57"/>
      <c r="C169" s="5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57"/>
      <c r="B170" s="57"/>
      <c r="C170" s="5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57"/>
      <c r="B171" s="57"/>
      <c r="C171" s="5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57"/>
      <c r="B172" s="57"/>
      <c r="C172" s="5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57"/>
      <c r="B173" s="57"/>
      <c r="C173" s="5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57"/>
      <c r="B174" s="57"/>
      <c r="C174" s="5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57"/>
      <c r="B175" s="57"/>
      <c r="C175" s="5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57"/>
      <c r="B176" s="57"/>
      <c r="C176" s="5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57"/>
      <c r="B177" s="57"/>
      <c r="C177" s="5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57"/>
      <c r="B178" s="57"/>
      <c r="C178" s="5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57"/>
      <c r="B179" s="57"/>
      <c r="C179" s="5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57"/>
      <c r="B180" s="57"/>
      <c r="C180" s="5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57"/>
      <c r="B181" s="57"/>
      <c r="C181" s="5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57"/>
      <c r="B182" s="57"/>
      <c r="C182" s="5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57"/>
      <c r="B183" s="57"/>
      <c r="C183" s="5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57"/>
      <c r="B184" s="57"/>
      <c r="C184" s="5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57"/>
      <c r="B185" s="57"/>
      <c r="C185" s="5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57"/>
      <c r="B186" s="57"/>
      <c r="C186" s="5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57"/>
      <c r="B187" s="57"/>
      <c r="C187" s="5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57"/>
      <c r="B188" s="57"/>
      <c r="C188" s="5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57"/>
      <c r="B189" s="57"/>
      <c r="C189" s="5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57"/>
      <c r="B190" s="57"/>
      <c r="C190" s="5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57"/>
      <c r="B191" s="57"/>
      <c r="C191" s="5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57"/>
      <c r="B192" s="57"/>
      <c r="C192" s="5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57"/>
      <c r="B193" s="57"/>
      <c r="C193" s="57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57"/>
      <c r="B194" s="57"/>
      <c r="C194" s="57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57"/>
      <c r="B195" s="57"/>
      <c r="C195" s="57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57"/>
      <c r="B196" s="57"/>
      <c r="C196" s="57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57"/>
      <c r="B197" s="57"/>
      <c r="C197" s="57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57"/>
      <c r="B198" s="57"/>
      <c r="C198" s="57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57"/>
      <c r="B199" s="57"/>
      <c r="C199" s="57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57"/>
      <c r="B200" s="57"/>
      <c r="C200" s="57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57"/>
      <c r="B201" s="57"/>
      <c r="C201" s="57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57"/>
      <c r="B202" s="57"/>
      <c r="C202" s="57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57"/>
      <c r="B203" s="57"/>
      <c r="C203" s="57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57"/>
      <c r="B204" s="57"/>
      <c r="C204" s="57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57"/>
      <c r="B205" s="57"/>
      <c r="C205" s="57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57"/>
      <c r="B206" s="57"/>
      <c r="C206" s="57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57"/>
      <c r="B207" s="57"/>
      <c r="C207" s="57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57"/>
      <c r="B208" s="57"/>
      <c r="C208" s="57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57"/>
      <c r="B209" s="57"/>
      <c r="C209" s="5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57"/>
      <c r="B210" s="57"/>
      <c r="C210" s="57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57"/>
      <c r="B211" s="57"/>
      <c r="C211" s="57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57"/>
      <c r="B212" s="57"/>
      <c r="C212" s="57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57"/>
      <c r="B213" s="57"/>
      <c r="C213" s="57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57"/>
      <c r="B214" s="57"/>
      <c r="C214" s="57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57"/>
      <c r="B215" s="57"/>
      <c r="C215" s="57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57"/>
      <c r="B216" s="57"/>
      <c r="C216" s="57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57"/>
      <c r="B217" s="57"/>
      <c r="C217" s="57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57"/>
      <c r="B218" s="57"/>
      <c r="C218" s="57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57"/>
      <c r="B219" s="57"/>
      <c r="C219" s="57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57"/>
      <c r="B220" s="57"/>
      <c r="C220" s="57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57"/>
      <c r="B221" s="57"/>
      <c r="C221" s="57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57"/>
      <c r="B222" s="57"/>
      <c r="C222" s="57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57"/>
      <c r="B223" s="57"/>
      <c r="C223" s="57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57"/>
      <c r="B224" s="57"/>
      <c r="C224" s="57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57"/>
      <c r="B225" s="57"/>
      <c r="C225" s="57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57"/>
      <c r="B226" s="57"/>
      <c r="C226" s="57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57"/>
      <c r="B227" s="57"/>
      <c r="C227" s="57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57"/>
      <c r="B228" s="57"/>
      <c r="C228" s="5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57"/>
      <c r="B229" s="57"/>
      <c r="C229" s="57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57"/>
      <c r="B230" s="57"/>
      <c r="C230" s="57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57"/>
      <c r="B231" s="57"/>
      <c r="C231" s="57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57"/>
      <c r="B232" s="57"/>
      <c r="C232" s="57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57"/>
      <c r="B233" s="57"/>
      <c r="C233" s="57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57"/>
      <c r="B234" s="57"/>
      <c r="C234" s="57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57"/>
      <c r="B235" s="57"/>
      <c r="C235" s="57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57"/>
      <c r="B236" s="57"/>
      <c r="C236" s="57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57"/>
      <c r="B237" s="57"/>
      <c r="C237" s="5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57"/>
      <c r="B238" s="57"/>
      <c r="C238" s="57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57"/>
      <c r="B239" s="57"/>
      <c r="C239" s="57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57"/>
      <c r="B240" s="57"/>
      <c r="C240" s="5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57"/>
      <c r="B241" s="57"/>
      <c r="C241" s="57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57"/>
      <c r="B242" s="57"/>
      <c r="C242" s="57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5">
    <mergeCell ref="B2:C2"/>
    <mergeCell ref="B3:C3"/>
    <mergeCell ref="B17:C17"/>
    <mergeCell ref="B22:C22"/>
    <mergeCell ref="B23:C23"/>
  </mergeCells>
  <hyperlinks>
    <hyperlink r:id="rId1" location="'1_Calon_Pelanggan'!A1" ref="B6"/>
    <hyperlink r:id="rId2" location="'1_Calon_Pelanggan'!A1" ref="B7"/>
    <hyperlink r:id="rId3" location="'2_Data_Pelanggan'!A1" ref="B8"/>
    <hyperlink r:id="rId4" location="'ARSIP_Data_Teknis_Lama'!A1" ref="B9"/>
    <hyperlink r:id="rId5" location="'3_Perangkat'!A1" ref="B10"/>
    <hyperlink r:id="rId6" location="'4_Produk'!A1" ref="B11"/>
    <hyperlink r:id="rId7" location="'5_Rekap_CSR'!A1" ref="B12"/>
    <hyperlink r:id="rId8" location="'6_Marketing'!A1" ref="B13"/>
    <hyperlink r:id="rId9" location="'8_Master_ODP'!A1" ref="B14"/>
    <hyperlink r:id="rId10" location="'9_Monitoring_Netwatch'!A1" ref="B15"/>
    <hyperlink r:id="rId11" location="'10_Tagihan_Bulanan'!A1" ref="B16"/>
    <hyperlink r:id="rId12" location="'11_Slip_Gaji'!A1" ref="B17"/>
    <hyperlink r:id="rId13" location="'Tabel_ProRata'!A1" ref="B18"/>
    <hyperlink r:id="rId14" location="'Registrasi_OLT'!A1" ref="B19"/>
    <hyperlink r:id="rId15" location="'12_ONT_NEW'!A1" ref="B36"/>
    <hyperlink r:id="rId16" location="'13_ONT_EROR'!A1" ref="B37"/>
    <hyperlink r:id="rId17" location="'14_OPR'!A1" ref="B38"/>
  </hyperlinks>
  <printOptions/>
  <pageMargins bottom="1.0" footer="0.0" header="0.0" left="0.75" right="0.75" top="1.0"/>
  <pageSetup paperSize="9" orientation="portrait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30.14"/>
    <col customWidth="1" min="3" max="3" width="20.0"/>
    <col customWidth="1" min="4" max="4" width="23.57"/>
    <col customWidth="1" min="5" max="5" width="61.14"/>
    <col customWidth="1" min="6" max="6" width="23.0"/>
    <col customWidth="1" min="7" max="7" width="20.43"/>
    <col customWidth="1" min="8" max="10" width="12.0"/>
  </cols>
  <sheetData>
    <row r="1" ht="24.0" customHeight="1">
      <c r="A1" s="67" t="s">
        <v>68</v>
      </c>
      <c r="B1" s="68"/>
      <c r="C1" s="68"/>
      <c r="D1" s="68"/>
      <c r="E1" s="68"/>
      <c r="F1" s="68"/>
      <c r="G1" s="68"/>
      <c r="H1" s="68"/>
      <c r="I1" s="68"/>
      <c r="J1" s="69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0" customHeight="1">
      <c r="A2" s="70"/>
      <c r="B2" s="70"/>
      <c r="C2" s="70"/>
      <c r="D2" s="70"/>
      <c r="E2" s="70"/>
      <c r="F2" s="70"/>
      <c r="G2" s="70"/>
      <c r="H2" s="70"/>
      <c r="I2" s="71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5.0" customHeight="1">
      <c r="A3" s="72" t="s">
        <v>69</v>
      </c>
      <c r="B3" s="72" t="s">
        <v>70</v>
      </c>
      <c r="C3" s="72" t="s">
        <v>71</v>
      </c>
      <c r="D3" s="72" t="s">
        <v>72</v>
      </c>
      <c r="E3" s="72" t="s">
        <v>73</v>
      </c>
      <c r="F3" s="72" t="s">
        <v>74</v>
      </c>
      <c r="G3" s="72" t="s">
        <v>75</v>
      </c>
      <c r="H3" s="72" t="s">
        <v>76</v>
      </c>
      <c r="I3" s="72" t="s">
        <v>77</v>
      </c>
      <c r="J3" s="72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5.75" customHeight="1">
      <c r="A4" s="73">
        <f t="shared" ref="A4:A59" si="1">IF($B4="","",COUNTA($B$4:$B4))</f>
        <v>1</v>
      </c>
      <c r="B4" s="74" t="s">
        <v>78</v>
      </c>
      <c r="C4" s="75" t="s">
        <v>79</v>
      </c>
      <c r="D4" s="76" t="s">
        <v>80</v>
      </c>
      <c r="E4" s="76" t="s">
        <v>81</v>
      </c>
      <c r="F4" s="77"/>
      <c r="G4" s="74" t="s">
        <v>82</v>
      </c>
      <c r="H4" s="78" t="s">
        <v>83</v>
      </c>
      <c r="I4" s="77"/>
      <c r="J4" s="79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75" customHeight="1">
      <c r="A5" s="73">
        <f t="shared" si="1"/>
        <v>2</v>
      </c>
      <c r="B5" s="80" t="s">
        <v>84</v>
      </c>
      <c r="C5" s="81" t="s">
        <v>85</v>
      </c>
      <c r="D5" s="82" t="s">
        <v>86</v>
      </c>
      <c r="E5" s="82" t="s">
        <v>87</v>
      </c>
      <c r="F5" s="77"/>
      <c r="G5" s="80" t="s">
        <v>82</v>
      </c>
      <c r="H5" s="78" t="s">
        <v>83</v>
      </c>
      <c r="I5" s="77"/>
      <c r="J5" s="83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5.75" customHeight="1">
      <c r="A6" s="73">
        <f t="shared" si="1"/>
        <v>3</v>
      </c>
      <c r="B6" s="80" t="s">
        <v>88</v>
      </c>
      <c r="C6" s="84"/>
      <c r="D6" s="82" t="s">
        <v>89</v>
      </c>
      <c r="E6" s="84"/>
      <c r="F6" s="77"/>
      <c r="G6" s="80" t="s">
        <v>90</v>
      </c>
      <c r="H6" s="78" t="s">
        <v>83</v>
      </c>
      <c r="I6" s="80" t="s">
        <v>91</v>
      </c>
      <c r="J6" s="83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75" customHeight="1">
      <c r="A7" s="73">
        <f t="shared" si="1"/>
        <v>4</v>
      </c>
      <c r="B7" s="74" t="s">
        <v>92</v>
      </c>
      <c r="C7" s="85" t="s">
        <v>85</v>
      </c>
      <c r="D7" s="76" t="s">
        <v>93</v>
      </c>
      <c r="E7" s="76" t="s">
        <v>94</v>
      </c>
      <c r="F7" s="77"/>
      <c r="G7" s="74" t="s">
        <v>82</v>
      </c>
      <c r="H7" s="78" t="s">
        <v>83</v>
      </c>
      <c r="I7" s="74" t="s">
        <v>91</v>
      </c>
      <c r="J7" s="79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5.75" customHeight="1">
      <c r="A8" s="73">
        <f t="shared" si="1"/>
        <v>5</v>
      </c>
      <c r="B8" s="74" t="s">
        <v>95</v>
      </c>
      <c r="C8" s="75" t="s">
        <v>96</v>
      </c>
      <c r="D8" s="76" t="s">
        <v>97</v>
      </c>
      <c r="E8" s="76" t="s">
        <v>98</v>
      </c>
      <c r="F8" s="77"/>
      <c r="G8" s="74" t="s">
        <v>82</v>
      </c>
      <c r="H8" s="78" t="s">
        <v>83</v>
      </c>
      <c r="I8" s="74" t="s">
        <v>99</v>
      </c>
      <c r="J8" s="79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5.75" customHeight="1">
      <c r="A9" s="73">
        <f t="shared" si="1"/>
        <v>6</v>
      </c>
      <c r="B9" s="80" t="s">
        <v>100</v>
      </c>
      <c r="C9" s="84"/>
      <c r="D9" s="82" t="s">
        <v>101</v>
      </c>
      <c r="E9" s="82" t="s">
        <v>102</v>
      </c>
      <c r="F9" s="77"/>
      <c r="G9" s="80" t="s">
        <v>82</v>
      </c>
      <c r="H9" s="78" t="s">
        <v>83</v>
      </c>
      <c r="I9" s="80" t="s">
        <v>91</v>
      </c>
      <c r="J9" s="83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5.75" customHeight="1">
      <c r="A10" s="73">
        <f t="shared" si="1"/>
        <v>7</v>
      </c>
      <c r="B10" s="74" t="s">
        <v>103</v>
      </c>
      <c r="C10" s="75" t="s">
        <v>104</v>
      </c>
      <c r="D10" s="76" t="s">
        <v>105</v>
      </c>
      <c r="E10" s="76" t="s">
        <v>106</v>
      </c>
      <c r="F10" s="77"/>
      <c r="G10" s="74" t="s">
        <v>82</v>
      </c>
      <c r="H10" s="78" t="s">
        <v>83</v>
      </c>
      <c r="I10" s="74" t="s">
        <v>91</v>
      </c>
      <c r="J10" s="79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5.75" customHeight="1">
      <c r="A11" s="73">
        <f t="shared" si="1"/>
        <v>8</v>
      </c>
      <c r="B11" s="80" t="s">
        <v>107</v>
      </c>
      <c r="C11" s="81" t="s">
        <v>108</v>
      </c>
      <c r="D11" s="82" t="s">
        <v>109</v>
      </c>
      <c r="E11" s="82" t="s">
        <v>110</v>
      </c>
      <c r="F11" s="77"/>
      <c r="G11" s="80" t="s">
        <v>82</v>
      </c>
      <c r="H11" s="78" t="s">
        <v>83</v>
      </c>
      <c r="I11" s="77"/>
      <c r="J11" s="8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5.75" customHeight="1">
      <c r="A12" s="73">
        <f t="shared" si="1"/>
        <v>9</v>
      </c>
      <c r="B12" s="74" t="s">
        <v>111</v>
      </c>
      <c r="C12" s="75" t="s">
        <v>112</v>
      </c>
      <c r="D12" s="76" t="s">
        <v>113</v>
      </c>
      <c r="E12" s="76" t="s">
        <v>110</v>
      </c>
      <c r="F12" s="77"/>
      <c r="G12" s="74" t="s">
        <v>82</v>
      </c>
      <c r="H12" s="78" t="s">
        <v>83</v>
      </c>
      <c r="I12" s="77"/>
      <c r="J12" s="79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5.75" customHeight="1">
      <c r="A13" s="73">
        <f t="shared" si="1"/>
        <v>10</v>
      </c>
      <c r="B13" s="74" t="s">
        <v>114</v>
      </c>
      <c r="C13" s="75" t="s">
        <v>115</v>
      </c>
      <c r="D13" s="76" t="s">
        <v>116</v>
      </c>
      <c r="E13" s="76" t="s">
        <v>117</v>
      </c>
      <c r="F13" s="77"/>
      <c r="G13" s="74" t="s">
        <v>82</v>
      </c>
      <c r="H13" s="78" t="s">
        <v>83</v>
      </c>
      <c r="I13" s="77"/>
      <c r="J13" s="79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5.75" customHeight="1">
      <c r="A14" s="73">
        <f t="shared" si="1"/>
        <v>11</v>
      </c>
      <c r="B14" s="80" t="s">
        <v>118</v>
      </c>
      <c r="C14" s="81" t="s">
        <v>119</v>
      </c>
      <c r="D14" s="82" t="s">
        <v>120</v>
      </c>
      <c r="E14" s="82" t="s">
        <v>121</v>
      </c>
      <c r="F14" s="77"/>
      <c r="G14" s="80" t="s">
        <v>82</v>
      </c>
      <c r="H14" s="78" t="s">
        <v>83</v>
      </c>
      <c r="I14" s="77"/>
      <c r="J14" s="83" t="s">
        <v>122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5.75" customHeight="1">
      <c r="A15" s="73">
        <f t="shared" si="1"/>
        <v>12</v>
      </c>
      <c r="B15" s="80" t="s">
        <v>123</v>
      </c>
      <c r="C15" s="81" t="s">
        <v>124</v>
      </c>
      <c r="D15" s="82" t="s">
        <v>125</v>
      </c>
      <c r="E15" s="82" t="s">
        <v>126</v>
      </c>
      <c r="F15" s="77"/>
      <c r="G15" s="80" t="s">
        <v>82</v>
      </c>
      <c r="H15" s="78" t="s">
        <v>83</v>
      </c>
      <c r="I15" s="77"/>
      <c r="J15" s="8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73">
        <f t="shared" si="1"/>
        <v>13</v>
      </c>
      <c r="B16" s="74" t="s">
        <v>127</v>
      </c>
      <c r="C16" s="75" t="s">
        <v>128</v>
      </c>
      <c r="D16" s="76" t="s">
        <v>129</v>
      </c>
      <c r="E16" s="76" t="s">
        <v>130</v>
      </c>
      <c r="F16" s="77"/>
      <c r="G16" s="74" t="s">
        <v>82</v>
      </c>
      <c r="H16" s="78" t="s">
        <v>83</v>
      </c>
      <c r="I16" s="74" t="s">
        <v>131</v>
      </c>
      <c r="J16" s="79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5.75" customHeight="1">
      <c r="A17" s="73">
        <f t="shared" si="1"/>
        <v>14</v>
      </c>
      <c r="B17" s="80" t="s">
        <v>132</v>
      </c>
      <c r="C17" s="81" t="s">
        <v>133</v>
      </c>
      <c r="D17" s="73" t="s">
        <v>134</v>
      </c>
      <c r="E17" s="82" t="s">
        <v>135</v>
      </c>
      <c r="F17" s="77"/>
      <c r="G17" s="80" t="s">
        <v>82</v>
      </c>
      <c r="H17" s="78" t="s">
        <v>83</v>
      </c>
      <c r="I17" s="77"/>
      <c r="J17" s="8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5.75" customHeight="1">
      <c r="A18" s="73">
        <f t="shared" si="1"/>
        <v>15</v>
      </c>
      <c r="B18" s="74" t="s">
        <v>136</v>
      </c>
      <c r="C18" s="75" t="s">
        <v>137</v>
      </c>
      <c r="D18" s="73" t="s">
        <v>138</v>
      </c>
      <c r="E18" s="76" t="s">
        <v>139</v>
      </c>
      <c r="F18" s="77"/>
      <c r="G18" s="74" t="s">
        <v>82</v>
      </c>
      <c r="H18" s="78" t="s">
        <v>83</v>
      </c>
      <c r="I18" s="77"/>
      <c r="J18" s="79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5.75" customHeight="1">
      <c r="A19" s="86">
        <f t="shared" si="1"/>
        <v>16</v>
      </c>
      <c r="B19" s="87" t="s">
        <v>140</v>
      </c>
      <c r="C19" s="86">
        <v>8.1228624907E10</v>
      </c>
      <c r="D19" s="86" t="s">
        <v>141</v>
      </c>
      <c r="E19" s="86" t="s">
        <v>142</v>
      </c>
      <c r="F19" s="88"/>
      <c r="G19" s="80" t="s">
        <v>90</v>
      </c>
      <c r="H19" s="87"/>
      <c r="I19" s="88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75" customHeight="1">
      <c r="A20" s="86" t="str">
        <f t="shared" si="1"/>
        <v/>
      </c>
      <c r="B20" s="88"/>
      <c r="C20" s="89"/>
      <c r="D20" s="89"/>
      <c r="E20" s="89"/>
      <c r="F20" s="88"/>
      <c r="G20" s="88"/>
      <c r="H20" s="87"/>
      <c r="I20" s="88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86" t="str">
        <f t="shared" si="1"/>
        <v/>
      </c>
      <c r="B21" s="88"/>
      <c r="C21" s="89"/>
      <c r="D21" s="89"/>
      <c r="E21" s="89"/>
      <c r="F21" s="88"/>
      <c r="G21" s="88"/>
      <c r="H21" s="87"/>
      <c r="I21" s="88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86" t="str">
        <f t="shared" si="1"/>
        <v/>
      </c>
      <c r="B22" s="88"/>
      <c r="C22" s="89"/>
      <c r="D22" s="89"/>
      <c r="E22" s="89"/>
      <c r="F22" s="88"/>
      <c r="G22" s="88"/>
      <c r="H22" s="87"/>
      <c r="I22" s="88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86" t="str">
        <f t="shared" si="1"/>
        <v/>
      </c>
      <c r="B23" s="88"/>
      <c r="C23" s="89"/>
      <c r="D23" s="89"/>
      <c r="E23" s="89"/>
      <c r="F23" s="88"/>
      <c r="G23" s="88"/>
      <c r="H23" s="87"/>
      <c r="I23" s="88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86" t="str">
        <f t="shared" si="1"/>
        <v/>
      </c>
      <c r="B24" s="88"/>
      <c r="C24" s="89"/>
      <c r="D24" s="89"/>
      <c r="E24" s="89"/>
      <c r="F24" s="88"/>
      <c r="G24" s="88"/>
      <c r="H24" s="87"/>
      <c r="I24" s="88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86" t="str">
        <f t="shared" si="1"/>
        <v/>
      </c>
      <c r="B25" s="88"/>
      <c r="C25" s="89"/>
      <c r="D25" s="89"/>
      <c r="E25" s="89"/>
      <c r="F25" s="88"/>
      <c r="G25" s="88"/>
      <c r="H25" s="87"/>
      <c r="I25" s="88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86" t="str">
        <f t="shared" si="1"/>
        <v/>
      </c>
      <c r="B26" s="88"/>
      <c r="C26" s="89"/>
      <c r="D26" s="89"/>
      <c r="E26" s="89"/>
      <c r="F26" s="88"/>
      <c r="G26" s="88"/>
      <c r="H26" s="87"/>
      <c r="I26" s="88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86" t="str">
        <f t="shared" si="1"/>
        <v/>
      </c>
      <c r="B27" s="88"/>
      <c r="C27" s="89"/>
      <c r="D27" s="89"/>
      <c r="E27" s="89"/>
      <c r="F27" s="88"/>
      <c r="G27" s="88"/>
      <c r="H27" s="87"/>
      <c r="I27" s="88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86" t="str">
        <f t="shared" si="1"/>
        <v/>
      </c>
      <c r="B28" s="88"/>
      <c r="C28" s="89"/>
      <c r="D28" s="89"/>
      <c r="E28" s="89"/>
      <c r="F28" s="88"/>
      <c r="G28" s="88"/>
      <c r="H28" s="87"/>
      <c r="I28" s="8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86" t="str">
        <f t="shared" si="1"/>
        <v/>
      </c>
      <c r="B29" s="88"/>
      <c r="C29" s="89"/>
      <c r="D29" s="89"/>
      <c r="E29" s="89"/>
      <c r="F29" s="88"/>
      <c r="G29" s="88"/>
      <c r="H29" s="87"/>
      <c r="I29" s="88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86" t="str">
        <f t="shared" si="1"/>
        <v/>
      </c>
      <c r="B30" s="88"/>
      <c r="C30" s="89"/>
      <c r="D30" s="89"/>
      <c r="E30" s="89"/>
      <c r="F30" s="88"/>
      <c r="G30" s="88"/>
      <c r="H30" s="87"/>
      <c r="I30" s="88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86" t="str">
        <f t="shared" si="1"/>
        <v/>
      </c>
      <c r="B31" s="88"/>
      <c r="C31" s="89"/>
      <c r="D31" s="89"/>
      <c r="E31" s="89"/>
      <c r="F31" s="88"/>
      <c r="G31" s="88"/>
      <c r="H31" s="87"/>
      <c r="I31" s="88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86" t="str">
        <f t="shared" si="1"/>
        <v/>
      </c>
      <c r="B32" s="88"/>
      <c r="C32" s="89"/>
      <c r="D32" s="89"/>
      <c r="E32" s="89"/>
      <c r="F32" s="88"/>
      <c r="G32" s="88"/>
      <c r="H32" s="87"/>
      <c r="I32" s="88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86" t="str">
        <f t="shared" si="1"/>
        <v/>
      </c>
      <c r="B33" s="88"/>
      <c r="C33" s="89"/>
      <c r="D33" s="89"/>
      <c r="E33" s="89"/>
      <c r="F33" s="88"/>
      <c r="G33" s="88"/>
      <c r="H33" s="87"/>
      <c r="I33" s="88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86" t="str">
        <f t="shared" si="1"/>
        <v/>
      </c>
      <c r="B34" s="88"/>
      <c r="C34" s="89"/>
      <c r="D34" s="89"/>
      <c r="E34" s="89"/>
      <c r="F34" s="88"/>
      <c r="G34" s="88"/>
      <c r="H34" s="87"/>
      <c r="I34" s="88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86" t="str">
        <f t="shared" si="1"/>
        <v/>
      </c>
      <c r="B35" s="88"/>
      <c r="C35" s="89"/>
      <c r="D35" s="89"/>
      <c r="E35" s="89"/>
      <c r="F35" s="88"/>
      <c r="G35" s="88"/>
      <c r="H35" s="87"/>
      <c r="I35" s="88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86" t="str">
        <f t="shared" si="1"/>
        <v/>
      </c>
      <c r="B36" s="88"/>
      <c r="C36" s="89"/>
      <c r="D36" s="89"/>
      <c r="E36" s="89"/>
      <c r="F36" s="88"/>
      <c r="G36" s="88"/>
      <c r="H36" s="87"/>
      <c r="I36" s="88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86" t="str">
        <f t="shared" si="1"/>
        <v/>
      </c>
      <c r="B37" s="88"/>
      <c r="C37" s="89"/>
      <c r="D37" s="89"/>
      <c r="E37" s="89"/>
      <c r="F37" s="88"/>
      <c r="G37" s="88"/>
      <c r="H37" s="87"/>
      <c r="I37" s="88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86" t="str">
        <f t="shared" si="1"/>
        <v/>
      </c>
      <c r="B38" s="88"/>
      <c r="C38" s="89"/>
      <c r="D38" s="89"/>
      <c r="E38" s="89"/>
      <c r="F38" s="88"/>
      <c r="G38" s="88"/>
      <c r="H38" s="87"/>
      <c r="I38" s="88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86" t="str">
        <f t="shared" si="1"/>
        <v/>
      </c>
      <c r="B39" s="88"/>
      <c r="C39" s="89"/>
      <c r="D39" s="89"/>
      <c r="E39" s="89"/>
      <c r="F39" s="88"/>
      <c r="G39" s="88"/>
      <c r="H39" s="87"/>
      <c r="I39" s="88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86" t="str">
        <f t="shared" si="1"/>
        <v/>
      </c>
      <c r="B40" s="88"/>
      <c r="C40" s="89"/>
      <c r="D40" s="89"/>
      <c r="E40" s="89"/>
      <c r="F40" s="88"/>
      <c r="G40" s="88"/>
      <c r="H40" s="87"/>
      <c r="I40" s="88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90" t="str">
        <f t="shared" si="1"/>
        <v/>
      </c>
      <c r="B41" s="47"/>
      <c r="C41" s="90"/>
      <c r="D41" s="90"/>
      <c r="E41" s="90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90" t="str">
        <f t="shared" si="1"/>
        <v/>
      </c>
      <c r="B42" s="47"/>
      <c r="C42" s="90"/>
      <c r="D42" s="90"/>
      <c r="E42" s="90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90" t="str">
        <f t="shared" si="1"/>
        <v/>
      </c>
      <c r="B43" s="47"/>
      <c r="C43" s="90"/>
      <c r="D43" s="90"/>
      <c r="E43" s="90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90" t="str">
        <f t="shared" si="1"/>
        <v/>
      </c>
      <c r="B44" s="47"/>
      <c r="C44" s="90"/>
      <c r="D44" s="90"/>
      <c r="E44" s="90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90" t="str">
        <f t="shared" si="1"/>
        <v/>
      </c>
      <c r="B45" s="47"/>
      <c r="C45" s="90"/>
      <c r="D45" s="90"/>
      <c r="E45" s="90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90" t="str">
        <f t="shared" si="1"/>
        <v/>
      </c>
      <c r="B46" s="47"/>
      <c r="C46" s="90"/>
      <c r="D46" s="90"/>
      <c r="E46" s="90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90" t="str">
        <f t="shared" si="1"/>
        <v/>
      </c>
      <c r="B47" s="47"/>
      <c r="C47" s="90"/>
      <c r="D47" s="90"/>
      <c r="E47" s="90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90" t="str">
        <f t="shared" si="1"/>
        <v/>
      </c>
      <c r="B48" s="47"/>
      <c r="C48" s="90"/>
      <c r="D48" s="90"/>
      <c r="E48" s="90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90" t="str">
        <f t="shared" si="1"/>
        <v/>
      </c>
      <c r="B49" s="47"/>
      <c r="C49" s="90"/>
      <c r="D49" s="90"/>
      <c r="E49" s="90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90" t="str">
        <f t="shared" si="1"/>
        <v/>
      </c>
      <c r="B50" s="47"/>
      <c r="C50" s="90"/>
      <c r="D50" s="90"/>
      <c r="E50" s="90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90" t="str">
        <f t="shared" si="1"/>
        <v/>
      </c>
      <c r="B51" s="47"/>
      <c r="C51" s="90"/>
      <c r="D51" s="90"/>
      <c r="E51" s="90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90" t="str">
        <f t="shared" si="1"/>
        <v/>
      </c>
      <c r="B52" s="47"/>
      <c r="C52" s="90"/>
      <c r="D52" s="90"/>
      <c r="E52" s="90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90" t="str">
        <f t="shared" si="1"/>
        <v/>
      </c>
      <c r="B53" s="47"/>
      <c r="C53" s="90"/>
      <c r="D53" s="90"/>
      <c r="E53" s="90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90" t="str">
        <f t="shared" si="1"/>
        <v/>
      </c>
      <c r="B54" s="47"/>
      <c r="C54" s="90"/>
      <c r="D54" s="90"/>
      <c r="E54" s="90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90" t="str">
        <f t="shared" si="1"/>
        <v/>
      </c>
      <c r="B55" s="47"/>
      <c r="C55" s="90"/>
      <c r="D55" s="90"/>
      <c r="E55" s="90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90" t="str">
        <f t="shared" si="1"/>
        <v/>
      </c>
      <c r="B56" s="47"/>
      <c r="C56" s="90"/>
      <c r="D56" s="90"/>
      <c r="E56" s="90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90" t="str">
        <f t="shared" si="1"/>
        <v/>
      </c>
      <c r="B57" s="47"/>
      <c r="C57" s="90"/>
      <c r="D57" s="90"/>
      <c r="E57" s="90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90" t="str">
        <f t="shared" si="1"/>
        <v/>
      </c>
      <c r="B58" s="47"/>
      <c r="C58" s="90"/>
      <c r="D58" s="90"/>
      <c r="E58" s="90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90" t="str">
        <f t="shared" si="1"/>
        <v/>
      </c>
      <c r="B59" s="47"/>
      <c r="C59" s="90"/>
      <c r="D59" s="90"/>
      <c r="E59" s="90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90"/>
      <c r="B60" s="47"/>
      <c r="C60" s="90"/>
      <c r="D60" s="90"/>
      <c r="E60" s="90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90"/>
      <c r="B61" s="47"/>
      <c r="C61" s="90"/>
      <c r="D61" s="90"/>
      <c r="E61" s="90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90"/>
      <c r="B62" s="47"/>
      <c r="C62" s="90"/>
      <c r="D62" s="90"/>
      <c r="E62" s="90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90"/>
      <c r="B63" s="47"/>
      <c r="C63" s="90"/>
      <c r="D63" s="90"/>
      <c r="E63" s="90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90"/>
      <c r="B64" s="47"/>
      <c r="C64" s="90"/>
      <c r="D64" s="90"/>
      <c r="E64" s="90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90"/>
      <c r="B65" s="47"/>
      <c r="C65" s="90"/>
      <c r="D65" s="90"/>
      <c r="E65" s="90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90"/>
      <c r="B66" s="47"/>
      <c r="C66" s="90"/>
      <c r="D66" s="90"/>
      <c r="E66" s="90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90"/>
      <c r="B67" s="47"/>
      <c r="C67" s="90"/>
      <c r="D67" s="90"/>
      <c r="E67" s="90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90"/>
      <c r="B68" s="47"/>
      <c r="C68" s="90"/>
      <c r="D68" s="90"/>
      <c r="E68" s="90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90"/>
      <c r="B69" s="47"/>
      <c r="C69" s="90"/>
      <c r="D69" s="90"/>
      <c r="E69" s="90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90"/>
      <c r="B70" s="47"/>
      <c r="C70" s="90"/>
      <c r="D70" s="90"/>
      <c r="E70" s="90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90"/>
      <c r="B71" s="47"/>
      <c r="C71" s="90"/>
      <c r="D71" s="90"/>
      <c r="E71" s="90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90"/>
      <c r="B72" s="47"/>
      <c r="C72" s="90"/>
      <c r="D72" s="90"/>
      <c r="E72" s="90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90"/>
      <c r="B73" s="47"/>
      <c r="C73" s="90"/>
      <c r="D73" s="90"/>
      <c r="E73" s="90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90"/>
      <c r="B74" s="47"/>
      <c r="C74" s="90"/>
      <c r="D74" s="90"/>
      <c r="E74" s="90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90"/>
      <c r="B75" s="47"/>
      <c r="C75" s="90"/>
      <c r="D75" s="90"/>
      <c r="E75" s="90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90"/>
      <c r="B76" s="47"/>
      <c r="C76" s="90"/>
      <c r="D76" s="90"/>
      <c r="E76" s="90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90"/>
      <c r="B77" s="47"/>
      <c r="C77" s="90"/>
      <c r="D77" s="90"/>
      <c r="E77" s="90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90"/>
      <c r="B78" s="47"/>
      <c r="C78" s="90"/>
      <c r="D78" s="90"/>
      <c r="E78" s="90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90"/>
      <c r="B79" s="47"/>
      <c r="C79" s="90"/>
      <c r="D79" s="90"/>
      <c r="E79" s="90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90"/>
      <c r="B80" s="47"/>
      <c r="C80" s="90"/>
      <c r="D80" s="90"/>
      <c r="E80" s="90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90"/>
      <c r="B81" s="47"/>
      <c r="C81" s="90"/>
      <c r="D81" s="90"/>
      <c r="E81" s="90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90"/>
      <c r="B82" s="47"/>
      <c r="C82" s="90"/>
      <c r="D82" s="90"/>
      <c r="E82" s="90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90"/>
      <c r="B83" s="47"/>
      <c r="C83" s="90"/>
      <c r="D83" s="90"/>
      <c r="E83" s="90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90"/>
      <c r="B84" s="47"/>
      <c r="C84" s="90"/>
      <c r="D84" s="90"/>
      <c r="E84" s="90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90"/>
      <c r="B85" s="47"/>
      <c r="C85" s="90"/>
      <c r="D85" s="90"/>
      <c r="E85" s="90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90"/>
      <c r="B86" s="47"/>
      <c r="C86" s="90"/>
      <c r="D86" s="90"/>
      <c r="E86" s="90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90"/>
      <c r="B87" s="47"/>
      <c r="C87" s="90"/>
      <c r="D87" s="90"/>
      <c r="E87" s="90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90"/>
      <c r="B88" s="47"/>
      <c r="C88" s="90"/>
      <c r="D88" s="90"/>
      <c r="E88" s="90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90"/>
      <c r="B89" s="47"/>
      <c r="C89" s="90"/>
      <c r="D89" s="90"/>
      <c r="E89" s="90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90"/>
      <c r="B90" s="47"/>
      <c r="C90" s="90"/>
      <c r="D90" s="90"/>
      <c r="E90" s="90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90"/>
      <c r="B91" s="47"/>
      <c r="C91" s="90"/>
      <c r="D91" s="90"/>
      <c r="E91" s="90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90"/>
      <c r="B92" s="47"/>
      <c r="C92" s="90"/>
      <c r="D92" s="90"/>
      <c r="E92" s="90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90"/>
      <c r="B93" s="47"/>
      <c r="C93" s="90"/>
      <c r="D93" s="90"/>
      <c r="E93" s="90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90"/>
      <c r="B94" s="47"/>
      <c r="C94" s="90"/>
      <c r="D94" s="90"/>
      <c r="E94" s="90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90"/>
      <c r="B95" s="47"/>
      <c r="C95" s="90"/>
      <c r="D95" s="90"/>
      <c r="E95" s="90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90"/>
      <c r="B96" s="47"/>
      <c r="C96" s="90"/>
      <c r="D96" s="90"/>
      <c r="E96" s="90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90"/>
      <c r="B97" s="47"/>
      <c r="C97" s="90"/>
      <c r="D97" s="90"/>
      <c r="E97" s="90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90"/>
      <c r="B98" s="47"/>
      <c r="C98" s="90"/>
      <c r="D98" s="90"/>
      <c r="E98" s="90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90"/>
      <c r="B99" s="47"/>
      <c r="C99" s="90"/>
      <c r="D99" s="90"/>
      <c r="E99" s="90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90"/>
      <c r="B100" s="47"/>
      <c r="C100" s="90"/>
      <c r="D100" s="90"/>
      <c r="E100" s="90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90"/>
      <c r="B101" s="47"/>
      <c r="C101" s="90"/>
      <c r="D101" s="90"/>
      <c r="E101" s="90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90"/>
      <c r="B102" s="47"/>
      <c r="C102" s="90"/>
      <c r="D102" s="90"/>
      <c r="E102" s="90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90"/>
      <c r="B103" s="47"/>
      <c r="C103" s="90"/>
      <c r="D103" s="90"/>
      <c r="E103" s="90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90"/>
      <c r="B104" s="47"/>
      <c r="C104" s="90"/>
      <c r="D104" s="90"/>
      <c r="E104" s="90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90"/>
      <c r="B105" s="47"/>
      <c r="C105" s="90"/>
      <c r="D105" s="90"/>
      <c r="E105" s="90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90"/>
      <c r="B106" s="47"/>
      <c r="C106" s="90"/>
      <c r="D106" s="90"/>
      <c r="E106" s="90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90"/>
      <c r="B107" s="47"/>
      <c r="C107" s="90"/>
      <c r="D107" s="90"/>
      <c r="E107" s="90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90"/>
      <c r="B108" s="47"/>
      <c r="C108" s="90"/>
      <c r="D108" s="90"/>
      <c r="E108" s="90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90"/>
      <c r="B109" s="47"/>
      <c r="C109" s="90"/>
      <c r="D109" s="90"/>
      <c r="E109" s="90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90"/>
      <c r="B110" s="47"/>
      <c r="C110" s="90"/>
      <c r="D110" s="90"/>
      <c r="E110" s="90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90"/>
      <c r="B111" s="47"/>
      <c r="C111" s="90"/>
      <c r="D111" s="90"/>
      <c r="E111" s="90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90"/>
      <c r="B112" s="47"/>
      <c r="C112" s="90"/>
      <c r="D112" s="90"/>
      <c r="E112" s="90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90"/>
      <c r="B113" s="47"/>
      <c r="C113" s="90"/>
      <c r="D113" s="90"/>
      <c r="E113" s="90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90"/>
      <c r="B114" s="47"/>
      <c r="C114" s="90"/>
      <c r="D114" s="90"/>
      <c r="E114" s="90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90"/>
      <c r="B115" s="47"/>
      <c r="C115" s="90"/>
      <c r="D115" s="90"/>
      <c r="E115" s="90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90"/>
      <c r="B116" s="47"/>
      <c r="C116" s="90"/>
      <c r="D116" s="90"/>
      <c r="E116" s="90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90"/>
      <c r="B117" s="47"/>
      <c r="C117" s="90"/>
      <c r="D117" s="90"/>
      <c r="E117" s="90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90"/>
      <c r="B118" s="47"/>
      <c r="C118" s="90"/>
      <c r="D118" s="90"/>
      <c r="E118" s="90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90"/>
      <c r="B119" s="47"/>
      <c r="C119" s="90"/>
      <c r="D119" s="90"/>
      <c r="E119" s="90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90"/>
      <c r="B120" s="47"/>
      <c r="C120" s="90"/>
      <c r="D120" s="90"/>
      <c r="E120" s="90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90"/>
      <c r="B121" s="47"/>
      <c r="C121" s="90"/>
      <c r="D121" s="90"/>
      <c r="E121" s="90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90"/>
      <c r="B122" s="47"/>
      <c r="C122" s="90"/>
      <c r="D122" s="90"/>
      <c r="E122" s="90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90"/>
      <c r="B123" s="47"/>
      <c r="C123" s="90"/>
      <c r="D123" s="90"/>
      <c r="E123" s="90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90"/>
      <c r="B124" s="47"/>
      <c r="C124" s="90"/>
      <c r="D124" s="90"/>
      <c r="E124" s="90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90"/>
      <c r="B125" s="47"/>
      <c r="C125" s="90"/>
      <c r="D125" s="90"/>
      <c r="E125" s="90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90"/>
      <c r="B126" s="47"/>
      <c r="C126" s="90"/>
      <c r="D126" s="90"/>
      <c r="E126" s="90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90"/>
      <c r="B127" s="47"/>
      <c r="C127" s="90"/>
      <c r="D127" s="90"/>
      <c r="E127" s="90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90"/>
      <c r="B128" s="47"/>
      <c r="C128" s="90"/>
      <c r="D128" s="90"/>
      <c r="E128" s="90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90"/>
      <c r="B129" s="47"/>
      <c r="C129" s="90"/>
      <c r="D129" s="90"/>
      <c r="E129" s="90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90"/>
      <c r="B130" s="47"/>
      <c r="C130" s="90"/>
      <c r="D130" s="90"/>
      <c r="E130" s="90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90"/>
      <c r="B131" s="47"/>
      <c r="C131" s="90"/>
      <c r="D131" s="90"/>
      <c r="E131" s="90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90"/>
      <c r="B132" s="47"/>
      <c r="C132" s="90"/>
      <c r="D132" s="90"/>
      <c r="E132" s="90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90"/>
      <c r="B133" s="47"/>
      <c r="C133" s="90"/>
      <c r="D133" s="90"/>
      <c r="E133" s="90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90"/>
      <c r="B134" s="47"/>
      <c r="C134" s="90"/>
      <c r="D134" s="90"/>
      <c r="E134" s="90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90"/>
      <c r="B135" s="47"/>
      <c r="C135" s="90"/>
      <c r="D135" s="90"/>
      <c r="E135" s="90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90"/>
      <c r="B136" s="47"/>
      <c r="C136" s="90"/>
      <c r="D136" s="90"/>
      <c r="E136" s="90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90"/>
      <c r="B137" s="47"/>
      <c r="C137" s="90"/>
      <c r="D137" s="90"/>
      <c r="E137" s="90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90"/>
      <c r="B138" s="47"/>
      <c r="C138" s="90"/>
      <c r="D138" s="90"/>
      <c r="E138" s="90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90"/>
      <c r="B139" s="47"/>
      <c r="C139" s="90"/>
      <c r="D139" s="90"/>
      <c r="E139" s="90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90"/>
      <c r="B140" s="47"/>
      <c r="C140" s="90"/>
      <c r="D140" s="90"/>
      <c r="E140" s="90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90"/>
      <c r="B141" s="47"/>
      <c r="C141" s="90"/>
      <c r="D141" s="90"/>
      <c r="E141" s="90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90"/>
      <c r="B142" s="47"/>
      <c r="C142" s="90"/>
      <c r="D142" s="90"/>
      <c r="E142" s="90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90"/>
      <c r="B143" s="47"/>
      <c r="C143" s="90"/>
      <c r="D143" s="90"/>
      <c r="E143" s="90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90"/>
      <c r="B144" s="47"/>
      <c r="C144" s="90"/>
      <c r="D144" s="90"/>
      <c r="E144" s="90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90"/>
      <c r="B145" s="47"/>
      <c r="C145" s="90"/>
      <c r="D145" s="90"/>
      <c r="E145" s="90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90"/>
      <c r="B146" s="47"/>
      <c r="C146" s="90"/>
      <c r="D146" s="90"/>
      <c r="E146" s="90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90"/>
      <c r="B147" s="47"/>
      <c r="C147" s="90"/>
      <c r="D147" s="90"/>
      <c r="E147" s="90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90"/>
      <c r="B148" s="47"/>
      <c r="C148" s="90"/>
      <c r="D148" s="90"/>
      <c r="E148" s="90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90"/>
      <c r="B149" s="47"/>
      <c r="C149" s="90"/>
      <c r="D149" s="90"/>
      <c r="E149" s="90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90"/>
      <c r="B150" s="47"/>
      <c r="C150" s="90"/>
      <c r="D150" s="90"/>
      <c r="E150" s="90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90"/>
      <c r="B151" s="47"/>
      <c r="C151" s="90"/>
      <c r="D151" s="90"/>
      <c r="E151" s="90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90"/>
      <c r="B152" s="47"/>
      <c r="C152" s="90"/>
      <c r="D152" s="90"/>
      <c r="E152" s="90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90"/>
      <c r="B153" s="47"/>
      <c r="C153" s="90"/>
      <c r="D153" s="90"/>
      <c r="E153" s="90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90"/>
      <c r="B154" s="47"/>
      <c r="C154" s="90"/>
      <c r="D154" s="90"/>
      <c r="E154" s="90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90"/>
      <c r="B155" s="47"/>
      <c r="C155" s="90"/>
      <c r="D155" s="90"/>
      <c r="E155" s="90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90"/>
      <c r="B156" s="47"/>
      <c r="C156" s="90"/>
      <c r="D156" s="90"/>
      <c r="E156" s="90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90"/>
      <c r="B157" s="47"/>
      <c r="C157" s="90"/>
      <c r="D157" s="90"/>
      <c r="E157" s="90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90"/>
      <c r="B158" s="47"/>
      <c r="C158" s="90"/>
      <c r="D158" s="90"/>
      <c r="E158" s="90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90"/>
      <c r="B159" s="47"/>
      <c r="C159" s="90"/>
      <c r="D159" s="90"/>
      <c r="E159" s="90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90"/>
      <c r="B160" s="47"/>
      <c r="C160" s="90"/>
      <c r="D160" s="90"/>
      <c r="E160" s="90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90"/>
      <c r="B161" s="47"/>
      <c r="C161" s="90"/>
      <c r="D161" s="90"/>
      <c r="E161" s="90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90"/>
      <c r="B162" s="47"/>
      <c r="C162" s="90"/>
      <c r="D162" s="90"/>
      <c r="E162" s="90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90"/>
      <c r="B163" s="47"/>
      <c r="C163" s="90"/>
      <c r="D163" s="90"/>
      <c r="E163" s="90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90"/>
      <c r="B164" s="47"/>
      <c r="C164" s="90"/>
      <c r="D164" s="90"/>
      <c r="E164" s="90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90"/>
      <c r="B165" s="47"/>
      <c r="C165" s="90"/>
      <c r="D165" s="90"/>
      <c r="E165" s="90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90"/>
      <c r="B166" s="47"/>
      <c r="C166" s="90"/>
      <c r="D166" s="90"/>
      <c r="E166" s="90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90"/>
      <c r="B167" s="47"/>
      <c r="C167" s="90"/>
      <c r="D167" s="90"/>
      <c r="E167" s="90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90"/>
      <c r="B168" s="47"/>
      <c r="C168" s="90"/>
      <c r="D168" s="90"/>
      <c r="E168" s="90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90"/>
      <c r="B169" s="47"/>
      <c r="C169" s="90"/>
      <c r="D169" s="90"/>
      <c r="E169" s="90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90"/>
      <c r="B170" s="47"/>
      <c r="C170" s="90"/>
      <c r="D170" s="90"/>
      <c r="E170" s="90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90"/>
      <c r="B171" s="47"/>
      <c r="C171" s="90"/>
      <c r="D171" s="90"/>
      <c r="E171" s="90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90"/>
      <c r="B172" s="47"/>
      <c r="C172" s="90"/>
      <c r="D172" s="90"/>
      <c r="E172" s="90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90"/>
      <c r="B173" s="47"/>
      <c r="C173" s="90"/>
      <c r="D173" s="90"/>
      <c r="E173" s="90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90"/>
      <c r="B174" s="47"/>
      <c r="C174" s="90"/>
      <c r="D174" s="90"/>
      <c r="E174" s="90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90"/>
      <c r="B175" s="47"/>
      <c r="C175" s="90"/>
      <c r="D175" s="90"/>
      <c r="E175" s="90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90"/>
      <c r="B176" s="47"/>
      <c r="C176" s="90"/>
      <c r="D176" s="90"/>
      <c r="E176" s="90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90"/>
      <c r="B177" s="47"/>
      <c r="C177" s="90"/>
      <c r="D177" s="90"/>
      <c r="E177" s="90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90"/>
      <c r="B178" s="47"/>
      <c r="C178" s="90"/>
      <c r="D178" s="90"/>
      <c r="E178" s="90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90"/>
      <c r="B179" s="47"/>
      <c r="C179" s="90"/>
      <c r="D179" s="90"/>
      <c r="E179" s="90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90"/>
      <c r="B180" s="47"/>
      <c r="C180" s="90"/>
      <c r="D180" s="90"/>
      <c r="E180" s="90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90"/>
      <c r="B181" s="47"/>
      <c r="C181" s="90"/>
      <c r="D181" s="90"/>
      <c r="E181" s="90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90"/>
      <c r="B182" s="47"/>
      <c r="C182" s="90"/>
      <c r="D182" s="90"/>
      <c r="E182" s="90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90"/>
      <c r="B183" s="47"/>
      <c r="C183" s="90"/>
      <c r="D183" s="90"/>
      <c r="E183" s="90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90"/>
      <c r="B184" s="47"/>
      <c r="C184" s="90"/>
      <c r="D184" s="90"/>
      <c r="E184" s="90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90"/>
      <c r="B185" s="47"/>
      <c r="C185" s="90"/>
      <c r="D185" s="90"/>
      <c r="E185" s="90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90"/>
      <c r="B186" s="47"/>
      <c r="C186" s="90"/>
      <c r="D186" s="90"/>
      <c r="E186" s="90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90"/>
      <c r="B187" s="47"/>
      <c r="C187" s="90"/>
      <c r="D187" s="90"/>
      <c r="E187" s="90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90"/>
      <c r="B188" s="47"/>
      <c r="C188" s="90"/>
      <c r="D188" s="90"/>
      <c r="E188" s="90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90"/>
      <c r="B189" s="47"/>
      <c r="C189" s="90"/>
      <c r="D189" s="90"/>
      <c r="E189" s="90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90"/>
      <c r="B190" s="47"/>
      <c r="C190" s="90"/>
      <c r="D190" s="90"/>
      <c r="E190" s="90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90"/>
      <c r="B191" s="47"/>
      <c r="C191" s="90"/>
      <c r="D191" s="90"/>
      <c r="E191" s="90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90"/>
      <c r="B192" s="47"/>
      <c r="C192" s="90"/>
      <c r="D192" s="90"/>
      <c r="E192" s="90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90"/>
      <c r="B193" s="47"/>
      <c r="C193" s="90"/>
      <c r="D193" s="90"/>
      <c r="E193" s="90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90"/>
      <c r="B194" s="47"/>
      <c r="C194" s="90"/>
      <c r="D194" s="90"/>
      <c r="E194" s="90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90"/>
      <c r="B195" s="47"/>
      <c r="C195" s="90"/>
      <c r="D195" s="90"/>
      <c r="E195" s="90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90"/>
      <c r="B196" s="47"/>
      <c r="C196" s="90"/>
      <c r="D196" s="90"/>
      <c r="E196" s="90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90"/>
      <c r="B197" s="47"/>
      <c r="C197" s="90"/>
      <c r="D197" s="90"/>
      <c r="E197" s="90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90"/>
      <c r="B198" s="47"/>
      <c r="C198" s="90"/>
      <c r="D198" s="90"/>
      <c r="E198" s="90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90"/>
      <c r="B199" s="47"/>
      <c r="C199" s="90"/>
      <c r="D199" s="90"/>
      <c r="E199" s="90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90"/>
      <c r="B200" s="47"/>
      <c r="C200" s="90"/>
      <c r="D200" s="90"/>
      <c r="E200" s="90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90"/>
      <c r="B201" s="47"/>
      <c r="C201" s="90"/>
      <c r="D201" s="90"/>
      <c r="E201" s="90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90"/>
      <c r="B202" s="47"/>
      <c r="C202" s="90"/>
      <c r="D202" s="90"/>
      <c r="E202" s="90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90"/>
      <c r="B203" s="47"/>
      <c r="C203" s="90"/>
      <c r="D203" s="90"/>
      <c r="E203" s="90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90"/>
      <c r="B204" s="47"/>
      <c r="C204" s="90"/>
      <c r="D204" s="90"/>
      <c r="E204" s="90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90"/>
      <c r="B205" s="47"/>
      <c r="C205" s="90"/>
      <c r="D205" s="90"/>
      <c r="E205" s="90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90"/>
      <c r="B206" s="47"/>
      <c r="C206" s="90"/>
      <c r="D206" s="90"/>
      <c r="E206" s="90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90"/>
      <c r="B207" s="47"/>
      <c r="C207" s="90"/>
      <c r="D207" s="90"/>
      <c r="E207" s="90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90"/>
      <c r="B208" s="47"/>
      <c r="C208" s="90"/>
      <c r="D208" s="90"/>
      <c r="E208" s="90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90"/>
      <c r="B209" s="47"/>
      <c r="C209" s="90"/>
      <c r="D209" s="90"/>
      <c r="E209" s="90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90"/>
      <c r="B210" s="47"/>
      <c r="C210" s="90"/>
      <c r="D210" s="90"/>
      <c r="E210" s="90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90"/>
      <c r="B211" s="47"/>
      <c r="C211" s="90"/>
      <c r="D211" s="90"/>
      <c r="E211" s="90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90"/>
      <c r="B212" s="47"/>
      <c r="C212" s="90"/>
      <c r="D212" s="90"/>
      <c r="E212" s="90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90"/>
      <c r="B213" s="47"/>
      <c r="C213" s="90"/>
      <c r="D213" s="90"/>
      <c r="E213" s="90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90"/>
      <c r="B214" s="47"/>
      <c r="C214" s="90"/>
      <c r="D214" s="90"/>
      <c r="E214" s="90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90"/>
      <c r="B215" s="47"/>
      <c r="C215" s="90"/>
      <c r="D215" s="90"/>
      <c r="E215" s="90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90"/>
      <c r="B216" s="47"/>
      <c r="C216" s="90"/>
      <c r="D216" s="90"/>
      <c r="E216" s="90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90"/>
      <c r="B217" s="47"/>
      <c r="C217" s="90"/>
      <c r="D217" s="90"/>
      <c r="E217" s="90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90"/>
      <c r="B218" s="47"/>
      <c r="C218" s="90"/>
      <c r="D218" s="90"/>
      <c r="E218" s="90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90"/>
      <c r="B219" s="47"/>
      <c r="C219" s="90"/>
      <c r="D219" s="90"/>
      <c r="E219" s="90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90"/>
      <c r="B220" s="47"/>
      <c r="C220" s="90"/>
      <c r="D220" s="90"/>
      <c r="E220" s="90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90"/>
      <c r="B221" s="47"/>
      <c r="C221" s="90"/>
      <c r="D221" s="90"/>
      <c r="E221" s="90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90"/>
      <c r="B222" s="47"/>
      <c r="C222" s="90"/>
      <c r="D222" s="90"/>
      <c r="E222" s="90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90"/>
      <c r="B223" s="47"/>
      <c r="C223" s="90"/>
      <c r="D223" s="90"/>
      <c r="E223" s="90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90"/>
      <c r="B224" s="47"/>
      <c r="C224" s="90"/>
      <c r="D224" s="90"/>
      <c r="E224" s="90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90"/>
      <c r="B225" s="47"/>
      <c r="C225" s="90"/>
      <c r="D225" s="90"/>
      <c r="E225" s="90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90"/>
      <c r="B226" s="47"/>
      <c r="C226" s="90"/>
      <c r="D226" s="90"/>
      <c r="E226" s="90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90"/>
      <c r="B227" s="47"/>
      <c r="C227" s="90"/>
      <c r="D227" s="90"/>
      <c r="E227" s="90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90"/>
      <c r="B228" s="47"/>
      <c r="C228" s="90"/>
      <c r="D228" s="90"/>
      <c r="E228" s="90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90"/>
      <c r="B229" s="47"/>
      <c r="C229" s="90"/>
      <c r="D229" s="90"/>
      <c r="E229" s="90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90"/>
      <c r="B230" s="47"/>
      <c r="C230" s="90"/>
      <c r="D230" s="90"/>
      <c r="E230" s="90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90"/>
      <c r="B231" s="47"/>
      <c r="C231" s="90"/>
      <c r="D231" s="90"/>
      <c r="E231" s="90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90"/>
      <c r="B232" s="47"/>
      <c r="C232" s="90"/>
      <c r="D232" s="90"/>
      <c r="E232" s="90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90"/>
      <c r="B233" s="47"/>
      <c r="C233" s="90"/>
      <c r="D233" s="90"/>
      <c r="E233" s="90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90"/>
      <c r="B234" s="47"/>
      <c r="C234" s="90"/>
      <c r="D234" s="90"/>
      <c r="E234" s="90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90"/>
      <c r="B235" s="47"/>
      <c r="C235" s="90"/>
      <c r="D235" s="90"/>
      <c r="E235" s="90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90"/>
      <c r="B236" s="47"/>
      <c r="C236" s="90"/>
      <c r="D236" s="90"/>
      <c r="E236" s="90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90"/>
      <c r="B237" s="47"/>
      <c r="C237" s="90"/>
      <c r="D237" s="90"/>
      <c r="E237" s="90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90"/>
      <c r="B238" s="47"/>
      <c r="C238" s="90"/>
      <c r="D238" s="90"/>
      <c r="E238" s="90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90"/>
      <c r="B239" s="47"/>
      <c r="C239" s="90"/>
      <c r="D239" s="90"/>
      <c r="E239" s="90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90"/>
      <c r="B240" s="47"/>
      <c r="C240" s="90"/>
      <c r="D240" s="90"/>
      <c r="E240" s="90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90"/>
      <c r="B241" s="47"/>
      <c r="C241" s="90"/>
      <c r="D241" s="90"/>
      <c r="E241" s="90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90"/>
      <c r="B242" s="47"/>
      <c r="C242" s="90"/>
      <c r="D242" s="90"/>
      <c r="E242" s="90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90"/>
      <c r="B243" s="47"/>
      <c r="C243" s="90"/>
      <c r="D243" s="90"/>
      <c r="E243" s="90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90"/>
      <c r="B244" s="47"/>
      <c r="C244" s="90"/>
      <c r="D244" s="90"/>
      <c r="E244" s="90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90"/>
      <c r="B245" s="47"/>
      <c r="C245" s="90"/>
      <c r="D245" s="90"/>
      <c r="E245" s="90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90"/>
      <c r="B246" s="47"/>
      <c r="C246" s="90"/>
      <c r="D246" s="90"/>
      <c r="E246" s="90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90"/>
      <c r="B247" s="47"/>
      <c r="C247" s="90"/>
      <c r="D247" s="90"/>
      <c r="E247" s="90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90"/>
      <c r="B248" s="47"/>
      <c r="C248" s="90"/>
      <c r="D248" s="90"/>
      <c r="E248" s="90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90"/>
      <c r="B249" s="47"/>
      <c r="C249" s="90"/>
      <c r="D249" s="90"/>
      <c r="E249" s="90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90"/>
      <c r="B250" s="47"/>
      <c r="C250" s="90"/>
      <c r="D250" s="90"/>
      <c r="E250" s="90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90"/>
      <c r="B251" s="47"/>
      <c r="C251" s="90"/>
      <c r="D251" s="90"/>
      <c r="E251" s="90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90"/>
      <c r="B252" s="47"/>
      <c r="C252" s="90"/>
      <c r="D252" s="90"/>
      <c r="E252" s="90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90"/>
      <c r="B253" s="47"/>
      <c r="C253" s="90"/>
      <c r="D253" s="90"/>
      <c r="E253" s="90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90"/>
      <c r="B254" s="47"/>
      <c r="C254" s="90"/>
      <c r="D254" s="90"/>
      <c r="E254" s="90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90"/>
      <c r="B255" s="47"/>
      <c r="C255" s="90"/>
      <c r="D255" s="90"/>
      <c r="E255" s="90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90"/>
      <c r="B256" s="47"/>
      <c r="C256" s="90"/>
      <c r="D256" s="90"/>
      <c r="E256" s="90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90"/>
      <c r="B257" s="47"/>
      <c r="C257" s="90"/>
      <c r="D257" s="90"/>
      <c r="E257" s="90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90"/>
      <c r="B258" s="47"/>
      <c r="C258" s="90"/>
      <c r="D258" s="90"/>
      <c r="E258" s="90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90"/>
      <c r="B259" s="47"/>
      <c r="C259" s="90"/>
      <c r="D259" s="90"/>
      <c r="E259" s="90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</row>
  </sheetData>
  <autoFilter ref="$A$3:$I$19"/>
  <mergeCells count="1">
    <mergeCell ref="A1:J1"/>
  </mergeCells>
  <dataValidations>
    <dataValidation type="list" allowBlank="1" sqref="G4:G59">
      <formula1>"Internet 10 Mbps,Internet 20 Mbps,Internet 30 Mbps,Internet 50 Mbps,Internet 75 Mbps,Internet 100 Mbps"</formula1>
    </dataValidation>
    <dataValidation type="list" allowBlank="1" sqref="H4:H59">
      <formula1>"Belum,Survey,Jadwal,Aktif"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8.86"/>
    <col customWidth="1" min="2" max="2" width="12.0"/>
    <col customWidth="1" min="3" max="3" width="16.0"/>
    <col customWidth="1" min="4" max="4" width="24.0"/>
    <col customWidth="1" min="5" max="5" width="21.29"/>
    <col customWidth="1" min="6" max="6" width="16.0"/>
    <col customWidth="1" min="7" max="7" width="12.0"/>
    <col customWidth="1" min="8" max="8" width="20.86"/>
    <col customWidth="1" min="9" max="10" width="7.0"/>
    <col customWidth="1" min="11" max="11" width="14.0"/>
    <col customWidth="1" min="12" max="12" width="15.14"/>
    <col customWidth="1" min="13" max="13" width="10.0"/>
    <col customWidth="1" min="14" max="14" width="11.0"/>
    <col customWidth="1" min="15" max="15" width="15.0"/>
    <col customWidth="1" min="16" max="16" width="16.0"/>
    <col customWidth="1" min="17" max="17" width="17.86"/>
    <col customWidth="1" min="18" max="18" width="10.0"/>
    <col customWidth="1" min="19" max="20" width="14.0"/>
    <col customWidth="1" min="21" max="21" width="12.57"/>
    <col customWidth="1" min="22" max="22" width="24.86"/>
    <col customWidth="1" min="23" max="23" width="17.0"/>
    <col customWidth="1" min="24" max="24" width="20.86"/>
    <col customWidth="1" min="25" max="25" width="20.14"/>
    <col customWidth="1" min="26" max="26" width="17.43"/>
    <col customWidth="1" min="27" max="29" width="14.0"/>
    <col customWidth="1" min="30" max="30" width="22.0"/>
    <col customWidth="1" min="31" max="31" width="18.0"/>
    <col customWidth="1" min="32" max="32" width="10.0"/>
    <col customWidth="1" min="33" max="33" width="12.0"/>
    <col customWidth="1" min="34" max="34" width="13.0"/>
    <col customWidth="1" min="35" max="37" width="15.0"/>
    <col customWidth="1" min="38" max="38" width="14.0"/>
    <col customWidth="1" min="39" max="39" width="16.0"/>
    <col customWidth="1" min="40" max="41" width="8.0"/>
    <col customWidth="1" min="42" max="42" width="11.0"/>
    <col customWidth="1" min="43" max="43" width="9.0"/>
    <col customWidth="1" min="44" max="44" width="10.0"/>
    <col customWidth="1" min="45" max="45" width="15.0"/>
    <col customWidth="1" min="46" max="46" width="20.0"/>
  </cols>
  <sheetData>
    <row r="1" ht="24.0" customHeight="1">
      <c r="A1" s="91" t="s">
        <v>143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9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</row>
    <row r="2" ht="15.0" customHeight="1">
      <c r="A2" s="47"/>
      <c r="B2" s="47"/>
      <c r="C2" s="47"/>
      <c r="D2" s="47"/>
      <c r="E2" s="47"/>
      <c r="F2" s="47"/>
      <c r="G2" s="47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</row>
    <row r="3" ht="24.0" customHeight="1">
      <c r="A3" s="92" t="s">
        <v>144</v>
      </c>
      <c r="B3" s="92" t="s">
        <v>145</v>
      </c>
      <c r="C3" s="92" t="s">
        <v>146</v>
      </c>
      <c r="D3" s="92" t="s">
        <v>147</v>
      </c>
      <c r="E3" s="92" t="s">
        <v>148</v>
      </c>
      <c r="F3" s="92" t="s">
        <v>149</v>
      </c>
      <c r="G3" s="92" t="s">
        <v>150</v>
      </c>
      <c r="H3" s="92" t="s">
        <v>151</v>
      </c>
      <c r="I3" s="92" t="s">
        <v>152</v>
      </c>
      <c r="J3" s="92" t="s">
        <v>153</v>
      </c>
      <c r="K3" s="92" t="s">
        <v>154</v>
      </c>
      <c r="L3" s="92" t="s">
        <v>155</v>
      </c>
      <c r="M3" s="92" t="s">
        <v>156</v>
      </c>
      <c r="N3" s="92" t="s">
        <v>157</v>
      </c>
      <c r="O3" s="92" t="s">
        <v>158</v>
      </c>
      <c r="P3" s="92" t="s">
        <v>159</v>
      </c>
      <c r="Q3" s="92" t="s">
        <v>160</v>
      </c>
      <c r="R3" s="92" t="s">
        <v>161</v>
      </c>
      <c r="S3" s="92" t="s">
        <v>162</v>
      </c>
      <c r="T3" s="92" t="s">
        <v>163</v>
      </c>
      <c r="U3" s="92" t="s">
        <v>164</v>
      </c>
      <c r="V3" s="92" t="s">
        <v>165</v>
      </c>
      <c r="W3" s="92" t="s">
        <v>166</v>
      </c>
      <c r="X3" s="92" t="s">
        <v>167</v>
      </c>
      <c r="Y3" s="92" t="s">
        <v>168</v>
      </c>
      <c r="Z3" s="93" t="s">
        <v>169</v>
      </c>
      <c r="AA3" s="93" t="s">
        <v>170</v>
      </c>
      <c r="AB3" s="93" t="s">
        <v>171</v>
      </c>
      <c r="AC3" s="93" t="s">
        <v>172</v>
      </c>
      <c r="AD3" s="94" t="s">
        <v>173</v>
      </c>
      <c r="AE3" s="94" t="s">
        <v>174</v>
      </c>
      <c r="AF3" s="94" t="s">
        <v>175</v>
      </c>
      <c r="AG3" s="94" t="s">
        <v>176</v>
      </c>
      <c r="AH3" s="95" t="s">
        <v>177</v>
      </c>
      <c r="AI3" s="96" t="s">
        <v>178</v>
      </c>
      <c r="AJ3" s="97" t="s">
        <v>179</v>
      </c>
      <c r="AK3" s="98" t="s">
        <v>180</v>
      </c>
      <c r="AL3" s="99" t="s">
        <v>181</v>
      </c>
      <c r="AM3" s="100" t="s">
        <v>182</v>
      </c>
      <c r="AN3" s="97" t="s">
        <v>183</v>
      </c>
      <c r="AO3" s="97" t="s">
        <v>184</v>
      </c>
      <c r="AP3" s="97" t="s">
        <v>185</v>
      </c>
      <c r="AQ3" s="97" t="s">
        <v>186</v>
      </c>
      <c r="AR3" s="97" t="s">
        <v>187</v>
      </c>
      <c r="AS3" s="97" t="s">
        <v>188</v>
      </c>
      <c r="AT3" s="97" t="s">
        <v>189</v>
      </c>
    </row>
    <row r="4" ht="15.0" customHeight="1">
      <c r="A4" s="47"/>
      <c r="B4" s="47"/>
      <c r="C4" s="47"/>
      <c r="D4" s="47"/>
      <c r="E4" s="47"/>
      <c r="F4" s="47"/>
      <c r="G4" s="47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</row>
    <row r="5" ht="15.0" customHeight="1">
      <c r="A5" s="101">
        <f t="shared" ref="A5:A185" si="1">IF($D5="","",COUNTA($D$5:$D5))</f>
        <v>1</v>
      </c>
      <c r="B5" s="102" t="str">
        <f t="shared" ref="B5:B185" si="2">IF($D5="","","ARM-"&amp;TEXT(COUNTA($D$5:$D5),"0000"))</f>
        <v>ARM-0001</v>
      </c>
      <c r="C5" s="103" t="s">
        <v>190</v>
      </c>
      <c r="D5" s="101" t="s">
        <v>191</v>
      </c>
      <c r="E5" s="101" t="s">
        <v>192</v>
      </c>
      <c r="F5" s="101"/>
      <c r="G5" s="101" t="s">
        <v>193</v>
      </c>
      <c r="H5" s="104"/>
      <c r="I5" s="104"/>
      <c r="J5" s="104"/>
      <c r="K5" s="104" t="s">
        <v>194</v>
      </c>
      <c r="L5" s="104" t="s">
        <v>195</v>
      </c>
      <c r="M5" s="104">
        <f>IFERROR(VLOOKUP(L5, '4_Produk'!C:E, 2, FALSE()), "")</f>
        <v>100</v>
      </c>
      <c r="N5" s="104">
        <f>IFERROR(VLOOKUP(L5, '4_Produk'!C:E, 3, FALSE()), "")</f>
        <v>330000</v>
      </c>
      <c r="O5" s="104" t="s">
        <v>196</v>
      </c>
      <c r="P5" s="104"/>
      <c r="Q5" s="104"/>
      <c r="R5" s="104"/>
      <c r="S5" s="104"/>
      <c r="T5" s="104">
        <v>3.0</v>
      </c>
      <c r="U5" s="104" t="s">
        <v>197</v>
      </c>
      <c r="V5" s="104" t="s">
        <v>198</v>
      </c>
      <c r="W5" s="105" t="s">
        <v>199</v>
      </c>
      <c r="X5" s="104"/>
      <c r="Y5" s="104"/>
      <c r="Z5" s="106" t="str">
        <f t="shared" ref="Z5:Z166" si="3">IF($F5="","",HYPERLINK("https://wa.me/62"&amp;MID($F5,2,LEN($F5)-1)&amp;"?text="&amp;SUBSTITUTE(SUBSTITUTE("Selamat "&amp;IF(HOUR(NOW())&lt;11,"Pagi",IF(HOUR(NOW())&lt;15,"Siang",IF(HOUR(NOW())&lt;18,"Sore","Malam")))&amp;" Bapak/Ibu "&amp;$D5&amp;","&amp;CHAR(10)&amp;CHAR(10)&amp;"Mohon maaf mengganggu waktunya. Saya dari Tim Teknis Armedia Net wilayah Gumelar ingin melakukan konfirmasi data pelanggan."&amp;CHAR(10)&amp;CHAR(10)&amp;"ID Pelanggan: "&amp;$B5&amp;CHAR(10)&amp;"Boleh dibantu konfirmasi RT/RW rumahnya?"&amp;CHAR(10)&amp;"RT: "&amp;CHAR(10)&amp;"RW: "&amp;CHAR(10)&amp;CHAR(10)&amp;"Terima kasih banyak sebelumnya atas kerjasamanya.",CHAR(10),"%0A")," ","%20"),"Chat WA"))</f>
        <v/>
      </c>
      <c r="AA5" s="107" t="str">
        <f t="shared" ref="AA5:AA166" si="4">IF($F5="","",HYPERLINK("https://wa.me/62"&amp;MID($F5,2,LEN($F5)-1),"Chat WA"))</f>
        <v/>
      </c>
      <c r="AB5" s="107" t="str">
        <f t="shared" ref="AB5:AB166" si="5">IF($F5="","",HYPERLINK("https://wa.me/62"&amp;MID($F5,2,LEN($F5)-1)&amp;"?text="&amp;SUBSTITUTE(SUBSTITUTE("📄 *INVOICE TAGIHAN INTERNET*"&amp;CHAR(10)&amp;"ARMEDIA NET - Gumelar"&amp;CHAR(10)&amp;CHAR(10)&amp;"No. Invoice: "&amp;$B5&amp;"/"&amp;CHOOSE(MONTH(NOW()),"JAN","FEB","MAR","APR","MEI","JUN","JUL","AGU","SEP","OKT","NOV","DES")&amp;YEAR(NOW())&amp;CHAR(10)&amp;"Tanggal: "&amp;TEXT(NOW(),"DD/MM/YYYY")&amp;CHAR(10)&amp;CHAR(10)&amp;"Pelanggan: "&amp;$D5&amp;CHAR(10)&amp;"ID Pelanggan: "&amp;$B5&amp;CHAR(10)&amp;CHAR(10)&amp;"Rincian:"&amp;CHAR(10)&amp;"Paket Internet "&amp;$M5&amp;" Mbps"&amp;CHAR(10)&amp;"Rp"&amp;TEXT($N5,"#,##0")&amp;CHAR(10)&amp;CHAR(10)&amp;"TOTAL TAGIHAN: Rp"&amp;TEXT($N5,"#,##0")&amp;CHAR(10)&amp;CHAR(10)&amp;"Periode: "&amp;CHOOSE(MONTH(NOW()),"Januari","Februari","Maret","April","Mei","Juni","Juli","Agustus","September","Oktober","November","Desember")&amp;" "&amp;YEAR(NOW())&amp;CHAR(10)&amp;CHAR(10)&amp;"Mohon lakukan pembayaran dan konfirmasi setelah transfer. Terima kasih atas kerjasamanya."&amp;CHAR(10)&amp;CHAR(10)&amp;"ARMEDIA NET - Gumelar",CHAR(10),"%0A")," ","%20"),"Kirim Invoice"))</f>
        <v/>
      </c>
      <c r="AC5" s="107" t="str">
        <f t="shared" ref="AC5:AC166" si="6">IF($F5="","",HYPERLINK("https://wa.me/62"&amp;MID($F5,2,LEN($F5)-1)&amp;"?text="&amp;SUBSTITUTE(SUBSTITUTE("Selamat "&amp;IF(HOUR(NOW())&lt;11,"Pagi",IF(HOUR(NOW())&lt;15,"Siang",IF(HOUR(NOW())&lt;18,"Sore","Malam")))&amp;" Bapak/Ibu "&amp;$D5&amp;","&amp;CHAR(10)&amp;CHAR(10)&amp;"Mohon maaf mengganggu waktunya. Kami sedang melengkapi dokumentasi data pelanggan ARMEDIA Net."&amp;CHAR(10)&amp;CHAR(10)&amp;"ID Pelanggan: "&amp;$B5&amp;CHAR(10)&amp;"Mohon bantuannya kirim foto rumah tampak depan, dan share lokasi Google Maps rumahnya."&amp;CHAR(10)&amp;CHAR(10)&amp;"Terima kasih banyak atas kerjasamanya.",CHAR(10),"%0A")," ","%20"),"Chat WA"))</f>
        <v/>
      </c>
      <c r="AD5" s="108" t="str">
        <f>IFERROR(VLOOKUP($Q5,'12_ONT_NEW'!$D:$G,4,FALSE()),"")</f>
        <v/>
      </c>
      <c r="AE5" s="108"/>
      <c r="AF5" s="109"/>
      <c r="AG5" s="109"/>
      <c r="AH5" s="110" t="str">
        <f t="shared" ref="AH5:AH185" si="7">IFERROR(IF($S5="","",DATE(YEAR(TODAY()),MONTH(TODAY()),DAY($S5))),"")</f>
        <v/>
      </c>
      <c r="AI5" s="107" t="str">
        <f t="shared" ref="AI5:AI167" si="8">IF($F5="","",HYPERLINK("https://wa.me/62"&amp;MID($F5,2,LEN($F5)-1)&amp;"?text="&amp;SUBSTITUTE(SUBSTITUTE("Halo, mengingatkan tagihan yang akan jatuh tempo dalam beberapa hari 🙏"&amp;CHAR(10)&amp;CHAR(10)&amp;"Yth. Bapak/Ibu "&amp;$D5&amp;CHAR(10)&amp;CHAR(10)&amp;"Invoice tagihan internet ARMEDIA Net:"&amp;CHAR(10)&amp;CHAR(10)&amp;"ID Pelanggan: "&amp;$B5&amp;CHAR(10)&amp;"No. Invoice: "&amp;$B5&amp;"-"&amp;TEXT(TODAY(),"yymmdd")&amp;CHAR(10)&amp;"Layanan: Internet "&amp;$M5&amp;" Mbps"&amp;CHAR(10)&amp;"Harga Paket: Rp"&amp;TEXT($N5,"#,##0")&amp;CHAR(10)&amp;"Periode: 1 Bulan"&amp;CHAR(10)&amp;"Jatuh Tempo: "&amp;IF($AH5="","(tgl pasang belum diisi)",TEXT($AH5,"DD-")&amp;CHOOSE(MONTH(TODAY()),"Jan","Feb","Mar","Apr","Mei","Jun","Jul","Agu","Sep","Okt","Nov","Des")&amp;TEXT($AH5,"-YYYY"))&amp;CHAR(10)&amp;CHAR(10)&amp;"Total Tagihan: Rp"&amp;TEXT($N5,"#,##0")&amp;CHAR(10)&amp;CHAR(10)&amp;"Pembayaran transfer ke:"&amp;CHAR(10)&amp;"Bank Mandiri"&amp;CHAR(10)&amp;"006-001-460711-7"&amp;CHAR(10)&amp;"a.n PT AKSES ARTHA MEDIA"&amp;CHAR(10)&amp;CHAR(10)&amp;"Atau bayar tunai ke kantor ARMEDIA Net, Gumelar."&amp;CHAR(10)&amp;"Konfirmasi setelah transfer ya. Terima kasih."&amp;CHAR(10)&amp;CHAR(10)&amp;"Salam, ARMEDIA Net - Gumelar",CHAR(10),"%0A")," ","%20"),"Kirim WA"))</f>
        <v/>
      </c>
      <c r="AJ5" s="107" t="str">
        <f t="shared" ref="AJ5:AJ167" si="9">IF($F5="","",HYPERLINK("https://wa.me/62"&amp;MID($F5,2,LEN($F5)-1)&amp;"?text="&amp;SUBSTITUTE(SUBSTITUTE("Halo, tagihan internet Anda jatuh tempo HARI INI ya 🗓"&amp;CHAR(10)&amp;CHAR(10)&amp;"Yth. Bapak/Ibu "&amp;$D5&amp;CHAR(10)&amp;CHAR(10)&amp;"Invoice tagihan internet ARMEDIA Net:"&amp;CHAR(10)&amp;CHAR(10)&amp;"ID Pelanggan: "&amp;$B5&amp;CHAR(10)&amp;"No. Invoice: "&amp;$B5&amp;"-"&amp;TEXT(TODAY(),"yymmdd")&amp;CHAR(10)&amp;"Layanan: Internet "&amp;$M5&amp;" Mbps"&amp;CHAR(10)&amp;"Harga Paket: Rp"&amp;TEXT($N5,"#,##0")&amp;CHAR(10)&amp;"Periode: 1 Bulan"&amp;CHAR(10)&amp;"Jatuh Tempo: "&amp;IF($AH5="","(tgl pasang belum diisi)",TEXT($AH5,"DD-")&amp;CHOOSE(MONTH(TODAY()),"Jan","Feb","Mar","Apr","Mei","Jun","Jul","Agu","Sep","Okt","Nov","Des")&amp;TEXT($AH5,"-YYYY"))&amp;CHAR(10)&amp;CHAR(10)&amp;"Total Tagihan: Rp"&amp;TEXT($N5,"#,##0")&amp;CHAR(10)&amp;CHAR(10)&amp;"Pembayaran transfer ke:"&amp;CHAR(10)&amp;"Bank Mandiri"&amp;CHAR(10)&amp;"006-001-460711-7"&amp;CHAR(10)&amp;"a.n PT AKSES ARTHA MEDIA"&amp;CHAR(10)&amp;CHAR(10)&amp;"Atau bayar tunai ke kantor ARMEDIA Net, Gumelar."&amp;CHAR(10)&amp;"Konfirmasi setelah transfer ya. Terima kasih."&amp;CHAR(10)&amp;CHAR(10)&amp;"Salam, ARMEDIA Net - Gumelar",CHAR(10),"%0A")," ","%20"),"Kirim WA"))</f>
        <v/>
      </c>
      <c r="AK5" s="107" t="str">
        <f t="shared" ref="AK5:AK167" si="10">IF($F5="","",HYPERLINK("https://wa.me/62"&amp;MID($F5,2,LEN($F5)-1)&amp;"?text="&amp;SUBSTITUTE(SUBSTITUTE("Halo, tagihan internet Anda sudah MELEWATI jatuh tempo. Mohon segera diselesaikan agar layanan tidak terputus 🙏"&amp;CHAR(10)&amp;CHAR(10)&amp;"Yth. Bapak/Ibu "&amp;$D5&amp;CHAR(10)&amp;CHAR(10)&amp;"Invoice tagihan internet ARMEDIA Net:"&amp;CHAR(10)&amp;CHAR(10)&amp;"ID Pelanggan: "&amp;$B5&amp;CHAR(10)&amp;"No. Invoice: "&amp;$B5&amp;"-"&amp;TEXT(TODAY(),"yymmdd")&amp;CHAR(10)&amp;"Layanan: Internet "&amp;$M5&amp;" Mbps"&amp;CHAR(10)&amp;"Harga Paket: Rp"&amp;TEXT($N5,"#,##0")&amp;CHAR(10)&amp;"Periode: 1 Bulan"&amp;CHAR(10)&amp;"Jatuh Tempo: "&amp;IF($AH5="","(tgl pasang belum diisi)",TEXT($AH5,"DD-")&amp;CHOOSE(MONTH(TODAY()),"Jan","Feb","Mar","Apr","Mei","Jun","Jul","Agu","Sep","Okt","Nov","Des")&amp;TEXT($AH5,"-YYYY"))&amp;CHAR(10)&amp;CHAR(10)&amp;"Total Tagihan: Rp"&amp;TEXT($N5,"#,##0")&amp;CHAR(10)&amp;CHAR(10)&amp;"Pembayaran transfer ke:"&amp;CHAR(10)&amp;"Bank Mandiri"&amp;CHAR(10)&amp;"006-001-460711-7"&amp;CHAR(10)&amp;"a.n PT AKSES ARTHA MEDIA"&amp;CHAR(10)&amp;CHAR(10)&amp;"Atau bayar tunai ke kantor ARMEDIA Net, Gumelar."&amp;CHAR(10)&amp;"Konfirmasi setelah transfer ya. Terima kasih."&amp;CHAR(10)&amp;CHAR(10)&amp;"Salam, ARMEDIA Net - Gumelar",CHAR(10),"%0A")," ","%20"),"Kirim WA"))</f>
        <v/>
      </c>
      <c r="AL5" s="111" t="str">
        <f t="shared" ref="AL5:AL185" si="11">IFERROR(IF(OR($S5="",$N5=""),"",ROUND((30-DAY($S5))*$N5/30,0)),"")</f>
        <v/>
      </c>
      <c r="AM5" s="107" t="str">
        <f t="shared" ref="AM5:AM167" si="12">IF($F5="","",HYPERLINK("https://wa.me/62"&amp;MID($F5,2,LEN($F5)-1)&amp;"?text="&amp;SUBSTITUTE(SUBSTITUTE("Selamat datang di ARMEDIA Net, Bapak/Ibu "&amp;$D5&amp;"!"&amp;CHAR(10)&amp;CHAR(10)&amp;"Terima kasih sudah bergabung. Berikut invoice TAGIHAN PERTAMA Anda:"&amp;CHAR(10)&amp;CHAR(10)&amp;"ID Pelanggan: "&amp;$B5&amp;CHAR(10)&amp;"Layanan: Internet "&amp;$M5&amp;" Mbps"&amp;CHAR(10)&amp;"Harga Normal: Rp"&amp;TEXT($N5,"#,##0")&amp;"/bulan"&amp;CHAR(10)&amp;"Tanggal Pasang: "&amp;IF($S5="","-",TEXT($S5,"DD ")&amp;CHOOSE(MONTH(TODAY()),"Jan","Feb","Mar","Apr","Mei","Jun","Jul","Agu","Sep","Okt","Nov","Des")&amp;TEXT($S5,"-YYYY"))&amp;CHAR(10)&amp;CHAR(10)&amp;"TAGIHAN BULAN PERTAMA (pro-rata):"&amp;CHAR(10)&amp;"Rp"&amp;IF($AL5="","-",TEXT($AL5,"#,##0"))&amp;CHAR(10)&amp;CHAR(10)&amp;"Kenapa beda dari harga normal? Karena tagihan bulan pertama dihitung dari tanggal pasang (bukan awal bulan). Bulan berikutnya sudah normal Rp"&amp;TEXT($N5,"#,##0")&amp;"."&amp;CHAR(10)&amp;CHAR(10)&amp;"Pembayaran transfer ke:"&amp;CHAR(10)&amp;"Bank Mandiri"&amp;CHAR(10)&amp;"006-001-460711-7"&amp;CHAR(10)&amp;"a.n PT AKSES ARTHA MEDIA"&amp;CHAR(10)&amp;CHAR(10)&amp;"Atau tunai ke kantor ARMEDIA Net, Gumelar."&amp;CHAR(10)&amp;"Konfirmasi setelah transfer ya. Terima kasih!"&amp;CHAR(10)&amp;CHAR(10)&amp;"Salam, ARMEDIA Net - Gumelar",CHAR(10),"%0A")," ","%20"),"Kirim Invoice"))</f>
        <v/>
      </c>
      <c r="AN5" s="89"/>
      <c r="AO5" s="89"/>
      <c r="AP5" s="112" t="str">
        <f t="shared" ref="AP5:AP185" si="13">IF($M5="","",IFERROR(LOOKUP(9999,--LEFT($M5,ROW(INDIRECT("1:"&amp;LEN($M5)))))&amp;"M_UP",""))</f>
        <v>1M_UP</v>
      </c>
      <c r="AQ5" s="89">
        <v>1521.0</v>
      </c>
      <c r="AR5" s="89"/>
      <c r="AS5" s="113"/>
      <c r="AT5" s="113"/>
    </row>
    <row r="6" ht="15.0" customHeight="1">
      <c r="A6" s="101">
        <f t="shared" si="1"/>
        <v>2</v>
      </c>
      <c r="B6" s="102" t="str">
        <f t="shared" si="2"/>
        <v>ARM-0002</v>
      </c>
      <c r="C6" s="103" t="s">
        <v>200</v>
      </c>
      <c r="D6" s="101" t="s">
        <v>201</v>
      </c>
      <c r="E6" s="101"/>
      <c r="F6" s="101"/>
      <c r="G6" s="101" t="s">
        <v>193</v>
      </c>
      <c r="H6" s="104"/>
      <c r="I6" s="104"/>
      <c r="J6" s="104"/>
      <c r="K6" s="104" t="s">
        <v>194</v>
      </c>
      <c r="L6" s="104" t="s">
        <v>202</v>
      </c>
      <c r="M6" s="104">
        <f>IFERROR(VLOOKUP(L6, '4_Produk'!C:E, 2, FALSE()), "")</f>
        <v>50</v>
      </c>
      <c r="N6" s="104">
        <f>IFERROR(VLOOKUP(L6, '4_Produk'!C:E, 3, FALSE()), "")</f>
        <v>182000</v>
      </c>
      <c r="O6" s="104" t="s">
        <v>203</v>
      </c>
      <c r="P6" s="104" t="s">
        <v>204</v>
      </c>
      <c r="Q6" s="104" t="s">
        <v>205</v>
      </c>
      <c r="R6" s="104"/>
      <c r="S6" s="104"/>
      <c r="T6" s="104">
        <v>10.0</v>
      </c>
      <c r="U6" s="104" t="s">
        <v>206</v>
      </c>
      <c r="V6" s="104" t="s">
        <v>198</v>
      </c>
      <c r="W6" s="114" t="s">
        <v>199</v>
      </c>
      <c r="X6" s="104"/>
      <c r="Y6" s="104"/>
      <c r="Z6" s="106" t="str">
        <f t="shared" si="3"/>
        <v/>
      </c>
      <c r="AA6" s="107" t="str">
        <f t="shared" si="4"/>
        <v/>
      </c>
      <c r="AB6" s="107" t="str">
        <f t="shared" si="5"/>
        <v/>
      </c>
      <c r="AC6" s="107" t="str">
        <f t="shared" si="6"/>
        <v/>
      </c>
      <c r="AD6" s="108" t="str">
        <f>IFERROR(VLOOKUP($Q6,'12_ONT_NEW'!$D:$G,4,FALSE()),"")</f>
        <v/>
      </c>
      <c r="AE6" s="108"/>
      <c r="AF6" s="109"/>
      <c r="AG6" s="109"/>
      <c r="AH6" s="110" t="str">
        <f t="shared" si="7"/>
        <v/>
      </c>
      <c r="AI6" s="107" t="str">
        <f t="shared" si="8"/>
        <v/>
      </c>
      <c r="AJ6" s="107" t="str">
        <f t="shared" si="9"/>
        <v/>
      </c>
      <c r="AK6" s="107" t="str">
        <f t="shared" si="10"/>
        <v/>
      </c>
      <c r="AL6" s="111" t="str">
        <f t="shared" si="11"/>
        <v/>
      </c>
      <c r="AM6" s="107" t="str">
        <f t="shared" si="12"/>
        <v/>
      </c>
      <c r="AN6" s="89"/>
      <c r="AO6" s="89"/>
      <c r="AP6" s="112" t="str">
        <f t="shared" si="13"/>
        <v>5M_UP</v>
      </c>
      <c r="AQ6" s="89">
        <v>1521.0</v>
      </c>
      <c r="AR6" s="89"/>
      <c r="AS6" s="113"/>
      <c r="AT6" s="113"/>
    </row>
    <row r="7" ht="15.0" customHeight="1">
      <c r="A7" s="101">
        <f t="shared" si="1"/>
        <v>3</v>
      </c>
      <c r="B7" s="102" t="str">
        <f t="shared" si="2"/>
        <v>ARM-0003</v>
      </c>
      <c r="C7" s="103" t="s">
        <v>207</v>
      </c>
      <c r="D7" s="101" t="s">
        <v>208</v>
      </c>
      <c r="E7" s="101" t="s">
        <v>209</v>
      </c>
      <c r="F7" s="101" t="s">
        <v>210</v>
      </c>
      <c r="G7" s="101" t="s">
        <v>193</v>
      </c>
      <c r="H7" s="104" t="s">
        <v>211</v>
      </c>
      <c r="I7" s="104">
        <v>5.0</v>
      </c>
      <c r="J7" s="104">
        <v>2.0</v>
      </c>
      <c r="K7" s="104" t="s">
        <v>194</v>
      </c>
      <c r="L7" s="104" t="s">
        <v>212</v>
      </c>
      <c r="M7" s="104">
        <f>IFERROR(VLOOKUP(L7, '4_Produk'!C:E, 2, FALSE()), "")</f>
        <v>30</v>
      </c>
      <c r="N7" s="104">
        <f>IFERROR(VLOOKUP(L7, '4_Produk'!C:E, 3, FALSE()), "")</f>
        <v>142000</v>
      </c>
      <c r="O7" s="115" t="s">
        <v>213</v>
      </c>
      <c r="P7" s="104" t="s">
        <v>214</v>
      </c>
      <c r="Q7" s="104" t="s">
        <v>215</v>
      </c>
      <c r="R7" s="104"/>
      <c r="S7" s="116">
        <v>46091.0</v>
      </c>
      <c r="T7" s="104">
        <v>70.0</v>
      </c>
      <c r="U7" s="104" t="s">
        <v>216</v>
      </c>
      <c r="V7" s="104" t="s">
        <v>198</v>
      </c>
      <c r="W7" s="114" t="s">
        <v>199</v>
      </c>
      <c r="X7" s="104"/>
      <c r="Y7" s="104"/>
      <c r="Z7" s="106" t="str">
        <f t="shared" si="3"/>
        <v>Chat WA</v>
      </c>
      <c r="AA7" s="107" t="str">
        <f t="shared" si="4"/>
        <v>Chat WA</v>
      </c>
      <c r="AB7" s="107" t="str">
        <f t="shared" si="5"/>
        <v>Kirim Invoice</v>
      </c>
      <c r="AC7" s="107" t="str">
        <f t="shared" si="6"/>
        <v>Chat WA</v>
      </c>
      <c r="AD7" s="108" t="str">
        <f>IFERROR(VLOOKUP($Q7,'12_ONT_NEW'!$D:$G,4,FALSE()),"")</f>
        <v/>
      </c>
      <c r="AE7" s="108"/>
      <c r="AF7" s="109"/>
      <c r="AG7" s="109"/>
      <c r="AH7" s="110">
        <f t="shared" si="7"/>
        <v>46213</v>
      </c>
      <c r="AI7" s="107" t="str">
        <f t="shared" si="8"/>
        <v>Kirim WA</v>
      </c>
      <c r="AJ7" s="107" t="str">
        <f t="shared" si="9"/>
        <v>Kirim WA</v>
      </c>
      <c r="AK7" s="107" t="str">
        <f t="shared" si="10"/>
        <v>Kirim WA</v>
      </c>
      <c r="AL7" s="111">
        <f t="shared" si="11"/>
        <v>94667</v>
      </c>
      <c r="AM7" s="107" t="str">
        <f t="shared" si="12"/>
        <v>Kirim Invoice</v>
      </c>
      <c r="AN7" s="89"/>
      <c r="AO7" s="89"/>
      <c r="AP7" s="112" t="str">
        <f t="shared" si="13"/>
        <v>3M_UP</v>
      </c>
      <c r="AQ7" s="89">
        <v>1521.0</v>
      </c>
      <c r="AR7" s="89"/>
      <c r="AS7" s="113"/>
      <c r="AT7" s="113"/>
    </row>
    <row r="8" ht="15.0" customHeight="1">
      <c r="A8" s="83">
        <f t="shared" si="1"/>
        <v>4</v>
      </c>
      <c r="B8" s="117" t="str">
        <f t="shared" si="2"/>
        <v>ARM-0004</v>
      </c>
      <c r="C8" s="118" t="s">
        <v>217</v>
      </c>
      <c r="D8" s="79" t="s">
        <v>218</v>
      </c>
      <c r="E8" s="79" t="s">
        <v>219</v>
      </c>
      <c r="F8" s="79" t="s">
        <v>220</v>
      </c>
      <c r="G8" s="79" t="s">
        <v>193</v>
      </c>
      <c r="H8" s="119" t="s">
        <v>211</v>
      </c>
      <c r="I8" s="119">
        <v>4.0</v>
      </c>
      <c r="J8" s="119">
        <v>3.0</v>
      </c>
      <c r="K8" s="119" t="s">
        <v>194</v>
      </c>
      <c r="L8" s="119" t="s">
        <v>221</v>
      </c>
      <c r="M8" s="119">
        <f>IFERROR(VLOOKUP(L8, '4_Produk'!C:E, 2, FALSE()), "")</f>
        <v>20</v>
      </c>
      <c r="N8" s="119">
        <f>IFERROR(VLOOKUP(L8, '4_Produk'!C:E, 3, FALSE()), "")</f>
        <v>115000</v>
      </c>
      <c r="O8" s="119" t="s">
        <v>222</v>
      </c>
      <c r="P8" s="119" t="s">
        <v>223</v>
      </c>
      <c r="Q8" s="119" t="s">
        <v>224</v>
      </c>
      <c r="R8" s="119"/>
      <c r="S8" s="120">
        <v>46096.0</v>
      </c>
      <c r="T8" s="119">
        <v>100.0</v>
      </c>
      <c r="U8" s="119" t="s">
        <v>225</v>
      </c>
      <c r="V8" s="119"/>
      <c r="W8" s="114" t="s">
        <v>199</v>
      </c>
      <c r="X8" s="121"/>
      <c r="Y8" s="121"/>
      <c r="Z8" s="107" t="str">
        <f t="shared" si="3"/>
        <v>Chat WA</v>
      </c>
      <c r="AA8" s="107" t="str">
        <f t="shared" si="4"/>
        <v>Chat WA</v>
      </c>
      <c r="AB8" s="107" t="str">
        <f t="shared" si="5"/>
        <v>Kirim Invoice</v>
      </c>
      <c r="AC8" s="107" t="str">
        <f t="shared" si="6"/>
        <v>Chat WA</v>
      </c>
      <c r="AD8" s="108" t="str">
        <f>IFERROR(VLOOKUP($Q8,'12_ONT_NEW'!$D:$G,4,FALSE()),"")</f>
        <v/>
      </c>
      <c r="AE8" s="108"/>
      <c r="AF8" s="109"/>
      <c r="AG8" s="109"/>
      <c r="AH8" s="110">
        <f t="shared" si="7"/>
        <v>46218</v>
      </c>
      <c r="AI8" s="107" t="str">
        <f t="shared" si="8"/>
        <v>Kirim WA</v>
      </c>
      <c r="AJ8" s="107" t="str">
        <f t="shared" si="9"/>
        <v>Kirim WA</v>
      </c>
      <c r="AK8" s="107" t="str">
        <f t="shared" si="10"/>
        <v>Kirim WA</v>
      </c>
      <c r="AL8" s="111">
        <f t="shared" si="11"/>
        <v>57500</v>
      </c>
      <c r="AM8" s="107" t="str">
        <f t="shared" si="12"/>
        <v>Kirim Invoice</v>
      </c>
      <c r="AN8" s="89"/>
      <c r="AO8" s="89"/>
      <c r="AP8" s="112" t="str">
        <f t="shared" si="13"/>
        <v>2M_UP</v>
      </c>
      <c r="AQ8" s="89">
        <v>1521.0</v>
      </c>
      <c r="AR8" s="89"/>
      <c r="AS8" s="113"/>
      <c r="AT8" s="113"/>
    </row>
    <row r="9" ht="15.0" customHeight="1">
      <c r="A9" s="101">
        <f t="shared" si="1"/>
        <v>5</v>
      </c>
      <c r="B9" s="102" t="str">
        <f t="shared" si="2"/>
        <v>ARM-0005</v>
      </c>
      <c r="C9" s="103" t="s">
        <v>226</v>
      </c>
      <c r="D9" s="101" t="s">
        <v>227</v>
      </c>
      <c r="E9" s="101"/>
      <c r="F9" s="101" t="s">
        <v>228</v>
      </c>
      <c r="G9" s="101" t="s">
        <v>193</v>
      </c>
      <c r="H9" s="104" t="s">
        <v>211</v>
      </c>
      <c r="I9" s="104"/>
      <c r="J9" s="104"/>
      <c r="K9" s="104" t="s">
        <v>194</v>
      </c>
      <c r="L9" s="104" t="s">
        <v>212</v>
      </c>
      <c r="M9" s="104">
        <f>IFERROR(VLOOKUP(L9, '4_Produk'!C:E, 2, FALSE()), "")</f>
        <v>30</v>
      </c>
      <c r="N9" s="104">
        <f>IFERROR(VLOOKUP(L9, '4_Produk'!C:E, 3, FALSE()), "")</f>
        <v>142000</v>
      </c>
      <c r="O9" s="104" t="s">
        <v>229</v>
      </c>
      <c r="P9" s="104" t="s">
        <v>230</v>
      </c>
      <c r="Q9" s="104" t="s">
        <v>231</v>
      </c>
      <c r="R9" s="104"/>
      <c r="S9" s="116">
        <v>46096.0</v>
      </c>
      <c r="T9" s="104">
        <v>50.0</v>
      </c>
      <c r="U9" s="104" t="s">
        <v>232</v>
      </c>
      <c r="V9" s="104" t="s">
        <v>198</v>
      </c>
      <c r="W9" s="114" t="s">
        <v>199</v>
      </c>
      <c r="X9" s="104"/>
      <c r="Y9" s="104"/>
      <c r="Z9" s="106" t="str">
        <f t="shared" si="3"/>
        <v>Chat WA</v>
      </c>
      <c r="AA9" s="107" t="str">
        <f t="shared" si="4"/>
        <v>Chat WA</v>
      </c>
      <c r="AB9" s="107" t="str">
        <f t="shared" si="5"/>
        <v>Kirim Invoice</v>
      </c>
      <c r="AC9" s="107" t="str">
        <f t="shared" si="6"/>
        <v>Chat WA</v>
      </c>
      <c r="AD9" s="108" t="str">
        <f>IFERROR(VLOOKUP($Q9,'12_ONT_NEW'!$D:$G,4,FALSE()),"")</f>
        <v>5i951g_2.4G</v>
      </c>
      <c r="AE9" s="108"/>
      <c r="AF9" s="109"/>
      <c r="AG9" s="109"/>
      <c r="AH9" s="110">
        <f t="shared" si="7"/>
        <v>46218</v>
      </c>
      <c r="AI9" s="107" t="str">
        <f t="shared" si="8"/>
        <v>Kirim WA</v>
      </c>
      <c r="AJ9" s="107" t="str">
        <f t="shared" si="9"/>
        <v>Kirim WA</v>
      </c>
      <c r="AK9" s="107" t="str">
        <f t="shared" si="10"/>
        <v>Kirim WA</v>
      </c>
      <c r="AL9" s="111">
        <f t="shared" si="11"/>
        <v>71000</v>
      </c>
      <c r="AM9" s="107" t="str">
        <f t="shared" si="12"/>
        <v>Kirim Invoice</v>
      </c>
      <c r="AN9" s="89"/>
      <c r="AO9" s="89"/>
      <c r="AP9" s="112" t="str">
        <f t="shared" si="13"/>
        <v>3M_UP</v>
      </c>
      <c r="AQ9" s="89">
        <v>1521.0</v>
      </c>
      <c r="AR9" s="89"/>
      <c r="AS9" s="113"/>
      <c r="AT9" s="113"/>
    </row>
    <row r="10" ht="15.0" customHeight="1">
      <c r="A10" s="83">
        <f t="shared" si="1"/>
        <v>6</v>
      </c>
      <c r="B10" s="117" t="str">
        <f t="shared" si="2"/>
        <v>ARM-0006</v>
      </c>
      <c r="C10" s="118" t="s">
        <v>233</v>
      </c>
      <c r="D10" s="79" t="s">
        <v>234</v>
      </c>
      <c r="E10" s="79"/>
      <c r="F10" s="79" t="s">
        <v>235</v>
      </c>
      <c r="G10" s="79" t="s">
        <v>193</v>
      </c>
      <c r="H10" s="119" t="s">
        <v>211</v>
      </c>
      <c r="I10" s="121">
        <v>3.0</v>
      </c>
      <c r="J10" s="121">
        <v>2.0</v>
      </c>
      <c r="K10" s="119" t="s">
        <v>194</v>
      </c>
      <c r="L10" s="119" t="s">
        <v>221</v>
      </c>
      <c r="M10" s="119">
        <f>IFERROR(VLOOKUP(L10, '4_Produk'!C:E, 2, FALSE()), "")</f>
        <v>20</v>
      </c>
      <c r="N10" s="119">
        <f>IFERROR(VLOOKUP(L10, '4_Produk'!C:E, 3, FALSE()), "")</f>
        <v>115000</v>
      </c>
      <c r="O10" s="119" t="s">
        <v>236</v>
      </c>
      <c r="P10" s="119" t="s">
        <v>237</v>
      </c>
      <c r="Q10" s="119" t="s">
        <v>238</v>
      </c>
      <c r="R10" s="119"/>
      <c r="S10" s="120">
        <v>46096.0</v>
      </c>
      <c r="T10" s="119">
        <v>50.0</v>
      </c>
      <c r="U10" s="119" t="s">
        <v>239</v>
      </c>
      <c r="V10" s="119"/>
      <c r="W10" s="114" t="s">
        <v>199</v>
      </c>
      <c r="X10" s="121"/>
      <c r="Y10" s="121"/>
      <c r="Z10" s="107" t="str">
        <f t="shared" si="3"/>
        <v>Chat WA</v>
      </c>
      <c r="AA10" s="107" t="str">
        <f t="shared" si="4"/>
        <v>Chat WA</v>
      </c>
      <c r="AB10" s="107" t="str">
        <f t="shared" si="5"/>
        <v>Kirim Invoice</v>
      </c>
      <c r="AC10" s="107" t="str">
        <f t="shared" si="6"/>
        <v>Chat WA</v>
      </c>
      <c r="AD10" s="108" t="str">
        <f>IFERROR(VLOOKUP($Q10,'12_ONT_NEW'!$D:$G,4,FALSE()),"")</f>
        <v/>
      </c>
      <c r="AE10" s="108"/>
      <c r="AF10" s="109"/>
      <c r="AG10" s="109"/>
      <c r="AH10" s="110">
        <f t="shared" si="7"/>
        <v>46218</v>
      </c>
      <c r="AI10" s="107" t="str">
        <f t="shared" si="8"/>
        <v>Kirim WA</v>
      </c>
      <c r="AJ10" s="107" t="str">
        <f t="shared" si="9"/>
        <v>Kirim WA</v>
      </c>
      <c r="AK10" s="107" t="str">
        <f t="shared" si="10"/>
        <v>Kirim WA</v>
      </c>
      <c r="AL10" s="111">
        <f t="shared" si="11"/>
        <v>57500</v>
      </c>
      <c r="AM10" s="107" t="str">
        <f t="shared" si="12"/>
        <v>Kirim Invoice</v>
      </c>
      <c r="AN10" s="89"/>
      <c r="AO10" s="89"/>
      <c r="AP10" s="112" t="str">
        <f t="shared" si="13"/>
        <v>2M_UP</v>
      </c>
      <c r="AQ10" s="89">
        <v>1521.0</v>
      </c>
      <c r="AR10" s="89"/>
      <c r="AS10" s="113"/>
      <c r="AT10" s="113"/>
    </row>
    <row r="11" ht="15.0" customHeight="1">
      <c r="A11" s="83">
        <f t="shared" si="1"/>
        <v>7</v>
      </c>
      <c r="B11" s="122" t="str">
        <f t="shared" si="2"/>
        <v>ARM-0007</v>
      </c>
      <c r="C11" s="123" t="s">
        <v>240</v>
      </c>
      <c r="D11" s="83" t="s">
        <v>241</v>
      </c>
      <c r="E11" s="83"/>
      <c r="F11" s="83">
        <v>8.21058526071E11</v>
      </c>
      <c r="G11" s="83" t="s">
        <v>193</v>
      </c>
      <c r="H11" s="73" t="s">
        <v>211</v>
      </c>
      <c r="I11" s="121">
        <v>3.0</v>
      </c>
      <c r="J11" s="121">
        <v>2.0</v>
      </c>
      <c r="K11" s="73" t="s">
        <v>194</v>
      </c>
      <c r="L11" s="73" t="s">
        <v>221</v>
      </c>
      <c r="M11" s="73">
        <f>IFERROR(VLOOKUP(L11, '4_Produk'!C:E, 2, FALSE()), "")</f>
        <v>20</v>
      </c>
      <c r="N11" s="73">
        <f>IFERROR(VLOOKUP(L11, '4_Produk'!C:E, 3, FALSE()), "")</f>
        <v>115000</v>
      </c>
      <c r="O11" s="73" t="s">
        <v>242</v>
      </c>
      <c r="P11" s="73" t="s">
        <v>243</v>
      </c>
      <c r="Q11" s="73" t="s">
        <v>244</v>
      </c>
      <c r="R11" s="73"/>
      <c r="S11" s="124">
        <v>46096.0</v>
      </c>
      <c r="T11" s="73">
        <v>30.0</v>
      </c>
      <c r="U11" s="73" t="s">
        <v>245</v>
      </c>
      <c r="V11" s="73"/>
      <c r="W11" s="114" t="s">
        <v>199</v>
      </c>
      <c r="X11" s="121"/>
      <c r="Y11" s="121"/>
      <c r="Z11" s="107" t="str">
        <f t="shared" si="3"/>
        <v>Chat WA</v>
      </c>
      <c r="AA11" s="107" t="str">
        <f t="shared" si="4"/>
        <v>Chat WA</v>
      </c>
      <c r="AB11" s="107" t="str">
        <f t="shared" si="5"/>
        <v>Kirim Invoice</v>
      </c>
      <c r="AC11" s="107" t="str">
        <f t="shared" si="6"/>
        <v>Chat WA</v>
      </c>
      <c r="AD11" s="108" t="str">
        <f>IFERROR(VLOOKUP($Q11,'12_ONT_NEW'!$D:$G,4,FALSE()),"")</f>
        <v/>
      </c>
      <c r="AE11" s="108"/>
      <c r="AF11" s="109"/>
      <c r="AG11" s="109"/>
      <c r="AH11" s="110">
        <f t="shared" si="7"/>
        <v>46218</v>
      </c>
      <c r="AI11" s="107" t="str">
        <f t="shared" si="8"/>
        <v>Kirim WA</v>
      </c>
      <c r="AJ11" s="107" t="str">
        <f t="shared" si="9"/>
        <v>Kirim WA</v>
      </c>
      <c r="AK11" s="107" t="str">
        <f t="shared" si="10"/>
        <v>Kirim WA</v>
      </c>
      <c r="AL11" s="111">
        <f t="shared" si="11"/>
        <v>57500</v>
      </c>
      <c r="AM11" s="107" t="str">
        <f t="shared" si="12"/>
        <v>Kirim Invoice</v>
      </c>
      <c r="AN11" s="89"/>
      <c r="AO11" s="89"/>
      <c r="AP11" s="112" t="str">
        <f t="shared" si="13"/>
        <v>2M_UP</v>
      </c>
      <c r="AQ11" s="89">
        <v>1521.0</v>
      </c>
      <c r="AR11" s="89"/>
      <c r="AS11" s="113"/>
      <c r="AT11" s="113"/>
    </row>
    <row r="12" ht="15.0" customHeight="1">
      <c r="A12" s="79">
        <f t="shared" si="1"/>
        <v>8</v>
      </c>
      <c r="B12" s="117" t="str">
        <f t="shared" si="2"/>
        <v>ARM-0008</v>
      </c>
      <c r="C12" s="118" t="s">
        <v>246</v>
      </c>
      <c r="D12" s="79" t="s">
        <v>247</v>
      </c>
      <c r="E12" s="79" t="s">
        <v>248</v>
      </c>
      <c r="F12" s="79" t="s">
        <v>249</v>
      </c>
      <c r="G12" s="79" t="s">
        <v>193</v>
      </c>
      <c r="H12" s="119" t="s">
        <v>211</v>
      </c>
      <c r="I12" s="119">
        <v>3.0</v>
      </c>
      <c r="J12" s="119">
        <v>3.0</v>
      </c>
      <c r="K12" s="119" t="s">
        <v>194</v>
      </c>
      <c r="L12" s="119" t="s">
        <v>221</v>
      </c>
      <c r="M12" s="119">
        <f>IFERROR(VLOOKUP(L12, '4_Produk'!C:E, 2, FALSE()), "")</f>
        <v>20</v>
      </c>
      <c r="N12" s="119">
        <f>IFERROR(VLOOKUP(L12, '4_Produk'!C:E, 3, FALSE()), "")</f>
        <v>115000</v>
      </c>
      <c r="O12" s="119" t="s">
        <v>250</v>
      </c>
      <c r="P12" s="119" t="s">
        <v>251</v>
      </c>
      <c r="Q12" s="119" t="s">
        <v>252</v>
      </c>
      <c r="R12" s="119"/>
      <c r="S12" s="120">
        <v>46096.0</v>
      </c>
      <c r="T12" s="119">
        <v>20.0</v>
      </c>
      <c r="U12" s="119" t="s">
        <v>253</v>
      </c>
      <c r="V12" s="119"/>
      <c r="W12" s="114" t="s">
        <v>199</v>
      </c>
      <c r="X12" s="121"/>
      <c r="Y12" s="121"/>
      <c r="Z12" s="107" t="str">
        <f t="shared" si="3"/>
        <v>Chat WA</v>
      </c>
      <c r="AA12" s="107" t="str">
        <f t="shared" si="4"/>
        <v>Chat WA</v>
      </c>
      <c r="AB12" s="107" t="str">
        <f t="shared" si="5"/>
        <v>Kirim Invoice</v>
      </c>
      <c r="AC12" s="107" t="str">
        <f t="shared" si="6"/>
        <v>Chat WA</v>
      </c>
      <c r="AD12" s="108" t="str">
        <f>IFERROR(VLOOKUP($Q12,'12_ONT_NEW'!$D:$G,4,FALSE()),"")</f>
        <v/>
      </c>
      <c r="AE12" s="108"/>
      <c r="AF12" s="109"/>
      <c r="AG12" s="109"/>
      <c r="AH12" s="110">
        <f t="shared" si="7"/>
        <v>46218</v>
      </c>
      <c r="AI12" s="107" t="str">
        <f t="shared" si="8"/>
        <v>Kirim WA</v>
      </c>
      <c r="AJ12" s="107" t="str">
        <f t="shared" si="9"/>
        <v>Kirim WA</v>
      </c>
      <c r="AK12" s="107" t="str">
        <f t="shared" si="10"/>
        <v>Kirim WA</v>
      </c>
      <c r="AL12" s="111">
        <f t="shared" si="11"/>
        <v>57500</v>
      </c>
      <c r="AM12" s="107" t="str">
        <f t="shared" si="12"/>
        <v>Kirim Invoice</v>
      </c>
      <c r="AN12" s="89"/>
      <c r="AO12" s="89"/>
      <c r="AP12" s="112" t="str">
        <f t="shared" si="13"/>
        <v>2M_UP</v>
      </c>
      <c r="AQ12" s="89">
        <v>1521.0</v>
      </c>
      <c r="AR12" s="89"/>
      <c r="AS12" s="113"/>
      <c r="AT12" s="113"/>
    </row>
    <row r="13" ht="15.0" customHeight="1">
      <c r="A13" s="83">
        <f t="shared" si="1"/>
        <v>9</v>
      </c>
      <c r="B13" s="122" t="str">
        <f t="shared" si="2"/>
        <v>ARM-0009</v>
      </c>
      <c r="C13" s="123" t="s">
        <v>254</v>
      </c>
      <c r="D13" s="83" t="s">
        <v>255</v>
      </c>
      <c r="E13" s="83" t="s">
        <v>256</v>
      </c>
      <c r="F13" s="83" t="s">
        <v>257</v>
      </c>
      <c r="G13" s="83" t="s">
        <v>193</v>
      </c>
      <c r="H13" s="73" t="s">
        <v>211</v>
      </c>
      <c r="I13" s="73">
        <v>3.0</v>
      </c>
      <c r="J13" s="73">
        <v>2.0</v>
      </c>
      <c r="K13" s="73" t="s">
        <v>194</v>
      </c>
      <c r="L13" s="73" t="s">
        <v>221</v>
      </c>
      <c r="M13" s="73">
        <f>IFERROR(VLOOKUP(L13, '4_Produk'!C:E, 2, FALSE()), "")</f>
        <v>20</v>
      </c>
      <c r="N13" s="73">
        <f>IFERROR(VLOOKUP(L13, '4_Produk'!C:E, 3, FALSE()), "")</f>
        <v>115000</v>
      </c>
      <c r="O13" s="73" t="s">
        <v>258</v>
      </c>
      <c r="P13" s="73" t="s">
        <v>259</v>
      </c>
      <c r="Q13" s="73" t="s">
        <v>260</v>
      </c>
      <c r="R13" s="73"/>
      <c r="S13" s="124">
        <v>46096.0</v>
      </c>
      <c r="T13" s="73">
        <v>21.0</v>
      </c>
      <c r="U13" s="73" t="s">
        <v>261</v>
      </c>
      <c r="V13" s="73"/>
      <c r="W13" s="114" t="s">
        <v>199</v>
      </c>
      <c r="X13" s="121"/>
      <c r="Y13" s="121"/>
      <c r="Z13" s="107" t="str">
        <f t="shared" si="3"/>
        <v>Chat WA</v>
      </c>
      <c r="AA13" s="107" t="str">
        <f t="shared" si="4"/>
        <v>Chat WA</v>
      </c>
      <c r="AB13" s="107" t="str">
        <f t="shared" si="5"/>
        <v>Kirim Invoice</v>
      </c>
      <c r="AC13" s="107" t="str">
        <f t="shared" si="6"/>
        <v>Chat WA</v>
      </c>
      <c r="AD13" s="108" t="str">
        <f>IFERROR(VLOOKUP($Q13,'12_ONT_NEW'!$D:$G,4,FALSE()),"")</f>
        <v/>
      </c>
      <c r="AE13" s="108"/>
      <c r="AF13" s="109"/>
      <c r="AG13" s="109"/>
      <c r="AH13" s="110">
        <f t="shared" si="7"/>
        <v>46218</v>
      </c>
      <c r="AI13" s="107" t="str">
        <f t="shared" si="8"/>
        <v>Kirim WA</v>
      </c>
      <c r="AJ13" s="107" t="str">
        <f t="shared" si="9"/>
        <v>Kirim WA</v>
      </c>
      <c r="AK13" s="107" t="str">
        <f t="shared" si="10"/>
        <v>Kirim WA</v>
      </c>
      <c r="AL13" s="111">
        <f t="shared" si="11"/>
        <v>57500</v>
      </c>
      <c r="AM13" s="107" t="str">
        <f t="shared" si="12"/>
        <v>Kirim Invoice</v>
      </c>
      <c r="AN13" s="89"/>
      <c r="AO13" s="89"/>
      <c r="AP13" s="112" t="str">
        <f t="shared" si="13"/>
        <v>2M_UP</v>
      </c>
      <c r="AQ13" s="89">
        <v>1521.0</v>
      </c>
      <c r="AR13" s="89"/>
      <c r="AS13" s="113"/>
      <c r="AT13" s="113"/>
    </row>
    <row r="14" ht="15.0" customHeight="1">
      <c r="A14" s="83">
        <f t="shared" si="1"/>
        <v>10</v>
      </c>
      <c r="B14" s="117" t="str">
        <f t="shared" si="2"/>
        <v>ARM-0010</v>
      </c>
      <c r="C14" s="118" t="s">
        <v>262</v>
      </c>
      <c r="D14" s="79" t="s">
        <v>263</v>
      </c>
      <c r="E14" s="79" t="s">
        <v>264</v>
      </c>
      <c r="F14" s="79" t="s">
        <v>265</v>
      </c>
      <c r="G14" s="79" t="s">
        <v>193</v>
      </c>
      <c r="H14" s="119" t="s">
        <v>266</v>
      </c>
      <c r="I14" s="119">
        <v>3.0</v>
      </c>
      <c r="J14" s="119">
        <v>2.0</v>
      </c>
      <c r="K14" s="119" t="s">
        <v>194</v>
      </c>
      <c r="L14" s="119" t="s">
        <v>221</v>
      </c>
      <c r="M14" s="119">
        <f>IFERROR(VLOOKUP(L14, '4_Produk'!C:E, 2, FALSE()), "")</f>
        <v>20</v>
      </c>
      <c r="N14" s="119">
        <f>IFERROR(VLOOKUP(L14, '4_Produk'!C:E, 3, FALSE()), "")</f>
        <v>115000</v>
      </c>
      <c r="O14" s="119" t="s">
        <v>267</v>
      </c>
      <c r="P14" s="119" t="s">
        <v>268</v>
      </c>
      <c r="Q14" s="119" t="s">
        <v>269</v>
      </c>
      <c r="R14" s="119"/>
      <c r="S14" s="120">
        <v>46096.0</v>
      </c>
      <c r="T14" s="119">
        <v>20.0</v>
      </c>
      <c r="U14" s="119" t="s">
        <v>270</v>
      </c>
      <c r="V14" s="119"/>
      <c r="W14" s="114" t="s">
        <v>199</v>
      </c>
      <c r="X14" s="121"/>
      <c r="Y14" s="121"/>
      <c r="Z14" s="107" t="str">
        <f t="shared" si="3"/>
        <v>Chat WA</v>
      </c>
      <c r="AA14" s="107" t="str">
        <f t="shared" si="4"/>
        <v>Chat WA</v>
      </c>
      <c r="AB14" s="107" t="str">
        <f t="shared" si="5"/>
        <v>Kirim Invoice</v>
      </c>
      <c r="AC14" s="107" t="str">
        <f t="shared" si="6"/>
        <v>Chat WA</v>
      </c>
      <c r="AD14" s="108" t="str">
        <f>IFERROR(VLOOKUP($Q14,'12_ONT_NEW'!$D:$G,4,FALSE()),"")</f>
        <v/>
      </c>
      <c r="AE14" s="108"/>
      <c r="AF14" s="109"/>
      <c r="AG14" s="109"/>
      <c r="AH14" s="110">
        <f t="shared" si="7"/>
        <v>46218</v>
      </c>
      <c r="AI14" s="107" t="str">
        <f t="shared" si="8"/>
        <v>Kirim WA</v>
      </c>
      <c r="AJ14" s="107" t="str">
        <f t="shared" si="9"/>
        <v>Kirim WA</v>
      </c>
      <c r="AK14" s="107" t="str">
        <f t="shared" si="10"/>
        <v>Kirim WA</v>
      </c>
      <c r="AL14" s="111">
        <f t="shared" si="11"/>
        <v>57500</v>
      </c>
      <c r="AM14" s="107" t="str">
        <f t="shared" si="12"/>
        <v>Kirim Invoice</v>
      </c>
      <c r="AN14" s="89"/>
      <c r="AO14" s="89"/>
      <c r="AP14" s="112" t="str">
        <f t="shared" si="13"/>
        <v>2M_UP</v>
      </c>
      <c r="AQ14" s="89">
        <v>1521.0</v>
      </c>
      <c r="AR14" s="89"/>
      <c r="AS14" s="113"/>
      <c r="AT14" s="113"/>
    </row>
    <row r="15" ht="15.0" customHeight="1">
      <c r="A15" s="79">
        <f t="shared" si="1"/>
        <v>11</v>
      </c>
      <c r="B15" s="122" t="str">
        <f t="shared" si="2"/>
        <v>ARM-0011</v>
      </c>
      <c r="C15" s="123" t="s">
        <v>271</v>
      </c>
      <c r="D15" s="83" t="s">
        <v>272</v>
      </c>
      <c r="E15" s="83"/>
      <c r="F15" s="83" t="s">
        <v>273</v>
      </c>
      <c r="G15" s="83" t="s">
        <v>193</v>
      </c>
      <c r="H15" s="73" t="s">
        <v>211</v>
      </c>
      <c r="I15" s="121"/>
      <c r="J15" s="121"/>
      <c r="K15" s="73" t="s">
        <v>194</v>
      </c>
      <c r="L15" s="73" t="s">
        <v>221</v>
      </c>
      <c r="M15" s="73">
        <f>IFERROR(VLOOKUP(L15, '4_Produk'!C:E, 2, FALSE()), "")</f>
        <v>20</v>
      </c>
      <c r="N15" s="73">
        <f>IFERROR(VLOOKUP(L15, '4_Produk'!C:E, 3, FALSE()), "")</f>
        <v>115000</v>
      </c>
      <c r="O15" s="73" t="s">
        <v>274</v>
      </c>
      <c r="P15" s="73" t="s">
        <v>275</v>
      </c>
      <c r="Q15" s="73" t="s">
        <v>276</v>
      </c>
      <c r="R15" s="73"/>
      <c r="S15" s="124">
        <v>46096.0</v>
      </c>
      <c r="T15" s="73">
        <v>140.0</v>
      </c>
      <c r="U15" s="73" t="s">
        <v>277</v>
      </c>
      <c r="V15" s="73"/>
      <c r="W15" s="114" t="s">
        <v>199</v>
      </c>
      <c r="X15" s="121"/>
      <c r="Y15" s="121"/>
      <c r="Z15" s="107" t="str">
        <f t="shared" si="3"/>
        <v>Chat WA</v>
      </c>
      <c r="AA15" s="107" t="str">
        <f t="shared" si="4"/>
        <v>Chat WA</v>
      </c>
      <c r="AB15" s="107" t="str">
        <f t="shared" si="5"/>
        <v>Kirim Invoice</v>
      </c>
      <c r="AC15" s="107" t="str">
        <f t="shared" si="6"/>
        <v>Chat WA</v>
      </c>
      <c r="AD15" s="108" t="str">
        <f>IFERROR(VLOOKUP($Q15,'12_ONT_NEW'!$D:$G,4,FALSE()),"")</f>
        <v/>
      </c>
      <c r="AE15" s="108"/>
      <c r="AF15" s="109"/>
      <c r="AG15" s="109"/>
      <c r="AH15" s="110">
        <f t="shared" si="7"/>
        <v>46218</v>
      </c>
      <c r="AI15" s="107" t="str">
        <f t="shared" si="8"/>
        <v>Kirim WA</v>
      </c>
      <c r="AJ15" s="107" t="str">
        <f t="shared" si="9"/>
        <v>Kirim WA</v>
      </c>
      <c r="AK15" s="107" t="str">
        <f t="shared" si="10"/>
        <v>Kirim WA</v>
      </c>
      <c r="AL15" s="111">
        <f t="shared" si="11"/>
        <v>57500</v>
      </c>
      <c r="AM15" s="107" t="str">
        <f t="shared" si="12"/>
        <v>Kirim Invoice</v>
      </c>
      <c r="AN15" s="89"/>
      <c r="AO15" s="89"/>
      <c r="AP15" s="112" t="str">
        <f t="shared" si="13"/>
        <v>2M_UP</v>
      </c>
      <c r="AQ15" s="89">
        <v>1521.0</v>
      </c>
      <c r="AR15" s="89"/>
      <c r="AS15" s="113"/>
      <c r="AT15" s="113"/>
    </row>
    <row r="16" ht="15.0" customHeight="1">
      <c r="A16" s="83">
        <f t="shared" si="1"/>
        <v>12</v>
      </c>
      <c r="B16" s="117" t="str">
        <f t="shared" si="2"/>
        <v>ARM-0012</v>
      </c>
      <c r="C16" s="118" t="s">
        <v>278</v>
      </c>
      <c r="D16" s="79" t="s">
        <v>279</v>
      </c>
      <c r="E16" s="79"/>
      <c r="F16" s="79" t="s">
        <v>280</v>
      </c>
      <c r="G16" s="79" t="s">
        <v>193</v>
      </c>
      <c r="H16" s="119" t="s">
        <v>211</v>
      </c>
      <c r="I16" s="121">
        <v>4.0</v>
      </c>
      <c r="J16" s="121">
        <v>3.0</v>
      </c>
      <c r="K16" s="119" t="s">
        <v>194</v>
      </c>
      <c r="L16" s="119" t="s">
        <v>221</v>
      </c>
      <c r="M16" s="119">
        <f>IFERROR(VLOOKUP(L16, '4_Produk'!C:E, 2, FALSE()), "")</f>
        <v>20</v>
      </c>
      <c r="N16" s="119">
        <f>IFERROR(VLOOKUP(L16, '4_Produk'!C:E, 3, FALSE()), "")</f>
        <v>115000</v>
      </c>
      <c r="O16" s="119" t="s">
        <v>281</v>
      </c>
      <c r="P16" s="119" t="s">
        <v>282</v>
      </c>
      <c r="Q16" s="119" t="s">
        <v>283</v>
      </c>
      <c r="R16" s="119"/>
      <c r="S16" s="120">
        <v>46096.0</v>
      </c>
      <c r="T16" s="119">
        <v>140.0</v>
      </c>
      <c r="U16" s="119" t="s">
        <v>284</v>
      </c>
      <c r="V16" s="119"/>
      <c r="W16" s="114" t="s">
        <v>199</v>
      </c>
      <c r="X16" s="121"/>
      <c r="Y16" s="121"/>
      <c r="Z16" s="107" t="str">
        <f t="shared" si="3"/>
        <v>Chat WA</v>
      </c>
      <c r="AA16" s="107" t="str">
        <f t="shared" si="4"/>
        <v>Chat WA</v>
      </c>
      <c r="AB16" s="107" t="str">
        <f t="shared" si="5"/>
        <v>Kirim Invoice</v>
      </c>
      <c r="AC16" s="107" t="str">
        <f t="shared" si="6"/>
        <v>Chat WA</v>
      </c>
      <c r="AD16" s="108" t="str">
        <f>IFERROR(VLOOKUP($Q16,'12_ONT_NEW'!$D:$G,4,FALSE()),"")</f>
        <v/>
      </c>
      <c r="AE16" s="108"/>
      <c r="AF16" s="109"/>
      <c r="AG16" s="109"/>
      <c r="AH16" s="110">
        <f t="shared" si="7"/>
        <v>46218</v>
      </c>
      <c r="AI16" s="107" t="str">
        <f t="shared" si="8"/>
        <v>Kirim WA</v>
      </c>
      <c r="AJ16" s="107" t="str">
        <f t="shared" si="9"/>
        <v>Kirim WA</v>
      </c>
      <c r="AK16" s="107" t="str">
        <f t="shared" si="10"/>
        <v>Kirim WA</v>
      </c>
      <c r="AL16" s="111">
        <f t="shared" si="11"/>
        <v>57500</v>
      </c>
      <c r="AM16" s="107" t="str">
        <f t="shared" si="12"/>
        <v>Kirim Invoice</v>
      </c>
      <c r="AN16" s="89"/>
      <c r="AO16" s="89"/>
      <c r="AP16" s="112" t="str">
        <f t="shared" si="13"/>
        <v>2M_UP</v>
      </c>
      <c r="AQ16" s="89">
        <v>1521.0</v>
      </c>
      <c r="AR16" s="89"/>
      <c r="AS16" s="113"/>
      <c r="AT16" s="113"/>
    </row>
    <row r="17" ht="15.0" customHeight="1">
      <c r="A17" s="83">
        <f t="shared" si="1"/>
        <v>13</v>
      </c>
      <c r="B17" s="122" t="str">
        <f t="shared" si="2"/>
        <v>ARM-0013</v>
      </c>
      <c r="C17" s="123" t="s">
        <v>285</v>
      </c>
      <c r="D17" s="83" t="s">
        <v>286</v>
      </c>
      <c r="E17" s="83" t="s">
        <v>287</v>
      </c>
      <c r="F17" s="83" t="s">
        <v>288</v>
      </c>
      <c r="G17" s="83" t="s">
        <v>193</v>
      </c>
      <c r="H17" s="73" t="s">
        <v>266</v>
      </c>
      <c r="I17" s="73">
        <v>4.0</v>
      </c>
      <c r="J17" s="73">
        <v>3.0</v>
      </c>
      <c r="K17" s="73" t="s">
        <v>194</v>
      </c>
      <c r="L17" s="73" t="s">
        <v>221</v>
      </c>
      <c r="M17" s="73">
        <f>IFERROR(VLOOKUP(L17, '4_Produk'!C:E, 2, FALSE()), "")</f>
        <v>20</v>
      </c>
      <c r="N17" s="73">
        <f>IFERROR(VLOOKUP(L17, '4_Produk'!C:E, 3, FALSE()), "")</f>
        <v>115000</v>
      </c>
      <c r="O17" s="73" t="s">
        <v>289</v>
      </c>
      <c r="P17" s="73" t="s">
        <v>290</v>
      </c>
      <c r="Q17" s="73" t="s">
        <v>291</v>
      </c>
      <c r="R17" s="73"/>
      <c r="S17" s="124">
        <v>46096.0</v>
      </c>
      <c r="T17" s="73">
        <v>70.0</v>
      </c>
      <c r="U17" s="73" t="s">
        <v>292</v>
      </c>
      <c r="V17" s="73"/>
      <c r="W17" s="114" t="s">
        <v>199</v>
      </c>
      <c r="X17" s="121"/>
      <c r="Y17" s="121"/>
      <c r="Z17" s="107" t="str">
        <f t="shared" si="3"/>
        <v>Chat WA</v>
      </c>
      <c r="AA17" s="107" t="str">
        <f t="shared" si="4"/>
        <v>Chat WA</v>
      </c>
      <c r="AB17" s="107" t="str">
        <f t="shared" si="5"/>
        <v>Kirim Invoice</v>
      </c>
      <c r="AC17" s="107" t="str">
        <f t="shared" si="6"/>
        <v>Chat WA</v>
      </c>
      <c r="AD17" s="108" t="str">
        <f>IFERROR(VLOOKUP($Q17,'12_ONT_NEW'!$D:$G,4,FALSE()),"")</f>
        <v/>
      </c>
      <c r="AE17" s="108"/>
      <c r="AF17" s="109"/>
      <c r="AG17" s="109"/>
      <c r="AH17" s="110">
        <f t="shared" si="7"/>
        <v>46218</v>
      </c>
      <c r="AI17" s="107" t="str">
        <f t="shared" si="8"/>
        <v>Kirim WA</v>
      </c>
      <c r="AJ17" s="107" t="str">
        <f t="shared" si="9"/>
        <v>Kirim WA</v>
      </c>
      <c r="AK17" s="107" t="str">
        <f t="shared" si="10"/>
        <v>Kirim WA</v>
      </c>
      <c r="AL17" s="111">
        <f t="shared" si="11"/>
        <v>57500</v>
      </c>
      <c r="AM17" s="107" t="str">
        <f t="shared" si="12"/>
        <v>Kirim Invoice</v>
      </c>
      <c r="AN17" s="89"/>
      <c r="AO17" s="89"/>
      <c r="AP17" s="112" t="str">
        <f t="shared" si="13"/>
        <v>2M_UP</v>
      </c>
      <c r="AQ17" s="89">
        <v>1521.0</v>
      </c>
      <c r="AR17" s="89"/>
      <c r="AS17" s="113"/>
      <c r="AT17" s="113"/>
    </row>
    <row r="18" ht="15.0" customHeight="1">
      <c r="A18" s="79">
        <f t="shared" si="1"/>
        <v>14</v>
      </c>
      <c r="B18" s="117" t="str">
        <f t="shared" si="2"/>
        <v>ARM-0014</v>
      </c>
      <c r="C18" s="118" t="s">
        <v>293</v>
      </c>
      <c r="D18" s="79" t="s">
        <v>294</v>
      </c>
      <c r="E18" s="79" t="s">
        <v>295</v>
      </c>
      <c r="F18" s="79" t="s">
        <v>296</v>
      </c>
      <c r="G18" s="79" t="s">
        <v>193</v>
      </c>
      <c r="H18" s="119" t="s">
        <v>211</v>
      </c>
      <c r="I18" s="119">
        <v>4.0</v>
      </c>
      <c r="J18" s="119">
        <v>3.0</v>
      </c>
      <c r="K18" s="119" t="s">
        <v>194</v>
      </c>
      <c r="L18" s="119" t="s">
        <v>221</v>
      </c>
      <c r="M18" s="119">
        <f>IFERROR(VLOOKUP(L18, '4_Produk'!C:E, 2, FALSE()), "")</f>
        <v>20</v>
      </c>
      <c r="N18" s="119">
        <f>IFERROR(VLOOKUP(L18, '4_Produk'!C:E, 3, FALSE()), "")</f>
        <v>115000</v>
      </c>
      <c r="O18" s="119" t="s">
        <v>297</v>
      </c>
      <c r="P18" s="119" t="s">
        <v>298</v>
      </c>
      <c r="Q18" s="119" t="s">
        <v>299</v>
      </c>
      <c r="R18" s="119"/>
      <c r="S18" s="120">
        <v>46096.0</v>
      </c>
      <c r="T18" s="119">
        <v>100.0</v>
      </c>
      <c r="U18" s="119" t="s">
        <v>300</v>
      </c>
      <c r="V18" s="119"/>
      <c r="W18" s="114" t="s">
        <v>199</v>
      </c>
      <c r="X18" s="121"/>
      <c r="Y18" s="121"/>
      <c r="Z18" s="107" t="str">
        <f t="shared" si="3"/>
        <v>Chat WA</v>
      </c>
      <c r="AA18" s="107" t="str">
        <f t="shared" si="4"/>
        <v>Chat WA</v>
      </c>
      <c r="AB18" s="107" t="str">
        <f t="shared" si="5"/>
        <v>Kirim Invoice</v>
      </c>
      <c r="AC18" s="107" t="str">
        <f t="shared" si="6"/>
        <v>Chat WA</v>
      </c>
      <c r="AD18" s="108" t="str">
        <f>IFERROR(VLOOKUP($Q18,'12_ONT_NEW'!$D:$G,4,FALSE()),"")</f>
        <v/>
      </c>
      <c r="AE18" s="108"/>
      <c r="AF18" s="109"/>
      <c r="AG18" s="109"/>
      <c r="AH18" s="110">
        <f t="shared" si="7"/>
        <v>46218</v>
      </c>
      <c r="AI18" s="107" t="str">
        <f t="shared" si="8"/>
        <v>Kirim WA</v>
      </c>
      <c r="AJ18" s="107" t="str">
        <f t="shared" si="9"/>
        <v>Kirim WA</v>
      </c>
      <c r="AK18" s="107" t="str">
        <f t="shared" si="10"/>
        <v>Kirim WA</v>
      </c>
      <c r="AL18" s="111">
        <f t="shared" si="11"/>
        <v>57500</v>
      </c>
      <c r="AM18" s="107" t="str">
        <f t="shared" si="12"/>
        <v>Kirim Invoice</v>
      </c>
      <c r="AN18" s="89"/>
      <c r="AO18" s="89"/>
      <c r="AP18" s="112" t="str">
        <f t="shared" si="13"/>
        <v>2M_UP</v>
      </c>
      <c r="AQ18" s="89">
        <v>1521.0</v>
      </c>
      <c r="AR18" s="89"/>
      <c r="AS18" s="113"/>
      <c r="AT18" s="113"/>
    </row>
    <row r="19" ht="15.0" customHeight="1">
      <c r="A19" s="83">
        <f t="shared" si="1"/>
        <v>15</v>
      </c>
      <c r="B19" s="122" t="str">
        <f t="shared" si="2"/>
        <v>ARM-0015</v>
      </c>
      <c r="C19" s="123" t="s">
        <v>301</v>
      </c>
      <c r="D19" s="83" t="s">
        <v>302</v>
      </c>
      <c r="E19" s="83" t="s">
        <v>303</v>
      </c>
      <c r="F19" s="83" t="s">
        <v>304</v>
      </c>
      <c r="G19" s="83" t="s">
        <v>193</v>
      </c>
      <c r="H19" s="73" t="s">
        <v>211</v>
      </c>
      <c r="I19" s="73">
        <v>4.0</v>
      </c>
      <c r="J19" s="73">
        <v>3.0</v>
      </c>
      <c r="K19" s="73" t="s">
        <v>194</v>
      </c>
      <c r="L19" s="73" t="s">
        <v>221</v>
      </c>
      <c r="M19" s="73">
        <f>IFERROR(VLOOKUP(L19, '4_Produk'!C:E, 2, FALSE()), "")</f>
        <v>20</v>
      </c>
      <c r="N19" s="73">
        <f>IFERROR(VLOOKUP(L19, '4_Produk'!C:E, 3, FALSE()), "")</f>
        <v>115000</v>
      </c>
      <c r="O19" s="73" t="s">
        <v>305</v>
      </c>
      <c r="P19" s="73" t="s">
        <v>306</v>
      </c>
      <c r="Q19" s="73" t="s">
        <v>307</v>
      </c>
      <c r="R19" s="73"/>
      <c r="S19" s="124">
        <v>46096.0</v>
      </c>
      <c r="T19" s="73">
        <v>180.0</v>
      </c>
      <c r="U19" s="73" t="s">
        <v>308</v>
      </c>
      <c r="V19" s="73"/>
      <c r="W19" s="114" t="s">
        <v>199</v>
      </c>
      <c r="X19" s="121"/>
      <c r="Y19" s="121"/>
      <c r="Z19" s="107" t="str">
        <f t="shared" si="3"/>
        <v>Chat WA</v>
      </c>
      <c r="AA19" s="107" t="str">
        <f t="shared" si="4"/>
        <v>Chat WA</v>
      </c>
      <c r="AB19" s="107" t="str">
        <f t="shared" si="5"/>
        <v>Kirim Invoice</v>
      </c>
      <c r="AC19" s="107" t="str">
        <f t="shared" si="6"/>
        <v>Chat WA</v>
      </c>
      <c r="AD19" s="108" t="str">
        <f>IFERROR(VLOOKUP($Q19,'12_ONT_NEW'!$D:$G,4,FALSE()),"")</f>
        <v>5i952g_2.4G</v>
      </c>
      <c r="AE19" s="108"/>
      <c r="AF19" s="109"/>
      <c r="AG19" s="109"/>
      <c r="AH19" s="110">
        <f t="shared" si="7"/>
        <v>46218</v>
      </c>
      <c r="AI19" s="107" t="str">
        <f t="shared" si="8"/>
        <v>Kirim WA</v>
      </c>
      <c r="AJ19" s="107" t="str">
        <f t="shared" si="9"/>
        <v>Kirim WA</v>
      </c>
      <c r="AK19" s="107" t="str">
        <f t="shared" si="10"/>
        <v>Kirim WA</v>
      </c>
      <c r="AL19" s="111">
        <f t="shared" si="11"/>
        <v>57500</v>
      </c>
      <c r="AM19" s="107" t="str">
        <f t="shared" si="12"/>
        <v>Kirim Invoice</v>
      </c>
      <c r="AN19" s="89"/>
      <c r="AO19" s="89"/>
      <c r="AP19" s="112" t="str">
        <f t="shared" si="13"/>
        <v>2M_UP</v>
      </c>
      <c r="AQ19" s="89">
        <v>1521.0</v>
      </c>
      <c r="AR19" s="89"/>
      <c r="AS19" s="113"/>
      <c r="AT19" s="113"/>
    </row>
    <row r="20" ht="15.0" customHeight="1">
      <c r="A20" s="83">
        <f t="shared" si="1"/>
        <v>16</v>
      </c>
      <c r="B20" s="117" t="str">
        <f t="shared" si="2"/>
        <v>ARM-0016</v>
      </c>
      <c r="C20" s="118" t="s">
        <v>309</v>
      </c>
      <c r="D20" s="79" t="s">
        <v>310</v>
      </c>
      <c r="E20" s="79"/>
      <c r="F20" s="79" t="s">
        <v>311</v>
      </c>
      <c r="G20" s="79" t="s">
        <v>193</v>
      </c>
      <c r="H20" s="119" t="s">
        <v>211</v>
      </c>
      <c r="I20" s="121">
        <v>3.0</v>
      </c>
      <c r="J20" s="121">
        <v>2.0</v>
      </c>
      <c r="K20" s="119" t="s">
        <v>194</v>
      </c>
      <c r="L20" s="119" t="s">
        <v>221</v>
      </c>
      <c r="M20" s="119">
        <f>IFERROR(VLOOKUP(L20, '4_Produk'!C:E, 2, FALSE()), "")</f>
        <v>20</v>
      </c>
      <c r="N20" s="119">
        <f>IFERROR(VLOOKUP(L20, '4_Produk'!C:E, 3, FALSE()), "")</f>
        <v>115000</v>
      </c>
      <c r="O20" s="119" t="s">
        <v>312</v>
      </c>
      <c r="P20" s="119" t="s">
        <v>313</v>
      </c>
      <c r="Q20" s="119" t="s">
        <v>314</v>
      </c>
      <c r="R20" s="119"/>
      <c r="S20" s="120">
        <v>46096.0</v>
      </c>
      <c r="T20" s="119">
        <v>80.0</v>
      </c>
      <c r="U20" s="119" t="s">
        <v>315</v>
      </c>
      <c r="V20" s="119"/>
      <c r="W20" s="114" t="s">
        <v>199</v>
      </c>
      <c r="X20" s="121"/>
      <c r="Y20" s="121"/>
      <c r="Z20" s="107" t="str">
        <f t="shared" si="3"/>
        <v>Chat WA</v>
      </c>
      <c r="AA20" s="107" t="str">
        <f t="shared" si="4"/>
        <v>Chat WA</v>
      </c>
      <c r="AB20" s="107" t="str">
        <f t="shared" si="5"/>
        <v>Kirim Invoice</v>
      </c>
      <c r="AC20" s="107" t="str">
        <f t="shared" si="6"/>
        <v>Chat WA</v>
      </c>
      <c r="AD20" s="108" t="str">
        <f>IFERROR(VLOOKUP($Q20,'12_ONT_NEW'!$D:$G,4,FALSE()),"")</f>
        <v/>
      </c>
      <c r="AE20" s="108"/>
      <c r="AF20" s="109"/>
      <c r="AG20" s="109"/>
      <c r="AH20" s="110">
        <f t="shared" si="7"/>
        <v>46218</v>
      </c>
      <c r="AI20" s="107" t="str">
        <f t="shared" si="8"/>
        <v>Kirim WA</v>
      </c>
      <c r="AJ20" s="107" t="str">
        <f t="shared" si="9"/>
        <v>Kirim WA</v>
      </c>
      <c r="AK20" s="107" t="str">
        <f t="shared" si="10"/>
        <v>Kirim WA</v>
      </c>
      <c r="AL20" s="111">
        <f t="shared" si="11"/>
        <v>57500</v>
      </c>
      <c r="AM20" s="107" t="str">
        <f t="shared" si="12"/>
        <v>Kirim Invoice</v>
      </c>
      <c r="AN20" s="89"/>
      <c r="AO20" s="89"/>
      <c r="AP20" s="112" t="str">
        <f t="shared" si="13"/>
        <v>2M_UP</v>
      </c>
      <c r="AQ20" s="89">
        <v>1521.0</v>
      </c>
      <c r="AR20" s="89"/>
      <c r="AS20" s="113"/>
      <c r="AT20" s="113"/>
    </row>
    <row r="21" ht="15.0" customHeight="1">
      <c r="A21" s="79">
        <f t="shared" si="1"/>
        <v>17</v>
      </c>
      <c r="B21" s="122" t="str">
        <f t="shared" si="2"/>
        <v>ARM-0017</v>
      </c>
      <c r="C21" s="123" t="s">
        <v>316</v>
      </c>
      <c r="D21" s="83" t="s">
        <v>317</v>
      </c>
      <c r="E21" s="83"/>
      <c r="F21" s="83" t="s">
        <v>318</v>
      </c>
      <c r="G21" s="83" t="s">
        <v>193</v>
      </c>
      <c r="H21" s="73" t="s">
        <v>211</v>
      </c>
      <c r="I21" s="121">
        <v>3.0</v>
      </c>
      <c r="J21" s="121">
        <v>2.0</v>
      </c>
      <c r="K21" s="73" t="s">
        <v>194</v>
      </c>
      <c r="L21" s="73" t="s">
        <v>221</v>
      </c>
      <c r="M21" s="73">
        <f>IFERROR(VLOOKUP(L21, '4_Produk'!C:E, 2, FALSE()), "")</f>
        <v>20</v>
      </c>
      <c r="N21" s="73">
        <f>IFERROR(VLOOKUP(L21, '4_Produk'!C:E, 3, FALSE()), "")</f>
        <v>115000</v>
      </c>
      <c r="O21" s="73" t="s">
        <v>319</v>
      </c>
      <c r="P21" s="73" t="s">
        <v>320</v>
      </c>
      <c r="Q21" s="73" t="s">
        <v>321</v>
      </c>
      <c r="R21" s="73"/>
      <c r="S21" s="124">
        <v>46096.0</v>
      </c>
      <c r="T21" s="73">
        <v>300.0</v>
      </c>
      <c r="U21" s="73" t="s">
        <v>322</v>
      </c>
      <c r="V21" s="73"/>
      <c r="W21" s="114" t="s">
        <v>199</v>
      </c>
      <c r="X21" s="121"/>
      <c r="Y21" s="121"/>
      <c r="Z21" s="107" t="str">
        <f t="shared" si="3"/>
        <v>Chat WA</v>
      </c>
      <c r="AA21" s="107" t="str">
        <f t="shared" si="4"/>
        <v>Chat WA</v>
      </c>
      <c r="AB21" s="107" t="str">
        <f t="shared" si="5"/>
        <v>Kirim Invoice</v>
      </c>
      <c r="AC21" s="107" t="str">
        <f t="shared" si="6"/>
        <v>Chat WA</v>
      </c>
      <c r="AD21" s="108" t="str">
        <f>IFERROR(VLOOKUP($Q21,'12_ONT_NEW'!$D:$G,4,FALSE()),"")</f>
        <v/>
      </c>
      <c r="AE21" s="108"/>
      <c r="AF21" s="109"/>
      <c r="AG21" s="109"/>
      <c r="AH21" s="110">
        <f t="shared" si="7"/>
        <v>46218</v>
      </c>
      <c r="AI21" s="107" t="str">
        <f t="shared" si="8"/>
        <v>Kirim WA</v>
      </c>
      <c r="AJ21" s="107" t="str">
        <f t="shared" si="9"/>
        <v>Kirim WA</v>
      </c>
      <c r="AK21" s="107" t="str">
        <f t="shared" si="10"/>
        <v>Kirim WA</v>
      </c>
      <c r="AL21" s="111">
        <f t="shared" si="11"/>
        <v>57500</v>
      </c>
      <c r="AM21" s="107" t="str">
        <f t="shared" si="12"/>
        <v>Kirim Invoice</v>
      </c>
      <c r="AN21" s="89"/>
      <c r="AO21" s="89"/>
      <c r="AP21" s="112" t="str">
        <f t="shared" si="13"/>
        <v>2M_UP</v>
      </c>
      <c r="AQ21" s="89">
        <v>1521.0</v>
      </c>
      <c r="AR21" s="89"/>
      <c r="AS21" s="113"/>
      <c r="AT21" s="113"/>
    </row>
    <row r="22" ht="15.0" customHeight="1">
      <c r="A22" s="125">
        <f t="shared" si="1"/>
        <v>18</v>
      </c>
      <c r="B22" s="126" t="str">
        <f t="shared" si="2"/>
        <v>ARM-0018</v>
      </c>
      <c r="C22" s="127" t="s">
        <v>323</v>
      </c>
      <c r="D22" s="125" t="s">
        <v>324</v>
      </c>
      <c r="E22" s="125" t="s">
        <v>325</v>
      </c>
      <c r="F22" s="125" t="s">
        <v>326</v>
      </c>
      <c r="G22" s="125" t="s">
        <v>193</v>
      </c>
      <c r="H22" s="128" t="s">
        <v>327</v>
      </c>
      <c r="I22" s="128"/>
      <c r="J22" s="128"/>
      <c r="K22" s="128" t="s">
        <v>194</v>
      </c>
      <c r="L22" s="128" t="s">
        <v>221</v>
      </c>
      <c r="M22" s="128">
        <f>IFERROR(VLOOKUP(L22, '4_Produk'!C:E, 2, FALSE()), "")</f>
        <v>20</v>
      </c>
      <c r="N22" s="128">
        <f>IFERROR(VLOOKUP(L22, '4_Produk'!C:E, 3, FALSE()), "")</f>
        <v>115000</v>
      </c>
      <c r="O22" s="128"/>
      <c r="P22" s="128" t="s">
        <v>328</v>
      </c>
      <c r="Q22" s="128" t="s">
        <v>329</v>
      </c>
      <c r="R22" s="128"/>
      <c r="S22" s="129">
        <v>46096.0</v>
      </c>
      <c r="T22" s="128">
        <v>35.0</v>
      </c>
      <c r="U22" s="128" t="s">
        <v>330</v>
      </c>
      <c r="V22" s="128" t="s">
        <v>331</v>
      </c>
      <c r="W22" s="114" t="s">
        <v>332</v>
      </c>
      <c r="X22" s="128"/>
      <c r="Y22" s="128"/>
      <c r="Z22" s="130" t="str">
        <f t="shared" si="3"/>
        <v>Chat WA</v>
      </c>
      <c r="AA22" s="107" t="str">
        <f t="shared" si="4"/>
        <v>Chat WA</v>
      </c>
      <c r="AB22" s="107" t="str">
        <f t="shared" si="5"/>
        <v>Kirim Invoice</v>
      </c>
      <c r="AC22" s="107" t="str">
        <f t="shared" si="6"/>
        <v>Chat WA</v>
      </c>
      <c r="AD22" s="108" t="str">
        <f>IFERROR(VLOOKUP($Q22,'12_ONT_NEW'!$D:$G,4,FALSE()),"")</f>
        <v/>
      </c>
      <c r="AE22" s="108"/>
      <c r="AF22" s="109"/>
      <c r="AG22" s="109"/>
      <c r="AH22" s="110">
        <f t="shared" si="7"/>
        <v>46218</v>
      </c>
      <c r="AI22" s="107" t="str">
        <f t="shared" si="8"/>
        <v>Kirim WA</v>
      </c>
      <c r="AJ22" s="107" t="str">
        <f t="shared" si="9"/>
        <v>Kirim WA</v>
      </c>
      <c r="AK22" s="107" t="str">
        <f t="shared" si="10"/>
        <v>Kirim WA</v>
      </c>
      <c r="AL22" s="111">
        <f t="shared" si="11"/>
        <v>57500</v>
      </c>
      <c r="AM22" s="107" t="str">
        <f t="shared" si="12"/>
        <v>Kirim Invoice</v>
      </c>
      <c r="AN22" s="89"/>
      <c r="AO22" s="89"/>
      <c r="AP22" s="112" t="str">
        <f t="shared" si="13"/>
        <v>2M_UP</v>
      </c>
      <c r="AQ22" s="89">
        <v>1521.0</v>
      </c>
      <c r="AR22" s="89"/>
      <c r="AS22" s="113"/>
      <c r="AT22" s="113"/>
    </row>
    <row r="23" ht="15.0" customHeight="1">
      <c r="A23" s="83">
        <f t="shared" si="1"/>
        <v>19</v>
      </c>
      <c r="B23" s="122" t="str">
        <f t="shared" si="2"/>
        <v>ARM-0019</v>
      </c>
      <c r="C23" s="123" t="s">
        <v>333</v>
      </c>
      <c r="D23" s="83" t="s">
        <v>334</v>
      </c>
      <c r="E23" s="83" t="s">
        <v>335</v>
      </c>
      <c r="F23" s="83" t="s">
        <v>336</v>
      </c>
      <c r="G23" s="83" t="s">
        <v>193</v>
      </c>
      <c r="H23" s="73" t="s">
        <v>211</v>
      </c>
      <c r="I23" s="73">
        <v>8.0</v>
      </c>
      <c r="J23" s="73">
        <v>2.0</v>
      </c>
      <c r="K23" s="73" t="s">
        <v>194</v>
      </c>
      <c r="L23" s="73" t="s">
        <v>221</v>
      </c>
      <c r="M23" s="73">
        <f>IFERROR(VLOOKUP(L23, '4_Produk'!C:E, 2, FALSE()), "")</f>
        <v>20</v>
      </c>
      <c r="N23" s="73">
        <f>IFERROR(VLOOKUP(L23, '4_Produk'!C:E, 3, FALSE()), "")</f>
        <v>115000</v>
      </c>
      <c r="O23" s="73" t="s">
        <v>337</v>
      </c>
      <c r="P23" s="73" t="s">
        <v>338</v>
      </c>
      <c r="Q23" s="73" t="s">
        <v>339</v>
      </c>
      <c r="R23" s="73"/>
      <c r="S23" s="124">
        <v>46096.0</v>
      </c>
      <c r="T23" s="73">
        <v>50.0</v>
      </c>
      <c r="U23" s="73" t="s">
        <v>340</v>
      </c>
      <c r="V23" s="73"/>
      <c r="W23" s="114" t="s">
        <v>199</v>
      </c>
      <c r="X23" s="121"/>
      <c r="Y23" s="121"/>
      <c r="Z23" s="107" t="str">
        <f t="shared" si="3"/>
        <v>Chat WA</v>
      </c>
      <c r="AA23" s="107" t="str">
        <f t="shared" si="4"/>
        <v>Chat WA</v>
      </c>
      <c r="AB23" s="107" t="str">
        <f t="shared" si="5"/>
        <v>Kirim Invoice</v>
      </c>
      <c r="AC23" s="107" t="str">
        <f t="shared" si="6"/>
        <v>Chat WA</v>
      </c>
      <c r="AD23" s="108" t="str">
        <f>IFERROR(VLOOKUP($Q23,'12_ONT_NEW'!$D:$G,4,FALSE()),"")</f>
        <v/>
      </c>
      <c r="AE23" s="108"/>
      <c r="AF23" s="109"/>
      <c r="AG23" s="109"/>
      <c r="AH23" s="110">
        <f t="shared" si="7"/>
        <v>46218</v>
      </c>
      <c r="AI23" s="107" t="str">
        <f t="shared" si="8"/>
        <v>Kirim WA</v>
      </c>
      <c r="AJ23" s="107" t="str">
        <f t="shared" si="9"/>
        <v>Kirim WA</v>
      </c>
      <c r="AK23" s="107" t="str">
        <f t="shared" si="10"/>
        <v>Kirim WA</v>
      </c>
      <c r="AL23" s="111">
        <f t="shared" si="11"/>
        <v>57500</v>
      </c>
      <c r="AM23" s="107" t="str">
        <f t="shared" si="12"/>
        <v>Kirim Invoice</v>
      </c>
      <c r="AN23" s="89"/>
      <c r="AO23" s="89"/>
      <c r="AP23" s="112" t="str">
        <f t="shared" si="13"/>
        <v>2M_UP</v>
      </c>
      <c r="AQ23" s="89">
        <v>1521.0</v>
      </c>
      <c r="AR23" s="89"/>
      <c r="AS23" s="113"/>
      <c r="AT23" s="113"/>
    </row>
    <row r="24" ht="15.0" customHeight="1">
      <c r="A24" s="79">
        <f t="shared" si="1"/>
        <v>20</v>
      </c>
      <c r="B24" s="117" t="str">
        <f t="shared" si="2"/>
        <v>ARM-0020</v>
      </c>
      <c r="C24" s="118" t="s">
        <v>341</v>
      </c>
      <c r="D24" s="79" t="s">
        <v>342</v>
      </c>
      <c r="E24" s="79" t="s">
        <v>343</v>
      </c>
      <c r="F24" s="79" t="s">
        <v>344</v>
      </c>
      <c r="G24" s="79" t="s">
        <v>193</v>
      </c>
      <c r="H24" s="119"/>
      <c r="I24" s="121"/>
      <c r="J24" s="121"/>
      <c r="K24" s="119" t="s">
        <v>194</v>
      </c>
      <c r="L24" s="119" t="s">
        <v>221</v>
      </c>
      <c r="M24" s="119">
        <f>IFERROR(VLOOKUP(L24, '4_Produk'!C:E, 2, FALSE()), "")</f>
        <v>20</v>
      </c>
      <c r="N24" s="119">
        <f>IFERROR(VLOOKUP(L24, '4_Produk'!C:E, 3, FALSE()), "")</f>
        <v>115000</v>
      </c>
      <c r="O24" s="119" t="s">
        <v>345</v>
      </c>
      <c r="P24" s="119" t="s">
        <v>346</v>
      </c>
      <c r="Q24" s="119" t="s">
        <v>347</v>
      </c>
      <c r="R24" s="119"/>
      <c r="S24" s="120">
        <v>46096.0</v>
      </c>
      <c r="T24" s="119">
        <v>20.0</v>
      </c>
      <c r="U24" s="119" t="s">
        <v>348</v>
      </c>
      <c r="V24" s="119"/>
      <c r="W24" s="114" t="s">
        <v>199</v>
      </c>
      <c r="X24" s="121"/>
      <c r="Y24" s="121"/>
      <c r="Z24" s="107" t="str">
        <f t="shared" si="3"/>
        <v>Chat WA</v>
      </c>
      <c r="AA24" s="107" t="str">
        <f t="shared" si="4"/>
        <v>Chat WA</v>
      </c>
      <c r="AB24" s="107" t="str">
        <f t="shared" si="5"/>
        <v>Kirim Invoice</v>
      </c>
      <c r="AC24" s="107" t="str">
        <f t="shared" si="6"/>
        <v>Chat WA</v>
      </c>
      <c r="AD24" s="108" t="str">
        <f>IFERROR(VLOOKUP($Q24,'12_ONT_NEW'!$D:$G,4,FALSE()),"")</f>
        <v/>
      </c>
      <c r="AE24" s="108"/>
      <c r="AF24" s="109"/>
      <c r="AG24" s="109"/>
      <c r="AH24" s="110">
        <f t="shared" si="7"/>
        <v>46218</v>
      </c>
      <c r="AI24" s="107" t="str">
        <f t="shared" si="8"/>
        <v>Kirim WA</v>
      </c>
      <c r="AJ24" s="107" t="str">
        <f t="shared" si="9"/>
        <v>Kirim WA</v>
      </c>
      <c r="AK24" s="107" t="str">
        <f t="shared" si="10"/>
        <v>Kirim WA</v>
      </c>
      <c r="AL24" s="111">
        <f t="shared" si="11"/>
        <v>57500</v>
      </c>
      <c r="AM24" s="107" t="str">
        <f t="shared" si="12"/>
        <v>Kirim Invoice</v>
      </c>
      <c r="AN24" s="89"/>
      <c r="AO24" s="89"/>
      <c r="AP24" s="112" t="str">
        <f t="shared" si="13"/>
        <v>2M_UP</v>
      </c>
      <c r="AQ24" s="89">
        <v>1521.0</v>
      </c>
      <c r="AR24" s="89"/>
      <c r="AS24" s="113"/>
      <c r="AT24" s="113"/>
    </row>
    <row r="25" ht="15.0" customHeight="1">
      <c r="A25" s="83">
        <f t="shared" si="1"/>
        <v>21</v>
      </c>
      <c r="B25" s="122" t="str">
        <f t="shared" si="2"/>
        <v>ARM-0021</v>
      </c>
      <c r="C25" s="123" t="s">
        <v>349</v>
      </c>
      <c r="D25" s="83" t="s">
        <v>350</v>
      </c>
      <c r="E25" s="83" t="s">
        <v>351</v>
      </c>
      <c r="F25" s="83" t="s">
        <v>352</v>
      </c>
      <c r="G25" s="83" t="s">
        <v>193</v>
      </c>
      <c r="H25" s="73" t="s">
        <v>211</v>
      </c>
      <c r="I25" s="73">
        <v>5.0</v>
      </c>
      <c r="J25" s="73">
        <v>2.0</v>
      </c>
      <c r="K25" s="73" t="s">
        <v>194</v>
      </c>
      <c r="L25" s="73" t="s">
        <v>202</v>
      </c>
      <c r="M25" s="73">
        <f>IFERROR(VLOOKUP(L25, '4_Produk'!C:E, 2, FALSE()), "")</f>
        <v>50</v>
      </c>
      <c r="N25" s="73">
        <f>IFERROR(VLOOKUP(L25, '4_Produk'!C:E, 3, FALSE()), "")</f>
        <v>182000</v>
      </c>
      <c r="O25" s="73" t="s">
        <v>353</v>
      </c>
      <c r="P25" s="73" t="s">
        <v>354</v>
      </c>
      <c r="Q25" s="73" t="s">
        <v>355</v>
      </c>
      <c r="R25" s="73"/>
      <c r="S25" s="124">
        <v>46096.0</v>
      </c>
      <c r="T25" s="73">
        <v>120.0</v>
      </c>
      <c r="U25" s="73" t="s">
        <v>356</v>
      </c>
      <c r="V25" s="73"/>
      <c r="W25" s="114" t="s">
        <v>199</v>
      </c>
      <c r="X25" s="121"/>
      <c r="Y25" s="121"/>
      <c r="Z25" s="107" t="str">
        <f t="shared" si="3"/>
        <v>Chat WA</v>
      </c>
      <c r="AA25" s="107" t="str">
        <f t="shared" si="4"/>
        <v>Chat WA</v>
      </c>
      <c r="AB25" s="107" t="str">
        <f t="shared" si="5"/>
        <v>Kirim Invoice</v>
      </c>
      <c r="AC25" s="107" t="str">
        <f t="shared" si="6"/>
        <v>Chat WA</v>
      </c>
      <c r="AD25" s="108" t="str">
        <f>IFERROR(VLOOKUP($Q25,'12_ONT_NEW'!$D:$G,4,FALSE()),"")</f>
        <v/>
      </c>
      <c r="AE25" s="108"/>
      <c r="AF25" s="109"/>
      <c r="AG25" s="109"/>
      <c r="AH25" s="110">
        <f t="shared" si="7"/>
        <v>46218</v>
      </c>
      <c r="AI25" s="107" t="str">
        <f t="shared" si="8"/>
        <v>Kirim WA</v>
      </c>
      <c r="AJ25" s="107" t="str">
        <f t="shared" si="9"/>
        <v>Kirim WA</v>
      </c>
      <c r="AK25" s="107" t="str">
        <f t="shared" si="10"/>
        <v>Kirim WA</v>
      </c>
      <c r="AL25" s="111">
        <f t="shared" si="11"/>
        <v>91000</v>
      </c>
      <c r="AM25" s="107" t="str">
        <f t="shared" si="12"/>
        <v>Kirim Invoice</v>
      </c>
      <c r="AN25" s="89"/>
      <c r="AO25" s="89"/>
      <c r="AP25" s="112" t="str">
        <f t="shared" si="13"/>
        <v>5M_UP</v>
      </c>
      <c r="AQ25" s="89">
        <v>1521.0</v>
      </c>
      <c r="AR25" s="89"/>
      <c r="AS25" s="113"/>
      <c r="AT25" s="113"/>
    </row>
    <row r="26" ht="15.0" customHeight="1">
      <c r="A26" s="83">
        <f t="shared" si="1"/>
        <v>22</v>
      </c>
      <c r="B26" s="117" t="str">
        <f t="shared" si="2"/>
        <v>ARM-0022</v>
      </c>
      <c r="C26" s="118" t="s">
        <v>357</v>
      </c>
      <c r="D26" s="79" t="s">
        <v>358</v>
      </c>
      <c r="E26" s="79" t="s">
        <v>359</v>
      </c>
      <c r="F26" s="79" t="s">
        <v>360</v>
      </c>
      <c r="G26" s="79" t="s">
        <v>193</v>
      </c>
      <c r="H26" s="119" t="s">
        <v>327</v>
      </c>
      <c r="I26" s="119">
        <v>5.0</v>
      </c>
      <c r="J26" s="119">
        <v>6.0</v>
      </c>
      <c r="K26" s="119" t="s">
        <v>194</v>
      </c>
      <c r="L26" s="119" t="s">
        <v>221</v>
      </c>
      <c r="M26" s="119">
        <f>IFERROR(VLOOKUP(L26, '4_Produk'!C:E, 2, FALSE()), "")</f>
        <v>20</v>
      </c>
      <c r="N26" s="119">
        <f>IFERROR(VLOOKUP(L26, '4_Produk'!C:E, 3, FALSE()), "")</f>
        <v>115000</v>
      </c>
      <c r="O26" s="119" t="s">
        <v>361</v>
      </c>
      <c r="P26" s="119" t="s">
        <v>362</v>
      </c>
      <c r="Q26" s="119" t="s">
        <v>363</v>
      </c>
      <c r="R26" s="119"/>
      <c r="S26" s="120">
        <v>46096.0</v>
      </c>
      <c r="T26" s="119">
        <v>50.0</v>
      </c>
      <c r="U26" s="119" t="s">
        <v>364</v>
      </c>
      <c r="V26" s="119"/>
      <c r="W26" s="114" t="s">
        <v>199</v>
      </c>
      <c r="X26" s="121"/>
      <c r="Y26" s="121"/>
      <c r="Z26" s="107" t="str">
        <f t="shared" si="3"/>
        <v>Chat WA</v>
      </c>
      <c r="AA26" s="107" t="str">
        <f t="shared" si="4"/>
        <v>Chat WA</v>
      </c>
      <c r="AB26" s="107" t="str">
        <f t="shared" si="5"/>
        <v>Kirim Invoice</v>
      </c>
      <c r="AC26" s="107" t="str">
        <f t="shared" si="6"/>
        <v>Chat WA</v>
      </c>
      <c r="AD26" s="108" t="str">
        <f>IFERROR(VLOOKUP($Q26,'12_ONT_NEW'!$D:$G,4,FALSE()),"")</f>
        <v/>
      </c>
      <c r="AE26" s="108"/>
      <c r="AF26" s="109"/>
      <c r="AG26" s="109"/>
      <c r="AH26" s="110">
        <f t="shared" si="7"/>
        <v>46218</v>
      </c>
      <c r="AI26" s="107" t="str">
        <f t="shared" si="8"/>
        <v>Kirim WA</v>
      </c>
      <c r="AJ26" s="107" t="str">
        <f t="shared" si="9"/>
        <v>Kirim WA</v>
      </c>
      <c r="AK26" s="107" t="str">
        <f t="shared" si="10"/>
        <v>Kirim WA</v>
      </c>
      <c r="AL26" s="111">
        <f t="shared" si="11"/>
        <v>57500</v>
      </c>
      <c r="AM26" s="107" t="str">
        <f t="shared" si="12"/>
        <v>Kirim Invoice</v>
      </c>
      <c r="AN26" s="89"/>
      <c r="AO26" s="89"/>
      <c r="AP26" s="112" t="str">
        <f t="shared" si="13"/>
        <v>2M_UP</v>
      </c>
      <c r="AQ26" s="89">
        <v>1521.0</v>
      </c>
      <c r="AR26" s="89"/>
      <c r="AS26" s="113"/>
      <c r="AT26" s="113"/>
    </row>
    <row r="27" ht="15.0" customHeight="1">
      <c r="A27" s="79">
        <f t="shared" si="1"/>
        <v>23</v>
      </c>
      <c r="B27" s="122" t="str">
        <f t="shared" si="2"/>
        <v>ARM-0023</v>
      </c>
      <c r="C27" s="123" t="s">
        <v>365</v>
      </c>
      <c r="D27" s="83" t="s">
        <v>366</v>
      </c>
      <c r="E27" s="83"/>
      <c r="F27" s="83" t="s">
        <v>367</v>
      </c>
      <c r="G27" s="83" t="s">
        <v>193</v>
      </c>
      <c r="H27" s="73"/>
      <c r="I27" s="121"/>
      <c r="J27" s="121"/>
      <c r="K27" s="73" t="s">
        <v>194</v>
      </c>
      <c r="L27" s="73" t="s">
        <v>221</v>
      </c>
      <c r="M27" s="73">
        <f>IFERROR(VLOOKUP(L27, '4_Produk'!C:E, 2, FALSE()), "")</f>
        <v>20</v>
      </c>
      <c r="N27" s="73">
        <f>IFERROR(VLOOKUP(L27, '4_Produk'!C:E, 3, FALSE()), "")</f>
        <v>115000</v>
      </c>
      <c r="O27" s="73" t="s">
        <v>368</v>
      </c>
      <c r="P27" s="73" t="s">
        <v>369</v>
      </c>
      <c r="Q27" s="73" t="s">
        <v>370</v>
      </c>
      <c r="R27" s="73"/>
      <c r="S27" s="124">
        <v>46096.0</v>
      </c>
      <c r="T27" s="73">
        <v>175.0</v>
      </c>
      <c r="U27" s="73" t="s">
        <v>371</v>
      </c>
      <c r="V27" s="73"/>
      <c r="W27" s="114" t="s">
        <v>199</v>
      </c>
      <c r="X27" s="121"/>
      <c r="Y27" s="121"/>
      <c r="Z27" s="107" t="str">
        <f t="shared" si="3"/>
        <v>Chat WA</v>
      </c>
      <c r="AA27" s="107" t="str">
        <f t="shared" si="4"/>
        <v>Chat WA</v>
      </c>
      <c r="AB27" s="107" t="str">
        <f t="shared" si="5"/>
        <v>Kirim Invoice</v>
      </c>
      <c r="AC27" s="107" t="str">
        <f t="shared" si="6"/>
        <v>Chat WA</v>
      </c>
      <c r="AD27" s="108" t="str">
        <f>IFERROR(VLOOKUP($Q27,'12_ONT_NEW'!$D:$G,4,FALSE()),"")</f>
        <v/>
      </c>
      <c r="AE27" s="108"/>
      <c r="AF27" s="109"/>
      <c r="AG27" s="109"/>
      <c r="AH27" s="110">
        <f t="shared" si="7"/>
        <v>46218</v>
      </c>
      <c r="AI27" s="107" t="str">
        <f t="shared" si="8"/>
        <v>Kirim WA</v>
      </c>
      <c r="AJ27" s="107" t="str">
        <f t="shared" si="9"/>
        <v>Kirim WA</v>
      </c>
      <c r="AK27" s="107" t="str">
        <f t="shared" si="10"/>
        <v>Kirim WA</v>
      </c>
      <c r="AL27" s="111">
        <f t="shared" si="11"/>
        <v>57500</v>
      </c>
      <c r="AM27" s="107" t="str">
        <f t="shared" si="12"/>
        <v>Kirim Invoice</v>
      </c>
      <c r="AN27" s="89"/>
      <c r="AO27" s="89"/>
      <c r="AP27" s="112" t="str">
        <f t="shared" si="13"/>
        <v>2M_UP</v>
      </c>
      <c r="AQ27" s="89">
        <v>1521.0</v>
      </c>
      <c r="AR27" s="89"/>
      <c r="AS27" s="113"/>
      <c r="AT27" s="113"/>
    </row>
    <row r="28" ht="15.0" customHeight="1">
      <c r="A28" s="83">
        <f t="shared" si="1"/>
        <v>24</v>
      </c>
      <c r="B28" s="117" t="str">
        <f t="shared" si="2"/>
        <v>ARM-0024</v>
      </c>
      <c r="C28" s="118" t="s">
        <v>372</v>
      </c>
      <c r="D28" s="79" t="s">
        <v>373</v>
      </c>
      <c r="E28" s="79"/>
      <c r="F28" s="79" t="s">
        <v>374</v>
      </c>
      <c r="G28" s="79" t="s">
        <v>193</v>
      </c>
      <c r="H28" s="119" t="s">
        <v>211</v>
      </c>
      <c r="I28" s="121">
        <v>5.0</v>
      </c>
      <c r="J28" s="121">
        <v>2.0</v>
      </c>
      <c r="K28" s="119" t="s">
        <v>194</v>
      </c>
      <c r="L28" s="119" t="s">
        <v>221</v>
      </c>
      <c r="M28" s="119">
        <f>IFERROR(VLOOKUP(L28, '4_Produk'!C:E, 2, FALSE()), "")</f>
        <v>20</v>
      </c>
      <c r="N28" s="119">
        <f>IFERROR(VLOOKUP(L28, '4_Produk'!C:E, 3, FALSE()), "")</f>
        <v>115000</v>
      </c>
      <c r="O28" s="119" t="s">
        <v>375</v>
      </c>
      <c r="P28" s="119" t="s">
        <v>376</v>
      </c>
      <c r="Q28" s="119" t="s">
        <v>377</v>
      </c>
      <c r="R28" s="119"/>
      <c r="S28" s="120">
        <v>46096.0</v>
      </c>
      <c r="T28" s="119">
        <v>80.0</v>
      </c>
      <c r="U28" s="119" t="s">
        <v>378</v>
      </c>
      <c r="V28" s="119"/>
      <c r="W28" s="114" t="s">
        <v>199</v>
      </c>
      <c r="X28" s="121"/>
      <c r="Y28" s="121"/>
      <c r="Z28" s="107" t="str">
        <f t="shared" si="3"/>
        <v>Chat WA</v>
      </c>
      <c r="AA28" s="107" t="str">
        <f t="shared" si="4"/>
        <v>Chat WA</v>
      </c>
      <c r="AB28" s="107" t="str">
        <f t="shared" si="5"/>
        <v>Kirim Invoice</v>
      </c>
      <c r="AC28" s="107" t="str">
        <f t="shared" si="6"/>
        <v>Chat WA</v>
      </c>
      <c r="AD28" s="108" t="str">
        <f>IFERROR(VLOOKUP($Q28,'12_ONT_NEW'!$D:$G,4,FALSE()),"")</f>
        <v/>
      </c>
      <c r="AE28" s="108"/>
      <c r="AF28" s="109"/>
      <c r="AG28" s="109"/>
      <c r="AH28" s="110">
        <f t="shared" si="7"/>
        <v>46218</v>
      </c>
      <c r="AI28" s="107" t="str">
        <f t="shared" si="8"/>
        <v>Kirim WA</v>
      </c>
      <c r="AJ28" s="107" t="str">
        <f t="shared" si="9"/>
        <v>Kirim WA</v>
      </c>
      <c r="AK28" s="107" t="str">
        <f t="shared" si="10"/>
        <v>Kirim WA</v>
      </c>
      <c r="AL28" s="111">
        <f t="shared" si="11"/>
        <v>57500</v>
      </c>
      <c r="AM28" s="107" t="str">
        <f t="shared" si="12"/>
        <v>Kirim Invoice</v>
      </c>
      <c r="AN28" s="89"/>
      <c r="AO28" s="89"/>
      <c r="AP28" s="112" t="str">
        <f t="shared" si="13"/>
        <v>2M_UP</v>
      </c>
      <c r="AQ28" s="89">
        <v>1521.0</v>
      </c>
      <c r="AR28" s="89"/>
      <c r="AS28" s="113"/>
      <c r="AT28" s="113"/>
    </row>
    <row r="29" ht="15.0" customHeight="1">
      <c r="A29" s="83">
        <f t="shared" si="1"/>
        <v>25</v>
      </c>
      <c r="B29" s="122" t="str">
        <f t="shared" si="2"/>
        <v>ARM-0025</v>
      </c>
      <c r="C29" s="123" t="s">
        <v>379</v>
      </c>
      <c r="D29" s="83" t="s">
        <v>380</v>
      </c>
      <c r="E29" s="83" t="s">
        <v>381</v>
      </c>
      <c r="F29" s="83" t="s">
        <v>382</v>
      </c>
      <c r="G29" s="83" t="s">
        <v>193</v>
      </c>
      <c r="H29" s="73" t="s">
        <v>211</v>
      </c>
      <c r="I29" s="73">
        <v>4.0</v>
      </c>
      <c r="J29" s="73">
        <v>3.0</v>
      </c>
      <c r="K29" s="73" t="s">
        <v>194</v>
      </c>
      <c r="L29" s="73" t="s">
        <v>221</v>
      </c>
      <c r="M29" s="73">
        <f>IFERROR(VLOOKUP(L29, '4_Produk'!C:E, 2, FALSE()), "")</f>
        <v>20</v>
      </c>
      <c r="N29" s="73">
        <f>IFERROR(VLOOKUP(L29, '4_Produk'!C:E, 3, FALSE()), "")</f>
        <v>115000</v>
      </c>
      <c r="O29" s="73" t="s">
        <v>383</v>
      </c>
      <c r="P29" s="73" t="s">
        <v>384</v>
      </c>
      <c r="Q29" s="73" t="s">
        <v>385</v>
      </c>
      <c r="R29" s="73"/>
      <c r="S29" s="124">
        <v>46096.0</v>
      </c>
      <c r="T29" s="73">
        <v>140.0</v>
      </c>
      <c r="U29" s="73" t="s">
        <v>386</v>
      </c>
      <c r="V29" s="73"/>
      <c r="W29" s="114" t="s">
        <v>199</v>
      </c>
      <c r="X29" s="121"/>
      <c r="Y29" s="121"/>
      <c r="Z29" s="107" t="str">
        <f t="shared" si="3"/>
        <v>Chat WA</v>
      </c>
      <c r="AA29" s="107" t="str">
        <f t="shared" si="4"/>
        <v>Chat WA</v>
      </c>
      <c r="AB29" s="107" t="str">
        <f t="shared" si="5"/>
        <v>Kirim Invoice</v>
      </c>
      <c r="AC29" s="107" t="str">
        <f t="shared" si="6"/>
        <v>Chat WA</v>
      </c>
      <c r="AD29" s="108" t="str">
        <f>IFERROR(VLOOKUP($Q29,'12_ONT_NEW'!$D:$G,4,FALSE()),"")</f>
        <v/>
      </c>
      <c r="AE29" s="108"/>
      <c r="AF29" s="109"/>
      <c r="AG29" s="109"/>
      <c r="AH29" s="110">
        <f t="shared" si="7"/>
        <v>46218</v>
      </c>
      <c r="AI29" s="107" t="str">
        <f t="shared" si="8"/>
        <v>Kirim WA</v>
      </c>
      <c r="AJ29" s="107" t="str">
        <f t="shared" si="9"/>
        <v>Kirim WA</v>
      </c>
      <c r="AK29" s="107" t="str">
        <f t="shared" si="10"/>
        <v>Kirim WA</v>
      </c>
      <c r="AL29" s="111">
        <f t="shared" si="11"/>
        <v>57500</v>
      </c>
      <c r="AM29" s="107" t="str">
        <f t="shared" si="12"/>
        <v>Kirim Invoice</v>
      </c>
      <c r="AN29" s="89"/>
      <c r="AO29" s="89"/>
      <c r="AP29" s="112" t="str">
        <f t="shared" si="13"/>
        <v>2M_UP</v>
      </c>
      <c r="AQ29" s="89">
        <v>1521.0</v>
      </c>
      <c r="AR29" s="89"/>
      <c r="AS29" s="113"/>
      <c r="AT29" s="113"/>
    </row>
    <row r="30" ht="15.0" customHeight="1">
      <c r="A30" s="79">
        <f t="shared" si="1"/>
        <v>26</v>
      </c>
      <c r="B30" s="117" t="str">
        <f t="shared" si="2"/>
        <v>ARM-0026</v>
      </c>
      <c r="C30" s="118" t="s">
        <v>387</v>
      </c>
      <c r="D30" s="79" t="s">
        <v>388</v>
      </c>
      <c r="E30" s="79"/>
      <c r="F30" s="79" t="s">
        <v>389</v>
      </c>
      <c r="G30" s="79" t="s">
        <v>193</v>
      </c>
      <c r="H30" s="119" t="s">
        <v>211</v>
      </c>
      <c r="I30" s="121"/>
      <c r="J30" s="121"/>
      <c r="K30" s="119" t="s">
        <v>194</v>
      </c>
      <c r="L30" s="119" t="s">
        <v>221</v>
      </c>
      <c r="M30" s="119">
        <f>IFERROR(VLOOKUP(L30, '4_Produk'!C:E, 2, FALSE()), "")</f>
        <v>20</v>
      </c>
      <c r="N30" s="119">
        <f>IFERROR(VLOOKUP(L30, '4_Produk'!C:E, 3, FALSE()), "")</f>
        <v>115000</v>
      </c>
      <c r="O30" s="119" t="s">
        <v>390</v>
      </c>
      <c r="P30" s="119" t="s">
        <v>391</v>
      </c>
      <c r="Q30" s="119" t="s">
        <v>392</v>
      </c>
      <c r="R30" s="119"/>
      <c r="S30" s="120">
        <v>46096.0</v>
      </c>
      <c r="T30" s="119">
        <v>100.0</v>
      </c>
      <c r="U30" s="119" t="s">
        <v>393</v>
      </c>
      <c r="V30" s="119"/>
      <c r="W30" s="114" t="s">
        <v>199</v>
      </c>
      <c r="X30" s="121"/>
      <c r="Y30" s="121"/>
      <c r="Z30" s="107" t="str">
        <f t="shared" si="3"/>
        <v>Chat WA</v>
      </c>
      <c r="AA30" s="107" t="str">
        <f t="shared" si="4"/>
        <v>Chat WA</v>
      </c>
      <c r="AB30" s="107" t="str">
        <f t="shared" si="5"/>
        <v>Kirim Invoice</v>
      </c>
      <c r="AC30" s="107" t="str">
        <f t="shared" si="6"/>
        <v>Chat WA</v>
      </c>
      <c r="AD30" s="108" t="str">
        <f>IFERROR(VLOOKUP($Q30,'12_ONT_NEW'!$D:$G,4,FALSE()),"")</f>
        <v/>
      </c>
      <c r="AE30" s="108"/>
      <c r="AF30" s="109"/>
      <c r="AG30" s="109"/>
      <c r="AH30" s="110">
        <f t="shared" si="7"/>
        <v>46218</v>
      </c>
      <c r="AI30" s="107" t="str">
        <f t="shared" si="8"/>
        <v>Kirim WA</v>
      </c>
      <c r="AJ30" s="107" t="str">
        <f t="shared" si="9"/>
        <v>Kirim WA</v>
      </c>
      <c r="AK30" s="107" t="str">
        <f t="shared" si="10"/>
        <v>Kirim WA</v>
      </c>
      <c r="AL30" s="111">
        <f t="shared" si="11"/>
        <v>57500</v>
      </c>
      <c r="AM30" s="107" t="str">
        <f t="shared" si="12"/>
        <v>Kirim Invoice</v>
      </c>
      <c r="AN30" s="89"/>
      <c r="AO30" s="89"/>
      <c r="AP30" s="112" t="str">
        <f t="shared" si="13"/>
        <v>2M_UP</v>
      </c>
      <c r="AQ30" s="89">
        <v>1521.0</v>
      </c>
      <c r="AR30" s="89"/>
      <c r="AS30" s="113"/>
      <c r="AT30" s="113"/>
    </row>
    <row r="31" ht="15.0" customHeight="1">
      <c r="A31" s="83">
        <f t="shared" si="1"/>
        <v>27</v>
      </c>
      <c r="B31" s="122" t="str">
        <f t="shared" si="2"/>
        <v>ARM-0027</v>
      </c>
      <c r="C31" s="123" t="s">
        <v>394</v>
      </c>
      <c r="D31" s="83" t="s">
        <v>395</v>
      </c>
      <c r="E31" s="83" t="s">
        <v>396</v>
      </c>
      <c r="F31" s="83" t="s">
        <v>397</v>
      </c>
      <c r="G31" s="83" t="s">
        <v>193</v>
      </c>
      <c r="H31" s="73" t="s">
        <v>211</v>
      </c>
      <c r="I31" s="73">
        <v>5.0</v>
      </c>
      <c r="J31" s="73">
        <v>2.0</v>
      </c>
      <c r="K31" s="73" t="s">
        <v>194</v>
      </c>
      <c r="L31" s="73" t="s">
        <v>212</v>
      </c>
      <c r="M31" s="73">
        <f>IFERROR(VLOOKUP(L31, '4_Produk'!C:E, 2, FALSE()), "")</f>
        <v>30</v>
      </c>
      <c r="N31" s="73">
        <f>IFERROR(VLOOKUP(L31, '4_Produk'!C:E, 3, FALSE()), "")</f>
        <v>142000</v>
      </c>
      <c r="O31" s="73" t="s">
        <v>398</v>
      </c>
      <c r="P31" s="73" t="s">
        <v>399</v>
      </c>
      <c r="Q31" s="73" t="s">
        <v>400</v>
      </c>
      <c r="R31" s="73"/>
      <c r="S31" s="124">
        <v>46096.0</v>
      </c>
      <c r="T31" s="73">
        <v>150.0</v>
      </c>
      <c r="U31" s="73" t="s">
        <v>401</v>
      </c>
      <c r="V31" s="73"/>
      <c r="W31" s="114" t="s">
        <v>199</v>
      </c>
      <c r="X31" s="121"/>
      <c r="Y31" s="121"/>
      <c r="Z31" s="107" t="str">
        <f t="shared" si="3"/>
        <v>Chat WA</v>
      </c>
      <c r="AA31" s="107" t="str">
        <f t="shared" si="4"/>
        <v>Chat WA</v>
      </c>
      <c r="AB31" s="107" t="str">
        <f t="shared" si="5"/>
        <v>Kirim Invoice</v>
      </c>
      <c r="AC31" s="107" t="str">
        <f t="shared" si="6"/>
        <v>Chat WA</v>
      </c>
      <c r="AD31" s="108" t="str">
        <f>IFERROR(VLOOKUP($Q31,'12_ONT_NEW'!$D:$G,4,FALSE()),"")</f>
        <v/>
      </c>
      <c r="AE31" s="108"/>
      <c r="AF31" s="109"/>
      <c r="AG31" s="109"/>
      <c r="AH31" s="110">
        <f t="shared" si="7"/>
        <v>46218</v>
      </c>
      <c r="AI31" s="107" t="str">
        <f t="shared" si="8"/>
        <v>Kirim WA</v>
      </c>
      <c r="AJ31" s="107" t="str">
        <f t="shared" si="9"/>
        <v>Kirim WA</v>
      </c>
      <c r="AK31" s="107" t="str">
        <f t="shared" si="10"/>
        <v>Kirim WA</v>
      </c>
      <c r="AL31" s="111">
        <f t="shared" si="11"/>
        <v>71000</v>
      </c>
      <c r="AM31" s="107" t="str">
        <f t="shared" si="12"/>
        <v>Kirim Invoice</v>
      </c>
      <c r="AN31" s="89"/>
      <c r="AO31" s="89"/>
      <c r="AP31" s="112" t="str">
        <f t="shared" si="13"/>
        <v>3M_UP</v>
      </c>
      <c r="AQ31" s="89">
        <v>1521.0</v>
      </c>
      <c r="AR31" s="89"/>
      <c r="AS31" s="113"/>
      <c r="AT31" s="113"/>
    </row>
    <row r="32" ht="15.0" customHeight="1">
      <c r="A32" s="83">
        <f t="shared" si="1"/>
        <v>28</v>
      </c>
      <c r="B32" s="117" t="str">
        <f t="shared" si="2"/>
        <v>ARM-0028</v>
      </c>
      <c r="C32" s="118" t="s">
        <v>402</v>
      </c>
      <c r="D32" s="79" t="s">
        <v>403</v>
      </c>
      <c r="E32" s="79" t="s">
        <v>404</v>
      </c>
      <c r="F32" s="79" t="s">
        <v>405</v>
      </c>
      <c r="G32" s="79" t="s">
        <v>193</v>
      </c>
      <c r="H32" s="119" t="s">
        <v>211</v>
      </c>
      <c r="I32" s="119">
        <v>5.0</v>
      </c>
      <c r="J32" s="119">
        <v>2.0</v>
      </c>
      <c r="K32" s="119" t="s">
        <v>194</v>
      </c>
      <c r="L32" s="119" t="s">
        <v>221</v>
      </c>
      <c r="M32" s="119">
        <f>IFERROR(VLOOKUP(L32, '4_Produk'!C:E, 2, FALSE()), "")</f>
        <v>20</v>
      </c>
      <c r="N32" s="119">
        <f>IFERROR(VLOOKUP(L32, '4_Produk'!C:E, 3, FALSE()), "")</f>
        <v>115000</v>
      </c>
      <c r="O32" s="119" t="s">
        <v>406</v>
      </c>
      <c r="P32" s="119" t="s">
        <v>407</v>
      </c>
      <c r="Q32" s="119" t="s">
        <v>408</v>
      </c>
      <c r="R32" s="119"/>
      <c r="S32" s="120">
        <v>46096.0</v>
      </c>
      <c r="T32" s="119">
        <v>50.0</v>
      </c>
      <c r="U32" s="119" t="s">
        <v>409</v>
      </c>
      <c r="V32" s="119"/>
      <c r="W32" s="114" t="s">
        <v>199</v>
      </c>
      <c r="X32" s="121"/>
      <c r="Y32" s="121"/>
      <c r="Z32" s="107" t="str">
        <f t="shared" si="3"/>
        <v>Chat WA</v>
      </c>
      <c r="AA32" s="107" t="str">
        <f t="shared" si="4"/>
        <v>Chat WA</v>
      </c>
      <c r="AB32" s="107" t="str">
        <f t="shared" si="5"/>
        <v>Kirim Invoice</v>
      </c>
      <c r="AC32" s="107" t="str">
        <f t="shared" si="6"/>
        <v>Chat WA</v>
      </c>
      <c r="AD32" s="108" t="str">
        <f>IFERROR(VLOOKUP($Q32,'12_ONT_NEW'!$D:$G,4,FALSE()),"")</f>
        <v/>
      </c>
      <c r="AE32" s="108"/>
      <c r="AF32" s="109"/>
      <c r="AG32" s="109"/>
      <c r="AH32" s="110">
        <f t="shared" si="7"/>
        <v>46218</v>
      </c>
      <c r="AI32" s="107" t="str">
        <f t="shared" si="8"/>
        <v>Kirim WA</v>
      </c>
      <c r="AJ32" s="107" t="str">
        <f t="shared" si="9"/>
        <v>Kirim WA</v>
      </c>
      <c r="AK32" s="107" t="str">
        <f t="shared" si="10"/>
        <v>Kirim WA</v>
      </c>
      <c r="AL32" s="111">
        <f t="shared" si="11"/>
        <v>57500</v>
      </c>
      <c r="AM32" s="107" t="str">
        <f t="shared" si="12"/>
        <v>Kirim Invoice</v>
      </c>
      <c r="AN32" s="89"/>
      <c r="AO32" s="89"/>
      <c r="AP32" s="112" t="str">
        <f t="shared" si="13"/>
        <v>2M_UP</v>
      </c>
      <c r="AQ32" s="89">
        <v>1521.0</v>
      </c>
      <c r="AR32" s="89"/>
      <c r="AS32" s="113"/>
      <c r="AT32" s="113"/>
    </row>
    <row r="33" ht="15.0" customHeight="1">
      <c r="A33" s="79">
        <f t="shared" si="1"/>
        <v>29</v>
      </c>
      <c r="B33" s="122" t="str">
        <f t="shared" si="2"/>
        <v>ARM-0029</v>
      </c>
      <c r="C33" s="123"/>
      <c r="D33" s="83" t="s">
        <v>410</v>
      </c>
      <c r="E33" s="83"/>
      <c r="F33" s="83" t="s">
        <v>411</v>
      </c>
      <c r="G33" s="83" t="s">
        <v>193</v>
      </c>
      <c r="H33" s="73" t="s">
        <v>211</v>
      </c>
      <c r="I33" s="121"/>
      <c r="J33" s="121"/>
      <c r="K33" s="73" t="s">
        <v>194</v>
      </c>
      <c r="L33" s="73" t="s">
        <v>221</v>
      </c>
      <c r="M33" s="73">
        <f>IFERROR(VLOOKUP(L33, '4_Produk'!C:E, 2, FALSE()), "")</f>
        <v>20</v>
      </c>
      <c r="N33" s="73">
        <f>IFERROR(VLOOKUP(L33, '4_Produk'!C:E, 3, FALSE()), "")</f>
        <v>115000</v>
      </c>
      <c r="O33" s="73"/>
      <c r="P33" s="73"/>
      <c r="Q33" s="73"/>
      <c r="R33" s="73"/>
      <c r="S33" s="73"/>
      <c r="T33" s="73"/>
      <c r="U33" s="73"/>
      <c r="V33" s="73"/>
      <c r="W33" s="114" t="s">
        <v>199</v>
      </c>
      <c r="X33" s="121"/>
      <c r="Y33" s="121"/>
      <c r="Z33" s="107" t="str">
        <f t="shared" si="3"/>
        <v>Chat WA</v>
      </c>
      <c r="AA33" s="107" t="str">
        <f t="shared" si="4"/>
        <v>Chat WA</v>
      </c>
      <c r="AB33" s="107" t="str">
        <f t="shared" si="5"/>
        <v>Kirim Invoice</v>
      </c>
      <c r="AC33" s="107" t="str">
        <f t="shared" si="6"/>
        <v>Chat WA</v>
      </c>
      <c r="AD33" s="108" t="str">
        <f>IFERROR(VLOOKUP($Q33,'12_ONT_NEW'!$D:$G,4,FALSE()),"")</f>
        <v/>
      </c>
      <c r="AE33" s="108"/>
      <c r="AF33" s="109"/>
      <c r="AG33" s="109"/>
      <c r="AH33" s="110" t="str">
        <f t="shared" si="7"/>
        <v/>
      </c>
      <c r="AI33" s="107" t="str">
        <f t="shared" si="8"/>
        <v>Kirim WA</v>
      </c>
      <c r="AJ33" s="107" t="str">
        <f t="shared" si="9"/>
        <v>Kirim WA</v>
      </c>
      <c r="AK33" s="107" t="str">
        <f t="shared" si="10"/>
        <v>Kirim WA</v>
      </c>
      <c r="AL33" s="111" t="str">
        <f t="shared" si="11"/>
        <v/>
      </c>
      <c r="AM33" s="107" t="str">
        <f t="shared" si="12"/>
        <v>Kirim Invoice</v>
      </c>
      <c r="AN33" s="89"/>
      <c r="AO33" s="89"/>
      <c r="AP33" s="112" t="str">
        <f t="shared" si="13"/>
        <v>2M_UP</v>
      </c>
      <c r="AQ33" s="89">
        <v>1521.0</v>
      </c>
      <c r="AR33" s="89"/>
      <c r="AS33" s="113"/>
      <c r="AT33" s="113"/>
    </row>
    <row r="34" ht="15.0" customHeight="1">
      <c r="A34" s="83">
        <f t="shared" si="1"/>
        <v>30</v>
      </c>
      <c r="B34" s="117" t="str">
        <f t="shared" si="2"/>
        <v>ARM-0030</v>
      </c>
      <c r="C34" s="118" t="s">
        <v>412</v>
      </c>
      <c r="D34" s="79" t="s">
        <v>413</v>
      </c>
      <c r="E34" s="79" t="s">
        <v>414</v>
      </c>
      <c r="F34" s="79" t="s">
        <v>415</v>
      </c>
      <c r="G34" s="79" t="s">
        <v>193</v>
      </c>
      <c r="H34" s="119" t="s">
        <v>211</v>
      </c>
      <c r="I34" s="119">
        <v>4.0</v>
      </c>
      <c r="J34" s="119">
        <v>2.0</v>
      </c>
      <c r="K34" s="119" t="s">
        <v>194</v>
      </c>
      <c r="L34" s="119" t="s">
        <v>221</v>
      </c>
      <c r="M34" s="119">
        <f>IFERROR(VLOOKUP(L34, '4_Produk'!C:E, 2, FALSE()), "")</f>
        <v>20</v>
      </c>
      <c r="N34" s="119">
        <f>IFERROR(VLOOKUP(L34, '4_Produk'!C:E, 3, FALSE()), "")</f>
        <v>115000</v>
      </c>
      <c r="O34" s="119" t="s">
        <v>416</v>
      </c>
      <c r="P34" s="119" t="s">
        <v>417</v>
      </c>
      <c r="Q34" s="119" t="s">
        <v>418</v>
      </c>
      <c r="R34" s="119"/>
      <c r="S34" s="120">
        <v>46111.0</v>
      </c>
      <c r="T34" s="119">
        <v>200.0</v>
      </c>
      <c r="U34" s="119" t="s">
        <v>419</v>
      </c>
      <c r="V34" s="119"/>
      <c r="W34" s="114" t="s">
        <v>199</v>
      </c>
      <c r="X34" s="121"/>
      <c r="Y34" s="121"/>
      <c r="Z34" s="107" t="str">
        <f t="shared" si="3"/>
        <v>Chat WA</v>
      </c>
      <c r="AA34" s="107" t="str">
        <f t="shared" si="4"/>
        <v>Chat WA</v>
      </c>
      <c r="AB34" s="107" t="str">
        <f t="shared" si="5"/>
        <v>Kirim Invoice</v>
      </c>
      <c r="AC34" s="107" t="str">
        <f t="shared" si="6"/>
        <v>Chat WA</v>
      </c>
      <c r="AD34" s="108" t="str">
        <f>IFERROR(VLOOKUP($Q34,'12_ONT_NEW'!$D:$G,4,FALSE()),"")</f>
        <v/>
      </c>
      <c r="AE34" s="108"/>
      <c r="AF34" s="109"/>
      <c r="AG34" s="109"/>
      <c r="AH34" s="110">
        <f t="shared" si="7"/>
        <v>46233</v>
      </c>
      <c r="AI34" s="107" t="str">
        <f t="shared" si="8"/>
        <v>Kirim WA</v>
      </c>
      <c r="AJ34" s="107" t="str">
        <f t="shared" si="9"/>
        <v>Kirim WA</v>
      </c>
      <c r="AK34" s="107" t="str">
        <f t="shared" si="10"/>
        <v>Kirim WA</v>
      </c>
      <c r="AL34" s="111">
        <f t="shared" si="11"/>
        <v>0</v>
      </c>
      <c r="AM34" s="107" t="str">
        <f t="shared" si="12"/>
        <v>Kirim Invoice</v>
      </c>
      <c r="AN34" s="89"/>
      <c r="AO34" s="89"/>
      <c r="AP34" s="112" t="str">
        <f t="shared" si="13"/>
        <v>2M_UP</v>
      </c>
      <c r="AQ34" s="89">
        <v>1521.0</v>
      </c>
      <c r="AR34" s="89"/>
      <c r="AS34" s="113"/>
      <c r="AT34" s="113"/>
    </row>
    <row r="35" ht="15.0" customHeight="1">
      <c r="A35" s="83">
        <f t="shared" si="1"/>
        <v>31</v>
      </c>
      <c r="B35" s="122" t="str">
        <f t="shared" si="2"/>
        <v>ARM-0031</v>
      </c>
      <c r="C35" s="123" t="s">
        <v>420</v>
      </c>
      <c r="D35" s="83" t="s">
        <v>421</v>
      </c>
      <c r="E35" s="83" t="s">
        <v>422</v>
      </c>
      <c r="F35" s="83" t="s">
        <v>423</v>
      </c>
      <c r="G35" s="83" t="s">
        <v>193</v>
      </c>
      <c r="H35" s="73" t="s">
        <v>211</v>
      </c>
      <c r="I35" s="73">
        <v>15.0</v>
      </c>
      <c r="J35" s="73">
        <v>3.0</v>
      </c>
      <c r="K35" s="73" t="s">
        <v>194</v>
      </c>
      <c r="L35" s="73" t="s">
        <v>221</v>
      </c>
      <c r="M35" s="73">
        <f>IFERROR(VLOOKUP(L35, '4_Produk'!C:E, 2, FALSE()), "")</f>
        <v>20</v>
      </c>
      <c r="N35" s="73">
        <f>IFERROR(VLOOKUP(L35, '4_Produk'!C:E, 3, FALSE()), "")</f>
        <v>115000</v>
      </c>
      <c r="O35" s="73" t="s">
        <v>424</v>
      </c>
      <c r="P35" s="73" t="s">
        <v>425</v>
      </c>
      <c r="Q35" s="73" t="s">
        <v>426</v>
      </c>
      <c r="R35" s="73"/>
      <c r="S35" s="124">
        <v>46111.0</v>
      </c>
      <c r="T35" s="73">
        <v>250.0</v>
      </c>
      <c r="U35" s="73" t="s">
        <v>427</v>
      </c>
      <c r="V35" s="73"/>
      <c r="W35" s="114" t="s">
        <v>199</v>
      </c>
      <c r="X35" s="121"/>
      <c r="Y35" s="121"/>
      <c r="Z35" s="107" t="str">
        <f t="shared" si="3"/>
        <v>Chat WA</v>
      </c>
      <c r="AA35" s="107" t="str">
        <f t="shared" si="4"/>
        <v>Chat WA</v>
      </c>
      <c r="AB35" s="107" t="str">
        <f t="shared" si="5"/>
        <v>Kirim Invoice</v>
      </c>
      <c r="AC35" s="107" t="str">
        <f t="shared" si="6"/>
        <v>Chat WA</v>
      </c>
      <c r="AD35" s="108" t="str">
        <f>IFERROR(VLOOKUP($Q35,'12_ONT_NEW'!$D:$G,4,FALSE()),"")</f>
        <v/>
      </c>
      <c r="AE35" s="108"/>
      <c r="AF35" s="109"/>
      <c r="AG35" s="109"/>
      <c r="AH35" s="110">
        <f t="shared" si="7"/>
        <v>46233</v>
      </c>
      <c r="AI35" s="107" t="str">
        <f t="shared" si="8"/>
        <v>Kirim WA</v>
      </c>
      <c r="AJ35" s="107" t="str">
        <f t="shared" si="9"/>
        <v>Kirim WA</v>
      </c>
      <c r="AK35" s="107" t="str">
        <f t="shared" si="10"/>
        <v>Kirim WA</v>
      </c>
      <c r="AL35" s="111">
        <f t="shared" si="11"/>
        <v>0</v>
      </c>
      <c r="AM35" s="107" t="str">
        <f t="shared" si="12"/>
        <v>Kirim Invoice</v>
      </c>
      <c r="AN35" s="89"/>
      <c r="AO35" s="89"/>
      <c r="AP35" s="112" t="str">
        <f t="shared" si="13"/>
        <v>2M_UP</v>
      </c>
      <c r="AQ35" s="89">
        <v>1521.0</v>
      </c>
      <c r="AR35" s="89"/>
      <c r="AS35" s="113"/>
      <c r="AT35" s="113"/>
    </row>
    <row r="36" ht="15.0" customHeight="1">
      <c r="A36" s="101">
        <f t="shared" si="1"/>
        <v>32</v>
      </c>
      <c r="B36" s="102" t="str">
        <f t="shared" si="2"/>
        <v>ARM-0032</v>
      </c>
      <c r="C36" s="103" t="s">
        <v>428</v>
      </c>
      <c r="D36" s="101" t="s">
        <v>429</v>
      </c>
      <c r="E36" s="101"/>
      <c r="F36" s="101"/>
      <c r="G36" s="101" t="s">
        <v>193</v>
      </c>
      <c r="H36" s="104" t="s">
        <v>327</v>
      </c>
      <c r="I36" s="104"/>
      <c r="J36" s="104"/>
      <c r="K36" s="104" t="s">
        <v>194</v>
      </c>
      <c r="L36" s="104" t="s">
        <v>212</v>
      </c>
      <c r="M36" s="104">
        <f>IFERROR(VLOOKUP(L36, '4_Produk'!C:E, 2, FALSE()), "")</f>
        <v>30</v>
      </c>
      <c r="N36" s="104">
        <f>IFERROR(VLOOKUP(L36, '4_Produk'!C:E, 3, FALSE()), "")</f>
        <v>142000</v>
      </c>
      <c r="O36" s="115" t="s">
        <v>430</v>
      </c>
      <c r="P36" s="104" t="s">
        <v>431</v>
      </c>
      <c r="Q36" s="104" t="s">
        <v>432</v>
      </c>
      <c r="R36" s="104"/>
      <c r="S36" s="116">
        <v>46112.0</v>
      </c>
      <c r="T36" s="104">
        <v>200.0</v>
      </c>
      <c r="U36" s="104" t="s">
        <v>433</v>
      </c>
      <c r="V36" s="104" t="s">
        <v>198</v>
      </c>
      <c r="W36" s="114" t="s">
        <v>199</v>
      </c>
      <c r="X36" s="104"/>
      <c r="Y36" s="104"/>
      <c r="Z36" s="106" t="str">
        <f t="shared" si="3"/>
        <v/>
      </c>
      <c r="AA36" s="107" t="str">
        <f t="shared" si="4"/>
        <v/>
      </c>
      <c r="AB36" s="107" t="str">
        <f t="shared" si="5"/>
        <v/>
      </c>
      <c r="AC36" s="107" t="str">
        <f t="shared" si="6"/>
        <v/>
      </c>
      <c r="AD36" s="108" t="str">
        <f>IFERROR(VLOOKUP($Q36,'12_ONT_NEW'!$D:$G,4,FALSE()),"")</f>
        <v/>
      </c>
      <c r="AE36" s="108"/>
      <c r="AF36" s="109"/>
      <c r="AG36" s="109"/>
      <c r="AH36" s="110">
        <f t="shared" si="7"/>
        <v>46234</v>
      </c>
      <c r="AI36" s="107" t="str">
        <f t="shared" si="8"/>
        <v/>
      </c>
      <c r="AJ36" s="107" t="str">
        <f t="shared" si="9"/>
        <v/>
      </c>
      <c r="AK36" s="107" t="str">
        <f t="shared" si="10"/>
        <v/>
      </c>
      <c r="AL36" s="111">
        <f t="shared" si="11"/>
        <v>-4733</v>
      </c>
      <c r="AM36" s="107" t="str">
        <f t="shared" si="12"/>
        <v/>
      </c>
      <c r="AN36" s="89"/>
      <c r="AO36" s="89"/>
      <c r="AP36" s="112" t="str">
        <f t="shared" si="13"/>
        <v>3M_UP</v>
      </c>
      <c r="AQ36" s="89">
        <v>1521.0</v>
      </c>
      <c r="AR36" s="89"/>
      <c r="AS36" s="113"/>
      <c r="AT36" s="113"/>
    </row>
    <row r="37" ht="15.0" customHeight="1">
      <c r="A37" s="83">
        <f t="shared" si="1"/>
        <v>33</v>
      </c>
      <c r="B37" s="122" t="str">
        <f t="shared" si="2"/>
        <v>ARM-0033</v>
      </c>
      <c r="C37" s="123" t="s">
        <v>434</v>
      </c>
      <c r="D37" s="83" t="s">
        <v>435</v>
      </c>
      <c r="E37" s="83" t="s">
        <v>436</v>
      </c>
      <c r="F37" s="83" t="s">
        <v>437</v>
      </c>
      <c r="G37" s="83" t="s">
        <v>193</v>
      </c>
      <c r="H37" s="73" t="s">
        <v>211</v>
      </c>
      <c r="I37" s="73">
        <v>3.0</v>
      </c>
      <c r="J37" s="73">
        <v>3.0</v>
      </c>
      <c r="K37" s="73" t="s">
        <v>194</v>
      </c>
      <c r="L37" s="73" t="s">
        <v>221</v>
      </c>
      <c r="M37" s="73">
        <f>IFERROR(VLOOKUP(L37, '4_Produk'!C:E, 2, FALSE()), "")</f>
        <v>20</v>
      </c>
      <c r="N37" s="73">
        <f>IFERROR(VLOOKUP(L37, '4_Produk'!C:E, 3, FALSE()), "")</f>
        <v>115000</v>
      </c>
      <c r="O37" s="73" t="s">
        <v>438</v>
      </c>
      <c r="P37" s="73" t="s">
        <v>439</v>
      </c>
      <c r="Q37" s="73" t="s">
        <v>440</v>
      </c>
      <c r="R37" s="73"/>
      <c r="S37" s="124">
        <v>46207.0</v>
      </c>
      <c r="T37" s="73">
        <v>80.0</v>
      </c>
      <c r="U37" s="73" t="s">
        <v>441</v>
      </c>
      <c r="V37" s="73"/>
      <c r="W37" s="114" t="s">
        <v>199</v>
      </c>
      <c r="X37" s="121"/>
      <c r="Y37" s="121"/>
      <c r="Z37" s="107" t="str">
        <f t="shared" si="3"/>
        <v>Chat WA</v>
      </c>
      <c r="AA37" s="107" t="str">
        <f t="shared" si="4"/>
        <v>Chat WA</v>
      </c>
      <c r="AB37" s="107" t="str">
        <f t="shared" si="5"/>
        <v>Kirim Invoice</v>
      </c>
      <c r="AC37" s="107" t="str">
        <f t="shared" si="6"/>
        <v>Chat WA</v>
      </c>
      <c r="AD37" s="108" t="str">
        <f>IFERROR(VLOOKUP($Q37,'12_ONT_NEW'!$D:$G,4,FALSE()),"")</f>
        <v/>
      </c>
      <c r="AE37" s="108"/>
      <c r="AF37" s="109"/>
      <c r="AG37" s="109"/>
      <c r="AH37" s="110">
        <f t="shared" si="7"/>
        <v>46207</v>
      </c>
      <c r="AI37" s="107" t="str">
        <f t="shared" si="8"/>
        <v>Kirim WA</v>
      </c>
      <c r="AJ37" s="107" t="str">
        <f t="shared" si="9"/>
        <v>Kirim WA</v>
      </c>
      <c r="AK37" s="107" t="str">
        <f t="shared" si="10"/>
        <v>Kirim WA</v>
      </c>
      <c r="AL37" s="111">
        <f t="shared" si="11"/>
        <v>99667</v>
      </c>
      <c r="AM37" s="107" t="str">
        <f t="shared" si="12"/>
        <v>Kirim Invoice</v>
      </c>
      <c r="AN37" s="89"/>
      <c r="AO37" s="89"/>
      <c r="AP37" s="112" t="str">
        <f t="shared" si="13"/>
        <v>2M_UP</v>
      </c>
      <c r="AQ37" s="89">
        <v>1521.0</v>
      </c>
      <c r="AR37" s="89"/>
      <c r="AS37" s="113"/>
      <c r="AT37" s="113"/>
    </row>
    <row r="38" ht="15.0" customHeight="1">
      <c r="A38" s="83">
        <f t="shared" si="1"/>
        <v>34</v>
      </c>
      <c r="B38" s="117" t="str">
        <f t="shared" si="2"/>
        <v>ARM-0034</v>
      </c>
      <c r="C38" s="118" t="s">
        <v>442</v>
      </c>
      <c r="D38" s="79" t="s">
        <v>443</v>
      </c>
      <c r="E38" s="79" t="s">
        <v>444</v>
      </c>
      <c r="F38" s="79" t="s">
        <v>445</v>
      </c>
      <c r="G38" s="79" t="s">
        <v>193</v>
      </c>
      <c r="H38" s="119" t="s">
        <v>211</v>
      </c>
      <c r="I38" s="119">
        <v>2.0</v>
      </c>
      <c r="J38" s="119">
        <v>4.0</v>
      </c>
      <c r="K38" s="119" t="s">
        <v>194</v>
      </c>
      <c r="L38" s="119" t="s">
        <v>221</v>
      </c>
      <c r="M38" s="119">
        <f>IFERROR(VLOOKUP(L38, '4_Produk'!C:E, 2, FALSE()), "")</f>
        <v>20</v>
      </c>
      <c r="N38" s="119">
        <f>IFERROR(VLOOKUP(L38, '4_Produk'!C:E, 3, FALSE()), "")</f>
        <v>115000</v>
      </c>
      <c r="O38" s="119" t="s">
        <v>446</v>
      </c>
      <c r="P38" s="119" t="s">
        <v>447</v>
      </c>
      <c r="Q38" s="131" t="s">
        <v>448</v>
      </c>
      <c r="R38" s="119"/>
      <c r="S38" s="120">
        <v>46120.0</v>
      </c>
      <c r="T38" s="119">
        <v>200.0</v>
      </c>
      <c r="U38" s="119" t="s">
        <v>449</v>
      </c>
      <c r="V38" s="119"/>
      <c r="W38" s="114" t="s">
        <v>199</v>
      </c>
      <c r="X38" s="121"/>
      <c r="Y38" s="121"/>
      <c r="Z38" s="107" t="str">
        <f t="shared" si="3"/>
        <v>Chat WA</v>
      </c>
      <c r="AA38" s="107" t="str">
        <f t="shared" si="4"/>
        <v>Chat WA</v>
      </c>
      <c r="AB38" s="107" t="str">
        <f t="shared" si="5"/>
        <v>Kirim Invoice</v>
      </c>
      <c r="AC38" s="107" t="str">
        <f t="shared" si="6"/>
        <v>Chat WA</v>
      </c>
      <c r="AD38" s="108" t="str">
        <f>IFERROR(VLOOKUP($Q38,'12_ONT_NEW'!$D:$G,4,FALSE()),"")</f>
        <v/>
      </c>
      <c r="AE38" s="108"/>
      <c r="AF38" s="109"/>
      <c r="AG38" s="109"/>
      <c r="AH38" s="110">
        <f t="shared" si="7"/>
        <v>46211</v>
      </c>
      <c r="AI38" s="107" t="str">
        <f t="shared" si="8"/>
        <v>Kirim WA</v>
      </c>
      <c r="AJ38" s="107" t="str">
        <f t="shared" si="9"/>
        <v>Kirim WA</v>
      </c>
      <c r="AK38" s="107" t="str">
        <f t="shared" si="10"/>
        <v>Kirim WA</v>
      </c>
      <c r="AL38" s="111">
        <f t="shared" si="11"/>
        <v>84333</v>
      </c>
      <c r="AM38" s="107" t="str">
        <f t="shared" si="12"/>
        <v>Kirim Invoice</v>
      </c>
      <c r="AN38" s="89"/>
      <c r="AO38" s="89"/>
      <c r="AP38" s="112" t="str">
        <f t="shared" si="13"/>
        <v>2M_UP</v>
      </c>
      <c r="AQ38" s="89">
        <v>1521.0</v>
      </c>
      <c r="AR38" s="89"/>
      <c r="AS38" s="113"/>
      <c r="AT38" s="113"/>
    </row>
    <row r="39" ht="15.0" customHeight="1">
      <c r="A39" s="79">
        <f t="shared" si="1"/>
        <v>35</v>
      </c>
      <c r="B39" s="122" t="str">
        <f t="shared" si="2"/>
        <v>ARM-0035</v>
      </c>
      <c r="C39" s="123" t="s">
        <v>450</v>
      </c>
      <c r="D39" s="83" t="s">
        <v>451</v>
      </c>
      <c r="E39" s="83" t="s">
        <v>452</v>
      </c>
      <c r="F39" s="83" t="s">
        <v>453</v>
      </c>
      <c r="G39" s="83" t="s">
        <v>193</v>
      </c>
      <c r="H39" s="73" t="s">
        <v>211</v>
      </c>
      <c r="I39" s="73">
        <v>3.0</v>
      </c>
      <c r="J39" s="73">
        <v>2.0</v>
      </c>
      <c r="K39" s="73" t="s">
        <v>194</v>
      </c>
      <c r="L39" s="73" t="s">
        <v>221</v>
      </c>
      <c r="M39" s="73">
        <f>IFERROR(VLOOKUP(L39, '4_Produk'!C:E, 2, FALSE()), "")</f>
        <v>20</v>
      </c>
      <c r="N39" s="73">
        <f>IFERROR(VLOOKUP(L39, '4_Produk'!C:E, 3, FALSE()), "")</f>
        <v>115000</v>
      </c>
      <c r="O39" s="73" t="s">
        <v>454</v>
      </c>
      <c r="P39" s="73" t="s">
        <v>455</v>
      </c>
      <c r="Q39" s="73" t="s">
        <v>456</v>
      </c>
      <c r="R39" s="73"/>
      <c r="S39" s="124">
        <v>46123.0</v>
      </c>
      <c r="T39" s="73">
        <v>80.0</v>
      </c>
      <c r="U39" s="73" t="s">
        <v>457</v>
      </c>
      <c r="V39" s="73"/>
      <c r="W39" s="114" t="s">
        <v>199</v>
      </c>
      <c r="X39" s="121"/>
      <c r="Y39" s="121"/>
      <c r="Z39" s="107" t="str">
        <f t="shared" si="3"/>
        <v>Chat WA</v>
      </c>
      <c r="AA39" s="107" t="str">
        <f t="shared" si="4"/>
        <v>Chat WA</v>
      </c>
      <c r="AB39" s="107" t="str">
        <f t="shared" si="5"/>
        <v>Kirim Invoice</v>
      </c>
      <c r="AC39" s="107" t="str">
        <f t="shared" si="6"/>
        <v>Chat WA</v>
      </c>
      <c r="AD39" s="108" t="str">
        <f>IFERROR(VLOOKUP($Q39,'12_ONT_NEW'!$D:$G,4,FALSE()),"")</f>
        <v/>
      </c>
      <c r="AE39" s="108"/>
      <c r="AF39" s="109"/>
      <c r="AG39" s="109"/>
      <c r="AH39" s="110">
        <f t="shared" si="7"/>
        <v>46214</v>
      </c>
      <c r="AI39" s="107" t="str">
        <f t="shared" si="8"/>
        <v>Kirim WA</v>
      </c>
      <c r="AJ39" s="107" t="str">
        <f t="shared" si="9"/>
        <v>Kirim WA</v>
      </c>
      <c r="AK39" s="107" t="str">
        <f t="shared" si="10"/>
        <v>Kirim WA</v>
      </c>
      <c r="AL39" s="111">
        <f t="shared" si="11"/>
        <v>72833</v>
      </c>
      <c r="AM39" s="107" t="str">
        <f t="shared" si="12"/>
        <v>Kirim Invoice</v>
      </c>
      <c r="AN39" s="89"/>
      <c r="AO39" s="89"/>
      <c r="AP39" s="112" t="str">
        <f t="shared" si="13"/>
        <v>2M_UP</v>
      </c>
      <c r="AQ39" s="89">
        <v>1521.0</v>
      </c>
      <c r="AR39" s="89"/>
      <c r="AS39" s="113"/>
      <c r="AT39" s="113"/>
    </row>
    <row r="40" ht="15.0" customHeight="1">
      <c r="A40" s="83">
        <f t="shared" si="1"/>
        <v>36</v>
      </c>
      <c r="B40" s="117" t="str">
        <f t="shared" si="2"/>
        <v>ARM-0036</v>
      </c>
      <c r="C40" s="118" t="s">
        <v>458</v>
      </c>
      <c r="D40" s="79" t="s">
        <v>459</v>
      </c>
      <c r="E40" s="79" t="s">
        <v>460</v>
      </c>
      <c r="F40" s="79" t="s">
        <v>461</v>
      </c>
      <c r="G40" s="79" t="s">
        <v>193</v>
      </c>
      <c r="H40" s="119" t="s">
        <v>462</v>
      </c>
      <c r="I40" s="119">
        <v>3.0</v>
      </c>
      <c r="J40" s="119">
        <v>3.0</v>
      </c>
      <c r="K40" s="119" t="s">
        <v>194</v>
      </c>
      <c r="L40" s="119" t="s">
        <v>221</v>
      </c>
      <c r="M40" s="119">
        <f>IFERROR(VLOOKUP(L40, '4_Produk'!C:E, 2, FALSE()), "")</f>
        <v>20</v>
      </c>
      <c r="N40" s="119">
        <f>IFERROR(VLOOKUP(L40, '4_Produk'!C:E, 3, FALSE()), "")</f>
        <v>115000</v>
      </c>
      <c r="O40" s="119" t="s">
        <v>463</v>
      </c>
      <c r="P40" s="119" t="s">
        <v>464</v>
      </c>
      <c r="Q40" s="119" t="s">
        <v>465</v>
      </c>
      <c r="R40" s="119"/>
      <c r="S40" s="119" t="s">
        <v>466</v>
      </c>
      <c r="T40" s="119">
        <v>190.0</v>
      </c>
      <c r="U40" s="119" t="s">
        <v>467</v>
      </c>
      <c r="V40" s="119"/>
      <c r="W40" s="114" t="s">
        <v>199</v>
      </c>
      <c r="X40" s="121"/>
      <c r="Y40" s="121"/>
      <c r="Z40" s="107" t="str">
        <f t="shared" si="3"/>
        <v>Chat WA</v>
      </c>
      <c r="AA40" s="107" t="str">
        <f t="shared" si="4"/>
        <v>Chat WA</v>
      </c>
      <c r="AB40" s="107" t="str">
        <f t="shared" si="5"/>
        <v>Kirim Invoice</v>
      </c>
      <c r="AC40" s="107" t="str">
        <f t="shared" si="6"/>
        <v>Chat WA</v>
      </c>
      <c r="AD40" s="108" t="str">
        <f>IFERROR(VLOOKUP($Q40,'12_ONT_NEW'!$D:$G,4,FALSE()),"")</f>
        <v/>
      </c>
      <c r="AE40" s="108"/>
      <c r="AF40" s="109"/>
      <c r="AG40" s="109"/>
      <c r="AH40" s="110">
        <f t="shared" si="7"/>
        <v>46217</v>
      </c>
      <c r="AI40" s="107" t="str">
        <f t="shared" si="8"/>
        <v>Kirim WA</v>
      </c>
      <c r="AJ40" s="107" t="str">
        <f t="shared" si="9"/>
        <v>Kirim WA</v>
      </c>
      <c r="AK40" s="107" t="str">
        <f t="shared" si="10"/>
        <v>Kirim WA</v>
      </c>
      <c r="AL40" s="111">
        <f t="shared" si="11"/>
        <v>61333</v>
      </c>
      <c r="AM40" s="107" t="str">
        <f t="shared" si="12"/>
        <v>Kirim Invoice</v>
      </c>
      <c r="AN40" s="89"/>
      <c r="AO40" s="89"/>
      <c r="AP40" s="112" t="str">
        <f t="shared" si="13"/>
        <v>2M_UP</v>
      </c>
      <c r="AQ40" s="89">
        <v>1521.0</v>
      </c>
      <c r="AR40" s="89"/>
      <c r="AS40" s="113"/>
      <c r="AT40" s="113"/>
    </row>
    <row r="41" ht="15.0" customHeight="1">
      <c r="A41" s="83">
        <f t="shared" si="1"/>
        <v>37</v>
      </c>
      <c r="B41" s="122" t="str">
        <f t="shared" si="2"/>
        <v>ARM-0037</v>
      </c>
      <c r="C41" s="123" t="s">
        <v>468</v>
      </c>
      <c r="D41" s="83" t="s">
        <v>469</v>
      </c>
      <c r="E41" s="83" t="s">
        <v>470</v>
      </c>
      <c r="F41" s="83" t="s">
        <v>471</v>
      </c>
      <c r="G41" s="83" t="s">
        <v>193</v>
      </c>
      <c r="H41" s="73" t="s">
        <v>462</v>
      </c>
      <c r="I41" s="73">
        <v>3.0</v>
      </c>
      <c r="J41" s="73">
        <v>3.0</v>
      </c>
      <c r="K41" s="73" t="s">
        <v>194</v>
      </c>
      <c r="L41" s="73" t="s">
        <v>221</v>
      </c>
      <c r="M41" s="73">
        <f>IFERROR(VLOOKUP(L41, '4_Produk'!C:E, 2, FALSE()), "")</f>
        <v>20</v>
      </c>
      <c r="N41" s="73">
        <f>IFERROR(VLOOKUP(L41, '4_Produk'!C:E, 3, FALSE()), "")</f>
        <v>115000</v>
      </c>
      <c r="O41" s="73" t="s">
        <v>472</v>
      </c>
      <c r="P41" s="73" t="s">
        <v>473</v>
      </c>
      <c r="Q41" s="73" t="s">
        <v>474</v>
      </c>
      <c r="R41" s="73"/>
      <c r="S41" s="73" t="s">
        <v>475</v>
      </c>
      <c r="T41" s="73">
        <v>175.0</v>
      </c>
      <c r="U41" s="73" t="s">
        <v>476</v>
      </c>
      <c r="V41" s="73"/>
      <c r="W41" s="114" t="s">
        <v>199</v>
      </c>
      <c r="X41" s="121"/>
      <c r="Y41" s="121"/>
      <c r="Z41" s="107" t="str">
        <f t="shared" si="3"/>
        <v>Chat WA</v>
      </c>
      <c r="AA41" s="107" t="str">
        <f t="shared" si="4"/>
        <v>Chat WA</v>
      </c>
      <c r="AB41" s="107" t="str">
        <f t="shared" si="5"/>
        <v>Kirim Invoice</v>
      </c>
      <c r="AC41" s="107" t="str">
        <f t="shared" si="6"/>
        <v>Chat WA</v>
      </c>
      <c r="AD41" s="108" t="str">
        <f>IFERROR(VLOOKUP($Q41,'12_ONT_NEW'!$D:$G,4,FALSE()),"")</f>
        <v/>
      </c>
      <c r="AE41" s="108"/>
      <c r="AF41" s="109"/>
      <c r="AG41" s="109"/>
      <c r="AH41" s="110">
        <f t="shared" si="7"/>
        <v>46217</v>
      </c>
      <c r="AI41" s="107" t="str">
        <f t="shared" si="8"/>
        <v>Kirim WA</v>
      </c>
      <c r="AJ41" s="107" t="str">
        <f t="shared" si="9"/>
        <v>Kirim WA</v>
      </c>
      <c r="AK41" s="107" t="str">
        <f t="shared" si="10"/>
        <v>Kirim WA</v>
      </c>
      <c r="AL41" s="111">
        <f t="shared" si="11"/>
        <v>61333</v>
      </c>
      <c r="AM41" s="107" t="str">
        <f t="shared" si="12"/>
        <v>Kirim Invoice</v>
      </c>
      <c r="AN41" s="89"/>
      <c r="AO41" s="89"/>
      <c r="AP41" s="112" t="str">
        <f t="shared" si="13"/>
        <v>2M_UP</v>
      </c>
      <c r="AQ41" s="89">
        <v>1521.0</v>
      </c>
      <c r="AR41" s="89"/>
      <c r="AS41" s="113"/>
      <c r="AT41" s="113"/>
    </row>
    <row r="42" ht="15.0" customHeight="1">
      <c r="A42" s="79">
        <f t="shared" si="1"/>
        <v>38</v>
      </c>
      <c r="B42" s="117" t="str">
        <f t="shared" si="2"/>
        <v>ARM-0038</v>
      </c>
      <c r="C42" s="118" t="s">
        <v>477</v>
      </c>
      <c r="D42" s="79" t="s">
        <v>478</v>
      </c>
      <c r="E42" s="79" t="s">
        <v>479</v>
      </c>
      <c r="F42" s="79" t="s">
        <v>480</v>
      </c>
      <c r="G42" s="79" t="s">
        <v>193</v>
      </c>
      <c r="H42" s="119" t="s">
        <v>211</v>
      </c>
      <c r="I42" s="121"/>
      <c r="J42" s="121"/>
      <c r="K42" s="119" t="s">
        <v>194</v>
      </c>
      <c r="L42" s="119" t="s">
        <v>221</v>
      </c>
      <c r="M42" s="119">
        <f>IFERROR(VLOOKUP(L42, '4_Produk'!C:E, 2, FALSE()), "")</f>
        <v>20</v>
      </c>
      <c r="N42" s="119">
        <f>IFERROR(VLOOKUP(L42, '4_Produk'!C:E, 3, FALSE()), "")</f>
        <v>115000</v>
      </c>
      <c r="O42" s="119" t="s">
        <v>481</v>
      </c>
      <c r="P42" s="119" t="s">
        <v>482</v>
      </c>
      <c r="Q42" s="119" t="s">
        <v>483</v>
      </c>
      <c r="R42" s="119"/>
      <c r="S42" s="119" t="s">
        <v>484</v>
      </c>
      <c r="T42" s="119">
        <v>80.0</v>
      </c>
      <c r="U42" s="119" t="s">
        <v>485</v>
      </c>
      <c r="V42" s="119"/>
      <c r="W42" s="114" t="s">
        <v>199</v>
      </c>
      <c r="X42" s="121"/>
      <c r="Y42" s="121"/>
      <c r="Z42" s="107" t="str">
        <f t="shared" si="3"/>
        <v>Chat WA</v>
      </c>
      <c r="AA42" s="107" t="str">
        <f t="shared" si="4"/>
        <v>Chat WA</v>
      </c>
      <c r="AB42" s="107" t="str">
        <f t="shared" si="5"/>
        <v>Kirim Invoice</v>
      </c>
      <c r="AC42" s="107" t="str">
        <f t="shared" si="6"/>
        <v>Chat WA</v>
      </c>
      <c r="AD42" s="108" t="str">
        <f>IFERROR(VLOOKUP($Q42,'12_ONT_NEW'!$D:$G,4,FALSE()),"")</f>
        <v/>
      </c>
      <c r="AE42" s="108"/>
      <c r="AF42" s="109"/>
      <c r="AG42" s="109"/>
      <c r="AH42" s="110">
        <f t="shared" si="7"/>
        <v>46218</v>
      </c>
      <c r="AI42" s="107" t="str">
        <f t="shared" si="8"/>
        <v>Kirim WA</v>
      </c>
      <c r="AJ42" s="107" t="str">
        <f t="shared" si="9"/>
        <v>Kirim WA</v>
      </c>
      <c r="AK42" s="107" t="str">
        <f t="shared" si="10"/>
        <v>Kirim WA</v>
      </c>
      <c r="AL42" s="111">
        <f t="shared" si="11"/>
        <v>57500</v>
      </c>
      <c r="AM42" s="107" t="str">
        <f t="shared" si="12"/>
        <v>Kirim Invoice</v>
      </c>
      <c r="AN42" s="89"/>
      <c r="AO42" s="89"/>
      <c r="AP42" s="112" t="str">
        <f t="shared" si="13"/>
        <v>2M_UP</v>
      </c>
      <c r="AQ42" s="89">
        <v>1521.0</v>
      </c>
      <c r="AR42" s="89"/>
      <c r="AS42" s="113"/>
      <c r="AT42" s="113"/>
    </row>
    <row r="43" ht="15.0" customHeight="1">
      <c r="A43" s="101">
        <f t="shared" si="1"/>
        <v>39</v>
      </c>
      <c r="B43" s="102" t="str">
        <f t="shared" si="2"/>
        <v>ARM-0039</v>
      </c>
      <c r="C43" s="103" t="s">
        <v>486</v>
      </c>
      <c r="D43" s="101" t="s">
        <v>487</v>
      </c>
      <c r="E43" s="101"/>
      <c r="F43" s="101"/>
      <c r="G43" s="101" t="s">
        <v>193</v>
      </c>
      <c r="H43" s="104" t="s">
        <v>211</v>
      </c>
      <c r="I43" s="104"/>
      <c r="J43" s="104"/>
      <c r="K43" s="104" t="s">
        <v>194</v>
      </c>
      <c r="L43" s="104" t="s">
        <v>221</v>
      </c>
      <c r="M43" s="104">
        <f>IFERROR(VLOOKUP(L43, '4_Produk'!C:E, 2, FALSE()), "")</f>
        <v>20</v>
      </c>
      <c r="N43" s="104">
        <f>IFERROR(VLOOKUP(L43, '4_Produk'!C:E, 3, FALSE()), "")</f>
        <v>115000</v>
      </c>
      <c r="O43" s="104" t="s">
        <v>488</v>
      </c>
      <c r="P43" s="104" t="s">
        <v>489</v>
      </c>
      <c r="Q43" s="104" t="s">
        <v>490</v>
      </c>
      <c r="R43" s="104"/>
      <c r="S43" s="104" t="s">
        <v>491</v>
      </c>
      <c r="T43" s="104">
        <v>80.0</v>
      </c>
      <c r="U43" s="104" t="s">
        <v>492</v>
      </c>
      <c r="V43" s="104" t="s">
        <v>198</v>
      </c>
      <c r="W43" s="114" t="s">
        <v>199</v>
      </c>
      <c r="X43" s="104"/>
      <c r="Y43" s="104"/>
      <c r="Z43" s="106" t="str">
        <f t="shared" si="3"/>
        <v/>
      </c>
      <c r="AA43" s="107" t="str">
        <f t="shared" si="4"/>
        <v/>
      </c>
      <c r="AB43" s="107" t="str">
        <f t="shared" si="5"/>
        <v/>
      </c>
      <c r="AC43" s="107" t="str">
        <f t="shared" si="6"/>
        <v/>
      </c>
      <c r="AD43" s="108" t="str">
        <f>IFERROR(VLOOKUP($Q43,'12_ONT_NEW'!$D:$G,4,FALSE()),"")</f>
        <v/>
      </c>
      <c r="AE43" s="108"/>
      <c r="AF43" s="109"/>
      <c r="AG43" s="109"/>
      <c r="AH43" s="110">
        <f t="shared" si="7"/>
        <v>46222</v>
      </c>
      <c r="AI43" s="107" t="str">
        <f t="shared" si="8"/>
        <v/>
      </c>
      <c r="AJ43" s="107" t="str">
        <f t="shared" si="9"/>
        <v/>
      </c>
      <c r="AK43" s="107" t="str">
        <f t="shared" si="10"/>
        <v/>
      </c>
      <c r="AL43" s="111">
        <f t="shared" si="11"/>
        <v>42167</v>
      </c>
      <c r="AM43" s="107" t="str">
        <f t="shared" si="12"/>
        <v/>
      </c>
      <c r="AN43" s="89"/>
      <c r="AO43" s="89"/>
      <c r="AP43" s="112" t="str">
        <f t="shared" si="13"/>
        <v>2M_UP</v>
      </c>
      <c r="AQ43" s="89">
        <v>1521.0</v>
      </c>
      <c r="AR43" s="89"/>
      <c r="AS43" s="113"/>
      <c r="AT43" s="113"/>
    </row>
    <row r="44" ht="15.0" customHeight="1">
      <c r="A44" s="83">
        <f t="shared" si="1"/>
        <v>40</v>
      </c>
      <c r="B44" s="117" t="str">
        <f t="shared" si="2"/>
        <v>ARM-0040</v>
      </c>
      <c r="C44" s="118" t="s">
        <v>493</v>
      </c>
      <c r="D44" s="79" t="s">
        <v>494</v>
      </c>
      <c r="E44" s="79" t="s">
        <v>495</v>
      </c>
      <c r="F44" s="79" t="s">
        <v>496</v>
      </c>
      <c r="G44" s="79" t="s">
        <v>193</v>
      </c>
      <c r="H44" s="119" t="s">
        <v>211</v>
      </c>
      <c r="I44" s="119">
        <v>4.0</v>
      </c>
      <c r="J44" s="119">
        <v>3.0</v>
      </c>
      <c r="K44" s="119" t="s">
        <v>194</v>
      </c>
      <c r="L44" s="119" t="s">
        <v>221</v>
      </c>
      <c r="M44" s="119">
        <f>IFERROR(VLOOKUP(L44, '4_Produk'!C:E, 2, FALSE()), "")</f>
        <v>20</v>
      </c>
      <c r="N44" s="119">
        <f>IFERROR(VLOOKUP(L44, '4_Produk'!C:E, 3, FALSE()), "")</f>
        <v>115000</v>
      </c>
      <c r="O44" s="119" t="s">
        <v>497</v>
      </c>
      <c r="P44" s="119" t="s">
        <v>498</v>
      </c>
      <c r="Q44" s="119" t="s">
        <v>499</v>
      </c>
      <c r="R44" s="119"/>
      <c r="S44" s="119" t="s">
        <v>500</v>
      </c>
      <c r="T44" s="119">
        <v>170.0</v>
      </c>
      <c r="U44" s="119" t="s">
        <v>501</v>
      </c>
      <c r="V44" s="119"/>
      <c r="W44" s="114" t="s">
        <v>199</v>
      </c>
      <c r="X44" s="121"/>
      <c r="Y44" s="121"/>
      <c r="Z44" s="107" t="str">
        <f t="shared" si="3"/>
        <v>Chat WA</v>
      </c>
      <c r="AA44" s="107" t="str">
        <f t="shared" si="4"/>
        <v>Chat WA</v>
      </c>
      <c r="AB44" s="107" t="str">
        <f t="shared" si="5"/>
        <v>Kirim Invoice</v>
      </c>
      <c r="AC44" s="107" t="str">
        <f t="shared" si="6"/>
        <v>Chat WA</v>
      </c>
      <c r="AD44" s="108" t="str">
        <f>IFERROR(VLOOKUP($Q44,'12_ONT_NEW'!$D:$G,4,FALSE()),"")</f>
        <v/>
      </c>
      <c r="AE44" s="108"/>
      <c r="AF44" s="109"/>
      <c r="AG44" s="109"/>
      <c r="AH44" s="110">
        <f t="shared" si="7"/>
        <v>46223</v>
      </c>
      <c r="AI44" s="107" t="str">
        <f t="shared" si="8"/>
        <v>Kirim WA</v>
      </c>
      <c r="AJ44" s="107" t="str">
        <f t="shared" si="9"/>
        <v>Kirim WA</v>
      </c>
      <c r="AK44" s="107" t="str">
        <f t="shared" si="10"/>
        <v>Kirim WA</v>
      </c>
      <c r="AL44" s="111">
        <f t="shared" si="11"/>
        <v>38333</v>
      </c>
      <c r="AM44" s="107" t="str">
        <f t="shared" si="12"/>
        <v>Kirim Invoice</v>
      </c>
      <c r="AN44" s="89"/>
      <c r="AO44" s="89"/>
      <c r="AP44" s="112" t="str">
        <f t="shared" si="13"/>
        <v>2M_UP</v>
      </c>
      <c r="AQ44" s="89">
        <v>1521.0</v>
      </c>
      <c r="AR44" s="89"/>
      <c r="AS44" s="113"/>
      <c r="AT44" s="113"/>
    </row>
    <row r="45" ht="15.0" customHeight="1">
      <c r="A45" s="79">
        <f t="shared" si="1"/>
        <v>41</v>
      </c>
      <c r="B45" s="122" t="str">
        <f t="shared" si="2"/>
        <v>ARM-0041</v>
      </c>
      <c r="C45" s="123" t="s">
        <v>502</v>
      </c>
      <c r="D45" s="83" t="s">
        <v>503</v>
      </c>
      <c r="E45" s="83" t="s">
        <v>504</v>
      </c>
      <c r="F45" s="83" t="s">
        <v>505</v>
      </c>
      <c r="G45" s="83" t="s">
        <v>193</v>
      </c>
      <c r="H45" s="73" t="s">
        <v>211</v>
      </c>
      <c r="I45" s="121">
        <v>4.0</v>
      </c>
      <c r="J45" s="121">
        <v>2.0</v>
      </c>
      <c r="K45" s="73" t="s">
        <v>194</v>
      </c>
      <c r="L45" s="73" t="s">
        <v>221</v>
      </c>
      <c r="M45" s="73">
        <f>IFERROR(VLOOKUP(L45, '4_Produk'!C:E, 2, FALSE()), "")</f>
        <v>20</v>
      </c>
      <c r="N45" s="73">
        <f>IFERROR(VLOOKUP(L45, '4_Produk'!C:E, 3, FALSE()), "")</f>
        <v>115000</v>
      </c>
      <c r="O45" s="73" t="s">
        <v>506</v>
      </c>
      <c r="P45" s="73" t="s">
        <v>507</v>
      </c>
      <c r="Q45" s="73" t="s">
        <v>508</v>
      </c>
      <c r="R45" s="73"/>
      <c r="S45" s="73"/>
      <c r="T45" s="73">
        <v>185.0</v>
      </c>
      <c r="U45" s="73" t="s">
        <v>509</v>
      </c>
      <c r="V45" s="73"/>
      <c r="W45" s="114" t="s">
        <v>199</v>
      </c>
      <c r="X45" s="121"/>
      <c r="Y45" s="121"/>
      <c r="Z45" s="107" t="str">
        <f t="shared" si="3"/>
        <v>Chat WA</v>
      </c>
      <c r="AA45" s="107" t="str">
        <f t="shared" si="4"/>
        <v>Chat WA</v>
      </c>
      <c r="AB45" s="107" t="str">
        <f t="shared" si="5"/>
        <v>Kirim Invoice</v>
      </c>
      <c r="AC45" s="107" t="str">
        <f t="shared" si="6"/>
        <v>Chat WA</v>
      </c>
      <c r="AD45" s="108" t="str">
        <f>IFERROR(VLOOKUP($Q45,'12_ONT_NEW'!$D:$G,4,FALSE()),"")</f>
        <v/>
      </c>
      <c r="AE45" s="108"/>
      <c r="AF45" s="109"/>
      <c r="AG45" s="109"/>
      <c r="AH45" s="110" t="str">
        <f t="shared" si="7"/>
        <v/>
      </c>
      <c r="AI45" s="107" t="str">
        <f t="shared" si="8"/>
        <v>Kirim WA</v>
      </c>
      <c r="AJ45" s="107" t="str">
        <f t="shared" si="9"/>
        <v>Kirim WA</v>
      </c>
      <c r="AK45" s="107" t="str">
        <f t="shared" si="10"/>
        <v>Kirim WA</v>
      </c>
      <c r="AL45" s="111" t="str">
        <f t="shared" si="11"/>
        <v/>
      </c>
      <c r="AM45" s="107" t="str">
        <f t="shared" si="12"/>
        <v>Kirim Invoice</v>
      </c>
      <c r="AN45" s="89"/>
      <c r="AO45" s="89"/>
      <c r="AP45" s="112" t="str">
        <f t="shared" si="13"/>
        <v>2M_UP</v>
      </c>
      <c r="AQ45" s="89">
        <v>1521.0</v>
      </c>
      <c r="AR45" s="89"/>
      <c r="AS45" s="113"/>
      <c r="AT45" s="113"/>
    </row>
    <row r="46" ht="15.0" customHeight="1">
      <c r="A46" s="83">
        <f t="shared" si="1"/>
        <v>42</v>
      </c>
      <c r="B46" s="117" t="str">
        <f t="shared" si="2"/>
        <v>ARM-0042</v>
      </c>
      <c r="C46" s="118" t="s">
        <v>510</v>
      </c>
      <c r="D46" s="79" t="s">
        <v>511</v>
      </c>
      <c r="E46" s="79" t="s">
        <v>512</v>
      </c>
      <c r="F46" s="79" t="s">
        <v>513</v>
      </c>
      <c r="G46" s="79" t="s">
        <v>193</v>
      </c>
      <c r="H46" s="119" t="s">
        <v>211</v>
      </c>
      <c r="I46" s="119">
        <v>4.0</v>
      </c>
      <c r="J46" s="119">
        <v>2.0</v>
      </c>
      <c r="K46" s="119" t="s">
        <v>194</v>
      </c>
      <c r="L46" s="119" t="s">
        <v>221</v>
      </c>
      <c r="M46" s="119">
        <f>IFERROR(VLOOKUP(L46, '4_Produk'!C:E, 2, FALSE()), "")</f>
        <v>20</v>
      </c>
      <c r="N46" s="119">
        <f>IFERROR(VLOOKUP(L46, '4_Produk'!C:E, 3, FALSE()), "")</f>
        <v>115000</v>
      </c>
      <c r="O46" s="119" t="s">
        <v>514</v>
      </c>
      <c r="P46" s="119" t="s">
        <v>515</v>
      </c>
      <c r="Q46" s="119" t="s">
        <v>516</v>
      </c>
      <c r="R46" s="119"/>
      <c r="S46" s="119" t="s">
        <v>517</v>
      </c>
      <c r="T46" s="119">
        <v>150.0</v>
      </c>
      <c r="U46" s="119" t="s">
        <v>518</v>
      </c>
      <c r="V46" s="119"/>
      <c r="W46" s="114" t="s">
        <v>199</v>
      </c>
      <c r="X46" s="121"/>
      <c r="Y46" s="121"/>
      <c r="Z46" s="107" t="str">
        <f t="shared" si="3"/>
        <v>Chat WA</v>
      </c>
      <c r="AA46" s="107" t="str">
        <f t="shared" si="4"/>
        <v>Chat WA</v>
      </c>
      <c r="AB46" s="107" t="str">
        <f t="shared" si="5"/>
        <v>Kirim Invoice</v>
      </c>
      <c r="AC46" s="107" t="str">
        <f t="shared" si="6"/>
        <v>Chat WA</v>
      </c>
      <c r="AD46" s="108" t="str">
        <f>IFERROR(VLOOKUP($Q46,'12_ONT_NEW'!$D:$G,4,FALSE()),"")</f>
        <v/>
      </c>
      <c r="AE46" s="108"/>
      <c r="AF46" s="109"/>
      <c r="AG46" s="109"/>
      <c r="AH46" s="110">
        <f t="shared" si="7"/>
        <v>46230</v>
      </c>
      <c r="AI46" s="107" t="str">
        <f t="shared" si="8"/>
        <v>Kirim WA</v>
      </c>
      <c r="AJ46" s="107" t="str">
        <f t="shared" si="9"/>
        <v>Kirim WA</v>
      </c>
      <c r="AK46" s="107" t="str">
        <f t="shared" si="10"/>
        <v>Kirim WA</v>
      </c>
      <c r="AL46" s="111">
        <f t="shared" si="11"/>
        <v>11500</v>
      </c>
      <c r="AM46" s="107" t="str">
        <f t="shared" si="12"/>
        <v>Kirim Invoice</v>
      </c>
      <c r="AN46" s="89"/>
      <c r="AO46" s="89"/>
      <c r="AP46" s="112" t="str">
        <f t="shared" si="13"/>
        <v>2M_UP</v>
      </c>
      <c r="AQ46" s="89">
        <v>1521.0</v>
      </c>
      <c r="AR46" s="89"/>
      <c r="AS46" s="113"/>
      <c r="AT46" s="113"/>
    </row>
    <row r="47" ht="15.0" customHeight="1">
      <c r="A47" s="83">
        <f t="shared" si="1"/>
        <v>43</v>
      </c>
      <c r="B47" s="122" t="str">
        <f t="shared" si="2"/>
        <v>ARM-0043</v>
      </c>
      <c r="C47" s="123" t="s">
        <v>519</v>
      </c>
      <c r="D47" s="83" t="s">
        <v>520</v>
      </c>
      <c r="E47" s="83" t="s">
        <v>521</v>
      </c>
      <c r="F47" s="83" t="s">
        <v>522</v>
      </c>
      <c r="G47" s="83" t="s">
        <v>193</v>
      </c>
      <c r="H47" s="73" t="s">
        <v>523</v>
      </c>
      <c r="I47" s="73">
        <v>5.0</v>
      </c>
      <c r="J47" s="73">
        <v>1.0</v>
      </c>
      <c r="K47" s="73" t="s">
        <v>194</v>
      </c>
      <c r="L47" s="73" t="s">
        <v>221</v>
      </c>
      <c r="M47" s="73">
        <f>IFERROR(VLOOKUP(L47, '4_Produk'!C:E, 2, FALSE()), "")</f>
        <v>20</v>
      </c>
      <c r="N47" s="73">
        <f>IFERROR(VLOOKUP(L47, '4_Produk'!C:E, 3, FALSE()), "")</f>
        <v>115000</v>
      </c>
      <c r="O47" s="73" t="s">
        <v>524</v>
      </c>
      <c r="P47" s="73" t="s">
        <v>525</v>
      </c>
      <c r="Q47" s="73" t="s">
        <v>526</v>
      </c>
      <c r="R47" s="73"/>
      <c r="S47" s="73" t="s">
        <v>527</v>
      </c>
      <c r="T47" s="73">
        <v>80.0</v>
      </c>
      <c r="U47" s="73" t="s">
        <v>528</v>
      </c>
      <c r="V47" s="73"/>
      <c r="W47" s="114" t="s">
        <v>199</v>
      </c>
      <c r="X47" s="121"/>
      <c r="Y47" s="121"/>
      <c r="Z47" s="107" t="str">
        <f t="shared" si="3"/>
        <v>Chat WA</v>
      </c>
      <c r="AA47" s="107" t="str">
        <f t="shared" si="4"/>
        <v>Chat WA</v>
      </c>
      <c r="AB47" s="107" t="str">
        <f t="shared" si="5"/>
        <v>Kirim Invoice</v>
      </c>
      <c r="AC47" s="107" t="str">
        <f t="shared" si="6"/>
        <v>Chat WA</v>
      </c>
      <c r="AD47" s="108" t="str">
        <f>IFERROR(VLOOKUP($Q47,'12_ONT_NEW'!$D:$G,4,FALSE()),"")</f>
        <v/>
      </c>
      <c r="AE47" s="108"/>
      <c r="AF47" s="109"/>
      <c r="AG47" s="109"/>
      <c r="AH47" s="110">
        <f t="shared" si="7"/>
        <v>46231</v>
      </c>
      <c r="AI47" s="107" t="str">
        <f t="shared" si="8"/>
        <v>Kirim WA</v>
      </c>
      <c r="AJ47" s="107" t="str">
        <f t="shared" si="9"/>
        <v>Kirim WA</v>
      </c>
      <c r="AK47" s="107" t="str">
        <f t="shared" si="10"/>
        <v>Kirim WA</v>
      </c>
      <c r="AL47" s="111">
        <f t="shared" si="11"/>
        <v>7667</v>
      </c>
      <c r="AM47" s="107" t="str">
        <f t="shared" si="12"/>
        <v>Kirim Invoice</v>
      </c>
      <c r="AN47" s="89"/>
      <c r="AO47" s="89"/>
      <c r="AP47" s="112" t="str">
        <f t="shared" si="13"/>
        <v>2M_UP</v>
      </c>
      <c r="AQ47" s="89">
        <v>1521.0</v>
      </c>
      <c r="AR47" s="89"/>
      <c r="AS47" s="113"/>
      <c r="AT47" s="113"/>
    </row>
    <row r="48" ht="15.0" customHeight="1">
      <c r="A48" s="79">
        <f t="shared" si="1"/>
        <v>44</v>
      </c>
      <c r="B48" s="117" t="str">
        <f t="shared" si="2"/>
        <v>ARM-0044</v>
      </c>
      <c r="C48" s="118" t="s">
        <v>529</v>
      </c>
      <c r="D48" s="79" t="s">
        <v>530</v>
      </c>
      <c r="E48" s="79" t="s">
        <v>531</v>
      </c>
      <c r="F48" s="79" t="s">
        <v>532</v>
      </c>
      <c r="G48" s="79" t="s">
        <v>193</v>
      </c>
      <c r="H48" s="119" t="s">
        <v>523</v>
      </c>
      <c r="I48" s="119">
        <v>5.0</v>
      </c>
      <c r="J48" s="119">
        <v>1.0</v>
      </c>
      <c r="K48" s="119" t="s">
        <v>194</v>
      </c>
      <c r="L48" s="119" t="s">
        <v>221</v>
      </c>
      <c r="M48" s="119">
        <f>IFERROR(VLOOKUP(L48, '4_Produk'!C:E, 2, FALSE()), "")</f>
        <v>20</v>
      </c>
      <c r="N48" s="119">
        <f>IFERROR(VLOOKUP(L48, '4_Produk'!C:E, 3, FALSE()), "")</f>
        <v>115000</v>
      </c>
      <c r="O48" s="119" t="s">
        <v>533</v>
      </c>
      <c r="P48" s="119" t="s">
        <v>534</v>
      </c>
      <c r="Q48" s="119" t="s">
        <v>535</v>
      </c>
      <c r="R48" s="119"/>
      <c r="S48" s="119" t="s">
        <v>527</v>
      </c>
      <c r="T48" s="119">
        <v>70.0</v>
      </c>
      <c r="U48" s="119" t="s">
        <v>536</v>
      </c>
      <c r="V48" s="119"/>
      <c r="W48" s="114" t="s">
        <v>199</v>
      </c>
      <c r="X48" s="121"/>
      <c r="Y48" s="121"/>
      <c r="Z48" s="107" t="str">
        <f t="shared" si="3"/>
        <v>Chat WA</v>
      </c>
      <c r="AA48" s="107" t="str">
        <f t="shared" si="4"/>
        <v>Chat WA</v>
      </c>
      <c r="AB48" s="107" t="str">
        <f t="shared" si="5"/>
        <v>Kirim Invoice</v>
      </c>
      <c r="AC48" s="107" t="str">
        <f t="shared" si="6"/>
        <v>Chat WA</v>
      </c>
      <c r="AD48" s="108" t="str">
        <f>IFERROR(VLOOKUP($Q48,'12_ONT_NEW'!$D:$G,4,FALSE()),"")</f>
        <v/>
      </c>
      <c r="AE48" s="108"/>
      <c r="AF48" s="109"/>
      <c r="AG48" s="109"/>
      <c r="AH48" s="110">
        <f t="shared" si="7"/>
        <v>46231</v>
      </c>
      <c r="AI48" s="107" t="str">
        <f t="shared" si="8"/>
        <v>Kirim WA</v>
      </c>
      <c r="AJ48" s="107" t="str">
        <f t="shared" si="9"/>
        <v>Kirim WA</v>
      </c>
      <c r="AK48" s="107" t="str">
        <f t="shared" si="10"/>
        <v>Kirim WA</v>
      </c>
      <c r="AL48" s="111">
        <f t="shared" si="11"/>
        <v>7667</v>
      </c>
      <c r="AM48" s="107" t="str">
        <f t="shared" si="12"/>
        <v>Kirim Invoice</v>
      </c>
      <c r="AN48" s="89"/>
      <c r="AO48" s="89"/>
      <c r="AP48" s="112" t="str">
        <f t="shared" si="13"/>
        <v>2M_UP</v>
      </c>
      <c r="AQ48" s="89">
        <v>1521.0</v>
      </c>
      <c r="AR48" s="89"/>
      <c r="AS48" s="113"/>
      <c r="AT48" s="113"/>
    </row>
    <row r="49" ht="15.0" customHeight="1">
      <c r="A49" s="83">
        <f t="shared" si="1"/>
        <v>45</v>
      </c>
      <c r="B49" s="122" t="str">
        <f t="shared" si="2"/>
        <v>ARM-0045</v>
      </c>
      <c r="C49" s="123" t="s">
        <v>537</v>
      </c>
      <c r="D49" s="83" t="s">
        <v>538</v>
      </c>
      <c r="E49" s="83" t="s">
        <v>539</v>
      </c>
      <c r="F49" s="83" t="s">
        <v>540</v>
      </c>
      <c r="G49" s="83" t="s">
        <v>193</v>
      </c>
      <c r="H49" s="73" t="s">
        <v>541</v>
      </c>
      <c r="I49" s="73">
        <v>1.0</v>
      </c>
      <c r="J49" s="73">
        <v>4.0</v>
      </c>
      <c r="K49" s="73" t="s">
        <v>194</v>
      </c>
      <c r="L49" s="73" t="s">
        <v>221</v>
      </c>
      <c r="M49" s="73">
        <f>IFERROR(VLOOKUP(L49, '4_Produk'!C:E, 2, FALSE()), "")</f>
        <v>20</v>
      </c>
      <c r="N49" s="73">
        <f>IFERROR(VLOOKUP(L49, '4_Produk'!C:E, 3, FALSE()), "")</f>
        <v>115000</v>
      </c>
      <c r="O49" s="73" t="s">
        <v>542</v>
      </c>
      <c r="P49" s="73" t="s">
        <v>543</v>
      </c>
      <c r="Q49" s="73" t="s">
        <v>544</v>
      </c>
      <c r="R49" s="73"/>
      <c r="S49" s="124">
        <v>45693.0</v>
      </c>
      <c r="T49" s="73">
        <v>120.0</v>
      </c>
      <c r="U49" s="73" t="s">
        <v>545</v>
      </c>
      <c r="V49" s="73"/>
      <c r="W49" s="114" t="s">
        <v>199</v>
      </c>
      <c r="X49" s="121"/>
      <c r="Y49" s="121"/>
      <c r="Z49" s="107" t="str">
        <f t="shared" si="3"/>
        <v>Chat WA</v>
      </c>
      <c r="AA49" s="107" t="str">
        <f t="shared" si="4"/>
        <v>Chat WA</v>
      </c>
      <c r="AB49" s="107" t="str">
        <f t="shared" si="5"/>
        <v>Kirim Invoice</v>
      </c>
      <c r="AC49" s="107" t="str">
        <f t="shared" si="6"/>
        <v>Chat WA</v>
      </c>
      <c r="AD49" s="108" t="str">
        <f>IFERROR(VLOOKUP($Q49,'12_ONT_NEW'!$D:$G,4,FALSE()),"")</f>
        <v/>
      </c>
      <c r="AE49" s="108"/>
      <c r="AF49" s="109"/>
      <c r="AG49" s="109"/>
      <c r="AH49" s="110">
        <f t="shared" si="7"/>
        <v>46208</v>
      </c>
      <c r="AI49" s="107" t="str">
        <f t="shared" si="8"/>
        <v>Kirim WA</v>
      </c>
      <c r="AJ49" s="107" t="str">
        <f t="shared" si="9"/>
        <v>Kirim WA</v>
      </c>
      <c r="AK49" s="107" t="str">
        <f t="shared" si="10"/>
        <v>Kirim WA</v>
      </c>
      <c r="AL49" s="111">
        <f t="shared" si="11"/>
        <v>95833</v>
      </c>
      <c r="AM49" s="107" t="str">
        <f t="shared" si="12"/>
        <v>Kirim Invoice</v>
      </c>
      <c r="AN49" s="89"/>
      <c r="AO49" s="89"/>
      <c r="AP49" s="112" t="str">
        <f t="shared" si="13"/>
        <v>2M_UP</v>
      </c>
      <c r="AQ49" s="89">
        <v>1521.0</v>
      </c>
      <c r="AR49" s="89"/>
      <c r="AS49" s="113"/>
      <c r="AT49" s="113"/>
    </row>
    <row r="50" ht="15.0" customHeight="1">
      <c r="A50" s="83">
        <f t="shared" si="1"/>
        <v>46</v>
      </c>
      <c r="B50" s="117" t="str">
        <f t="shared" si="2"/>
        <v>ARM-0046</v>
      </c>
      <c r="C50" s="118" t="s">
        <v>546</v>
      </c>
      <c r="D50" s="79" t="s">
        <v>547</v>
      </c>
      <c r="E50" s="79" t="s">
        <v>548</v>
      </c>
      <c r="F50" s="79" t="s">
        <v>549</v>
      </c>
      <c r="G50" s="79" t="s">
        <v>193</v>
      </c>
      <c r="H50" s="119" t="s">
        <v>327</v>
      </c>
      <c r="I50" s="119">
        <v>5.0</v>
      </c>
      <c r="J50" s="119">
        <v>5.0</v>
      </c>
      <c r="K50" s="119" t="s">
        <v>194</v>
      </c>
      <c r="L50" s="119" t="s">
        <v>212</v>
      </c>
      <c r="M50" s="119">
        <f>IFERROR(VLOOKUP(L50, '4_Produk'!C:E, 2, FALSE()), "")</f>
        <v>30</v>
      </c>
      <c r="N50" s="119">
        <f>IFERROR(VLOOKUP(L50, '4_Produk'!C:E, 3, FALSE()), "")</f>
        <v>142000</v>
      </c>
      <c r="O50" s="119" t="s">
        <v>550</v>
      </c>
      <c r="P50" s="119" t="s">
        <v>551</v>
      </c>
      <c r="Q50" s="119" t="s">
        <v>552</v>
      </c>
      <c r="R50" s="119"/>
      <c r="S50" s="120">
        <v>46086.0</v>
      </c>
      <c r="T50" s="119">
        <v>170.0</v>
      </c>
      <c r="U50" s="119" t="s">
        <v>330</v>
      </c>
      <c r="V50" s="119"/>
      <c r="W50" s="114" t="s">
        <v>199</v>
      </c>
      <c r="X50" s="121"/>
      <c r="Y50" s="121"/>
      <c r="Z50" s="107" t="str">
        <f t="shared" si="3"/>
        <v>Chat WA</v>
      </c>
      <c r="AA50" s="107" t="str">
        <f t="shared" si="4"/>
        <v>Chat WA</v>
      </c>
      <c r="AB50" s="107" t="str">
        <f t="shared" si="5"/>
        <v>Kirim Invoice</v>
      </c>
      <c r="AC50" s="107" t="str">
        <f t="shared" si="6"/>
        <v>Chat WA</v>
      </c>
      <c r="AD50" s="108" t="str">
        <f>IFERROR(VLOOKUP($Q50,'12_ONT_NEW'!$D:$G,4,FALSE()),"")</f>
        <v>5i953g_2.4G</v>
      </c>
      <c r="AE50" s="108"/>
      <c r="AF50" s="109"/>
      <c r="AG50" s="109"/>
      <c r="AH50" s="110">
        <f t="shared" si="7"/>
        <v>46208</v>
      </c>
      <c r="AI50" s="107" t="str">
        <f t="shared" si="8"/>
        <v>Kirim WA</v>
      </c>
      <c r="AJ50" s="107" t="str">
        <f t="shared" si="9"/>
        <v>Kirim WA</v>
      </c>
      <c r="AK50" s="107" t="str">
        <f t="shared" si="10"/>
        <v>Kirim WA</v>
      </c>
      <c r="AL50" s="111">
        <f t="shared" si="11"/>
        <v>118333</v>
      </c>
      <c r="AM50" s="107" t="str">
        <f t="shared" si="12"/>
        <v>Kirim Invoice</v>
      </c>
      <c r="AN50" s="89"/>
      <c r="AO50" s="89"/>
      <c r="AP50" s="112" t="str">
        <f t="shared" si="13"/>
        <v>3M_UP</v>
      </c>
      <c r="AQ50" s="89">
        <v>1521.0</v>
      </c>
      <c r="AR50" s="89"/>
      <c r="AS50" s="113"/>
      <c r="AT50" s="113"/>
    </row>
    <row r="51" ht="15.0" customHeight="1">
      <c r="A51" s="79">
        <f t="shared" si="1"/>
        <v>47</v>
      </c>
      <c r="B51" s="122" t="str">
        <f t="shared" si="2"/>
        <v>ARM-0047</v>
      </c>
      <c r="C51" s="123" t="s">
        <v>553</v>
      </c>
      <c r="D51" s="83" t="s">
        <v>554</v>
      </c>
      <c r="E51" s="83" t="s">
        <v>555</v>
      </c>
      <c r="F51" s="83" t="s">
        <v>556</v>
      </c>
      <c r="G51" s="83" t="s">
        <v>193</v>
      </c>
      <c r="H51" s="73" t="s">
        <v>327</v>
      </c>
      <c r="I51" s="73">
        <v>5.0</v>
      </c>
      <c r="J51" s="73">
        <v>5.0</v>
      </c>
      <c r="K51" s="73" t="s">
        <v>194</v>
      </c>
      <c r="L51" s="73" t="s">
        <v>221</v>
      </c>
      <c r="M51" s="73">
        <f>IFERROR(VLOOKUP(L51, '4_Produk'!C:E, 2, FALSE()), "")</f>
        <v>20</v>
      </c>
      <c r="N51" s="73">
        <f>IFERROR(VLOOKUP(L51, '4_Produk'!C:E, 3, FALSE()), "")</f>
        <v>115000</v>
      </c>
      <c r="O51" s="73" t="s">
        <v>557</v>
      </c>
      <c r="P51" s="73" t="s">
        <v>558</v>
      </c>
      <c r="Q51" s="73" t="s">
        <v>559</v>
      </c>
      <c r="R51" s="73"/>
      <c r="S51" s="124">
        <v>46117.0</v>
      </c>
      <c r="T51" s="73">
        <v>80.0</v>
      </c>
      <c r="U51" s="73" t="s">
        <v>560</v>
      </c>
      <c r="V51" s="73"/>
      <c r="W51" s="114" t="s">
        <v>199</v>
      </c>
      <c r="X51" s="121"/>
      <c r="Y51" s="121"/>
      <c r="Z51" s="107" t="str">
        <f t="shared" si="3"/>
        <v>Chat WA</v>
      </c>
      <c r="AA51" s="107" t="str">
        <f t="shared" si="4"/>
        <v>Chat WA</v>
      </c>
      <c r="AB51" s="107" t="str">
        <f t="shared" si="5"/>
        <v>Kirim Invoice</v>
      </c>
      <c r="AC51" s="107" t="str">
        <f t="shared" si="6"/>
        <v>Chat WA</v>
      </c>
      <c r="AD51" s="108" t="str">
        <f>IFERROR(VLOOKUP($Q51,'12_ONT_NEW'!$D:$G,4,FALSE()),"")</f>
        <v/>
      </c>
      <c r="AE51" s="108"/>
      <c r="AF51" s="109"/>
      <c r="AG51" s="109"/>
      <c r="AH51" s="110">
        <f t="shared" si="7"/>
        <v>46208</v>
      </c>
      <c r="AI51" s="107" t="str">
        <f t="shared" si="8"/>
        <v>Kirim WA</v>
      </c>
      <c r="AJ51" s="107" t="str">
        <f t="shared" si="9"/>
        <v>Kirim WA</v>
      </c>
      <c r="AK51" s="107" t="str">
        <f t="shared" si="10"/>
        <v>Kirim WA</v>
      </c>
      <c r="AL51" s="111">
        <f t="shared" si="11"/>
        <v>95833</v>
      </c>
      <c r="AM51" s="107" t="str">
        <f t="shared" si="12"/>
        <v>Kirim Invoice</v>
      </c>
      <c r="AN51" s="89"/>
      <c r="AO51" s="89"/>
      <c r="AP51" s="112" t="str">
        <f t="shared" si="13"/>
        <v>2M_UP</v>
      </c>
      <c r="AQ51" s="89">
        <v>1521.0</v>
      </c>
      <c r="AR51" s="89"/>
      <c r="AS51" s="113"/>
      <c r="AT51" s="113"/>
    </row>
    <row r="52" ht="15.0" customHeight="1">
      <c r="A52" s="83">
        <f t="shared" si="1"/>
        <v>48</v>
      </c>
      <c r="B52" s="117" t="str">
        <f t="shared" si="2"/>
        <v>ARM-0048</v>
      </c>
      <c r="C52" s="118" t="s">
        <v>561</v>
      </c>
      <c r="D52" s="79" t="s">
        <v>562</v>
      </c>
      <c r="E52" s="79" t="s">
        <v>563</v>
      </c>
      <c r="F52" s="79" t="s">
        <v>564</v>
      </c>
      <c r="G52" s="79" t="s">
        <v>193</v>
      </c>
      <c r="H52" s="119" t="s">
        <v>327</v>
      </c>
      <c r="I52" s="119">
        <v>9.0</v>
      </c>
      <c r="J52" s="119">
        <v>5.0</v>
      </c>
      <c r="K52" s="119" t="s">
        <v>194</v>
      </c>
      <c r="L52" s="119" t="s">
        <v>221</v>
      </c>
      <c r="M52" s="119">
        <f>IFERROR(VLOOKUP(L52, '4_Produk'!C:E, 2, FALSE()), "")</f>
        <v>20</v>
      </c>
      <c r="N52" s="119">
        <f>IFERROR(VLOOKUP(L52, '4_Produk'!C:E, 3, FALSE()), "")</f>
        <v>115000</v>
      </c>
      <c r="O52" s="119" t="s">
        <v>565</v>
      </c>
      <c r="P52" s="119" t="s">
        <v>566</v>
      </c>
      <c r="Q52" s="119" t="s">
        <v>567</v>
      </c>
      <c r="R52" s="119"/>
      <c r="S52" s="120">
        <v>46208.0</v>
      </c>
      <c r="T52" s="119">
        <v>250.0</v>
      </c>
      <c r="U52" s="119" t="s">
        <v>568</v>
      </c>
      <c r="V52" s="119"/>
      <c r="W52" s="114" t="s">
        <v>199</v>
      </c>
      <c r="X52" s="121"/>
      <c r="Y52" s="121"/>
      <c r="Z52" s="107" t="str">
        <f t="shared" si="3"/>
        <v>Chat WA</v>
      </c>
      <c r="AA52" s="107" t="str">
        <f t="shared" si="4"/>
        <v>Chat WA</v>
      </c>
      <c r="AB52" s="107" t="str">
        <f t="shared" si="5"/>
        <v>Kirim Invoice</v>
      </c>
      <c r="AC52" s="107" t="str">
        <f t="shared" si="6"/>
        <v>Chat WA</v>
      </c>
      <c r="AD52" s="108" t="str">
        <f>IFERROR(VLOOKUP($Q52,'12_ONT_NEW'!$D:$G,4,FALSE()),"")</f>
        <v>5i93ag_2.4G</v>
      </c>
      <c r="AE52" s="108"/>
      <c r="AF52" s="109"/>
      <c r="AG52" s="109"/>
      <c r="AH52" s="110">
        <f t="shared" si="7"/>
        <v>46208</v>
      </c>
      <c r="AI52" s="107" t="str">
        <f t="shared" si="8"/>
        <v>Kirim WA</v>
      </c>
      <c r="AJ52" s="107" t="str">
        <f t="shared" si="9"/>
        <v>Kirim WA</v>
      </c>
      <c r="AK52" s="107" t="str">
        <f t="shared" si="10"/>
        <v>Kirim WA</v>
      </c>
      <c r="AL52" s="111">
        <f t="shared" si="11"/>
        <v>95833</v>
      </c>
      <c r="AM52" s="107" t="str">
        <f t="shared" si="12"/>
        <v>Kirim Invoice</v>
      </c>
      <c r="AN52" s="89"/>
      <c r="AO52" s="89"/>
      <c r="AP52" s="112" t="str">
        <f t="shared" si="13"/>
        <v>2M_UP</v>
      </c>
      <c r="AQ52" s="89">
        <v>1521.0</v>
      </c>
      <c r="AR52" s="89"/>
      <c r="AS52" s="113"/>
      <c r="AT52" s="113"/>
    </row>
    <row r="53" ht="15.0" customHeight="1">
      <c r="A53" s="83">
        <f t="shared" si="1"/>
        <v>49</v>
      </c>
      <c r="B53" s="122" t="str">
        <f t="shared" si="2"/>
        <v>ARM-0049</v>
      </c>
      <c r="C53" s="123" t="s">
        <v>569</v>
      </c>
      <c r="D53" s="83" t="s">
        <v>570</v>
      </c>
      <c r="E53" s="83" t="s">
        <v>571</v>
      </c>
      <c r="F53" s="83" t="s">
        <v>572</v>
      </c>
      <c r="G53" s="83" t="s">
        <v>193</v>
      </c>
      <c r="H53" s="73" t="s">
        <v>327</v>
      </c>
      <c r="I53" s="73">
        <v>9.0</v>
      </c>
      <c r="J53" s="73">
        <v>5.0</v>
      </c>
      <c r="K53" s="73" t="s">
        <v>194</v>
      </c>
      <c r="L53" s="73" t="s">
        <v>221</v>
      </c>
      <c r="M53" s="73">
        <f>IFERROR(VLOOKUP(L53, '4_Produk'!C:E, 2, FALSE()), "")</f>
        <v>20</v>
      </c>
      <c r="N53" s="73">
        <f>IFERROR(VLOOKUP(L53, '4_Produk'!C:E, 3, FALSE()), "")</f>
        <v>115000</v>
      </c>
      <c r="O53" s="73" t="s">
        <v>573</v>
      </c>
      <c r="P53" s="73" t="s">
        <v>574</v>
      </c>
      <c r="Q53" s="73" t="s">
        <v>575</v>
      </c>
      <c r="R53" s="73"/>
      <c r="S53" s="124">
        <v>46208.0</v>
      </c>
      <c r="T53" s="73">
        <v>120.0</v>
      </c>
      <c r="U53" s="73" t="s">
        <v>576</v>
      </c>
      <c r="V53" s="73"/>
      <c r="W53" s="114" t="s">
        <v>199</v>
      </c>
      <c r="X53" s="121"/>
      <c r="Y53" s="121"/>
      <c r="Z53" s="107" t="str">
        <f t="shared" si="3"/>
        <v>Chat WA</v>
      </c>
      <c r="AA53" s="107" t="str">
        <f t="shared" si="4"/>
        <v>Chat WA</v>
      </c>
      <c r="AB53" s="107" t="str">
        <f t="shared" si="5"/>
        <v>Kirim Invoice</v>
      </c>
      <c r="AC53" s="107" t="str">
        <f t="shared" si="6"/>
        <v>Chat WA</v>
      </c>
      <c r="AD53" s="108" t="str">
        <f>IFERROR(VLOOKUP($Q53,'12_ONT_NEW'!$D:$G,4,FALSE()),"")</f>
        <v/>
      </c>
      <c r="AE53" s="108"/>
      <c r="AF53" s="109"/>
      <c r="AG53" s="109"/>
      <c r="AH53" s="110">
        <f t="shared" si="7"/>
        <v>46208</v>
      </c>
      <c r="AI53" s="107" t="str">
        <f t="shared" si="8"/>
        <v>Kirim WA</v>
      </c>
      <c r="AJ53" s="107" t="str">
        <f t="shared" si="9"/>
        <v>Kirim WA</v>
      </c>
      <c r="AK53" s="107" t="str">
        <f t="shared" si="10"/>
        <v>Kirim WA</v>
      </c>
      <c r="AL53" s="111">
        <f t="shared" si="11"/>
        <v>95833</v>
      </c>
      <c r="AM53" s="107" t="str">
        <f t="shared" si="12"/>
        <v>Kirim Invoice</v>
      </c>
      <c r="AN53" s="89"/>
      <c r="AO53" s="89"/>
      <c r="AP53" s="112" t="str">
        <f t="shared" si="13"/>
        <v>2M_UP</v>
      </c>
      <c r="AQ53" s="89">
        <v>1521.0</v>
      </c>
      <c r="AR53" s="89"/>
      <c r="AS53" s="113"/>
      <c r="AT53" s="113"/>
    </row>
    <row r="54" ht="15.0" customHeight="1">
      <c r="A54" s="79">
        <f t="shared" si="1"/>
        <v>50</v>
      </c>
      <c r="B54" s="117" t="str">
        <f t="shared" si="2"/>
        <v>ARM-0050</v>
      </c>
      <c r="C54" s="118" t="s">
        <v>577</v>
      </c>
      <c r="D54" s="79" t="s">
        <v>578</v>
      </c>
      <c r="E54" s="79" t="s">
        <v>579</v>
      </c>
      <c r="F54" s="79"/>
      <c r="G54" s="79" t="s">
        <v>193</v>
      </c>
      <c r="H54" s="119" t="s">
        <v>327</v>
      </c>
      <c r="I54" s="119">
        <v>9.0</v>
      </c>
      <c r="J54" s="119">
        <v>4.0</v>
      </c>
      <c r="K54" s="119" t="s">
        <v>194</v>
      </c>
      <c r="L54" s="119" t="s">
        <v>221</v>
      </c>
      <c r="M54" s="119">
        <f>IFERROR(VLOOKUP(L54, '4_Produk'!C:E, 2, FALSE()), "")</f>
        <v>20</v>
      </c>
      <c r="N54" s="119">
        <f>IFERROR(VLOOKUP(L54, '4_Produk'!C:E, 3, FALSE()), "")</f>
        <v>115000</v>
      </c>
      <c r="O54" s="119" t="s">
        <v>580</v>
      </c>
      <c r="P54" s="119" t="s">
        <v>581</v>
      </c>
      <c r="Q54" s="119" t="s">
        <v>582</v>
      </c>
      <c r="R54" s="119"/>
      <c r="S54" s="120">
        <v>46208.0</v>
      </c>
      <c r="T54" s="119">
        <v>100.0</v>
      </c>
      <c r="U54" s="119" t="s">
        <v>583</v>
      </c>
      <c r="V54" s="119"/>
      <c r="W54" s="114" t="s">
        <v>199</v>
      </c>
      <c r="X54" s="121"/>
      <c r="Y54" s="121"/>
      <c r="Z54" s="107" t="str">
        <f t="shared" si="3"/>
        <v/>
      </c>
      <c r="AA54" s="107" t="str">
        <f t="shared" si="4"/>
        <v/>
      </c>
      <c r="AB54" s="107" t="str">
        <f t="shared" si="5"/>
        <v/>
      </c>
      <c r="AC54" s="107" t="str">
        <f t="shared" si="6"/>
        <v/>
      </c>
      <c r="AD54" s="108" t="str">
        <f>IFERROR(VLOOKUP($Q54,'12_ONT_NEW'!$D:$G,4,FALSE()),"")</f>
        <v/>
      </c>
      <c r="AE54" s="108"/>
      <c r="AF54" s="109"/>
      <c r="AG54" s="109"/>
      <c r="AH54" s="110">
        <f t="shared" si="7"/>
        <v>46208</v>
      </c>
      <c r="AI54" s="107" t="str">
        <f t="shared" si="8"/>
        <v/>
      </c>
      <c r="AJ54" s="107" t="str">
        <f t="shared" si="9"/>
        <v/>
      </c>
      <c r="AK54" s="107" t="str">
        <f t="shared" si="10"/>
        <v/>
      </c>
      <c r="AL54" s="111">
        <f t="shared" si="11"/>
        <v>95833</v>
      </c>
      <c r="AM54" s="107" t="str">
        <f t="shared" si="12"/>
        <v/>
      </c>
      <c r="AN54" s="89"/>
      <c r="AO54" s="89"/>
      <c r="AP54" s="112" t="str">
        <f t="shared" si="13"/>
        <v>2M_UP</v>
      </c>
      <c r="AQ54" s="89">
        <v>1521.0</v>
      </c>
      <c r="AR54" s="89"/>
      <c r="AS54" s="113"/>
      <c r="AT54" s="113"/>
    </row>
    <row r="55" ht="15.0" customHeight="1">
      <c r="A55" s="83">
        <f t="shared" si="1"/>
        <v>51</v>
      </c>
      <c r="B55" s="122" t="str">
        <f t="shared" si="2"/>
        <v>ARM-0051</v>
      </c>
      <c r="C55" s="123" t="s">
        <v>584</v>
      </c>
      <c r="D55" s="83" t="s">
        <v>585</v>
      </c>
      <c r="E55" s="83" t="s">
        <v>586</v>
      </c>
      <c r="F55" s="83" t="s">
        <v>587</v>
      </c>
      <c r="G55" s="83" t="s">
        <v>193</v>
      </c>
      <c r="H55" s="73" t="s">
        <v>327</v>
      </c>
      <c r="I55" s="73">
        <v>9.0</v>
      </c>
      <c r="J55" s="73">
        <v>4.0</v>
      </c>
      <c r="K55" s="73" t="s">
        <v>194</v>
      </c>
      <c r="L55" s="73" t="s">
        <v>221</v>
      </c>
      <c r="M55" s="73">
        <f>IFERROR(VLOOKUP(L55, '4_Produk'!C:E, 2, FALSE()), "")</f>
        <v>20</v>
      </c>
      <c r="N55" s="73">
        <f>IFERROR(VLOOKUP(L55, '4_Produk'!C:E, 3, FALSE()), "")</f>
        <v>115000</v>
      </c>
      <c r="O55" s="73" t="s">
        <v>588</v>
      </c>
      <c r="P55" s="73" t="s">
        <v>589</v>
      </c>
      <c r="Q55" s="73" t="s">
        <v>590</v>
      </c>
      <c r="R55" s="73"/>
      <c r="S55" s="124">
        <v>46208.0</v>
      </c>
      <c r="T55" s="73">
        <v>60.0</v>
      </c>
      <c r="U55" s="73" t="s">
        <v>591</v>
      </c>
      <c r="V55" s="73"/>
      <c r="W55" s="114" t="s">
        <v>199</v>
      </c>
      <c r="X55" s="121"/>
      <c r="Y55" s="121"/>
      <c r="Z55" s="107" t="str">
        <f t="shared" si="3"/>
        <v>Chat WA</v>
      </c>
      <c r="AA55" s="107" t="str">
        <f t="shared" si="4"/>
        <v>Chat WA</v>
      </c>
      <c r="AB55" s="107" t="str">
        <f t="shared" si="5"/>
        <v>Kirim Invoice</v>
      </c>
      <c r="AC55" s="107" t="str">
        <f t="shared" si="6"/>
        <v>Chat WA</v>
      </c>
      <c r="AD55" s="108" t="str">
        <f>IFERROR(VLOOKUP($Q55,'12_ONT_NEW'!$D:$G,4,FALSE()),"")</f>
        <v/>
      </c>
      <c r="AE55" s="108"/>
      <c r="AF55" s="109"/>
      <c r="AG55" s="109"/>
      <c r="AH55" s="110">
        <f t="shared" si="7"/>
        <v>46208</v>
      </c>
      <c r="AI55" s="107" t="str">
        <f t="shared" si="8"/>
        <v>Kirim WA</v>
      </c>
      <c r="AJ55" s="107" t="str">
        <f t="shared" si="9"/>
        <v>Kirim WA</v>
      </c>
      <c r="AK55" s="107" t="str">
        <f t="shared" si="10"/>
        <v>Kirim WA</v>
      </c>
      <c r="AL55" s="111">
        <f t="shared" si="11"/>
        <v>95833</v>
      </c>
      <c r="AM55" s="107" t="str">
        <f t="shared" si="12"/>
        <v>Kirim Invoice</v>
      </c>
      <c r="AN55" s="89"/>
      <c r="AO55" s="89"/>
      <c r="AP55" s="112" t="str">
        <f t="shared" si="13"/>
        <v>2M_UP</v>
      </c>
      <c r="AQ55" s="89">
        <v>1521.0</v>
      </c>
      <c r="AR55" s="89"/>
      <c r="AS55" s="113"/>
      <c r="AT55" s="113"/>
    </row>
    <row r="56" ht="15.0" customHeight="1">
      <c r="A56" s="83">
        <f t="shared" si="1"/>
        <v>52</v>
      </c>
      <c r="B56" s="117" t="str">
        <f t="shared" si="2"/>
        <v>ARM-0052</v>
      </c>
      <c r="C56" s="118" t="s">
        <v>592</v>
      </c>
      <c r="D56" s="79" t="s">
        <v>593</v>
      </c>
      <c r="E56" s="79"/>
      <c r="F56" s="79" t="s">
        <v>594</v>
      </c>
      <c r="G56" s="79" t="s">
        <v>193</v>
      </c>
      <c r="H56" s="119" t="s">
        <v>327</v>
      </c>
      <c r="I56" s="119">
        <v>9.0</v>
      </c>
      <c r="J56" s="119">
        <v>4.0</v>
      </c>
      <c r="K56" s="119" t="s">
        <v>194</v>
      </c>
      <c r="L56" s="119" t="s">
        <v>221</v>
      </c>
      <c r="M56" s="119">
        <f>IFERROR(VLOOKUP(L56, '4_Produk'!C:E, 2, FALSE()), "")</f>
        <v>20</v>
      </c>
      <c r="N56" s="119">
        <f>IFERROR(VLOOKUP(L56, '4_Produk'!C:E, 3, FALSE()), "")</f>
        <v>115000</v>
      </c>
      <c r="O56" s="119" t="s">
        <v>595</v>
      </c>
      <c r="P56" s="119" t="s">
        <v>596</v>
      </c>
      <c r="Q56" s="119" t="s">
        <v>597</v>
      </c>
      <c r="R56" s="119"/>
      <c r="S56" s="120">
        <v>46208.0</v>
      </c>
      <c r="T56" s="119">
        <v>75.0</v>
      </c>
      <c r="U56" s="119" t="s">
        <v>598</v>
      </c>
      <c r="V56" s="119"/>
      <c r="W56" s="114" t="s">
        <v>199</v>
      </c>
      <c r="X56" s="121"/>
      <c r="Y56" s="121"/>
      <c r="Z56" s="107" t="str">
        <f t="shared" si="3"/>
        <v>Chat WA</v>
      </c>
      <c r="AA56" s="107" t="str">
        <f t="shared" si="4"/>
        <v>Chat WA</v>
      </c>
      <c r="AB56" s="107" t="str">
        <f t="shared" si="5"/>
        <v>Kirim Invoice</v>
      </c>
      <c r="AC56" s="107" t="str">
        <f t="shared" si="6"/>
        <v>Chat WA</v>
      </c>
      <c r="AD56" s="108" t="str">
        <f>IFERROR(VLOOKUP($Q56,'12_ONT_NEW'!$D:$G,4,FALSE()),"")</f>
        <v/>
      </c>
      <c r="AE56" s="108"/>
      <c r="AF56" s="109"/>
      <c r="AG56" s="109"/>
      <c r="AH56" s="110">
        <f t="shared" si="7"/>
        <v>46208</v>
      </c>
      <c r="AI56" s="107" t="str">
        <f t="shared" si="8"/>
        <v>Kirim WA</v>
      </c>
      <c r="AJ56" s="107" t="str">
        <f t="shared" si="9"/>
        <v>Kirim WA</v>
      </c>
      <c r="AK56" s="107" t="str">
        <f t="shared" si="10"/>
        <v>Kirim WA</v>
      </c>
      <c r="AL56" s="111">
        <f t="shared" si="11"/>
        <v>95833</v>
      </c>
      <c r="AM56" s="107" t="str">
        <f t="shared" si="12"/>
        <v>Kirim Invoice</v>
      </c>
      <c r="AN56" s="89"/>
      <c r="AO56" s="89"/>
      <c r="AP56" s="112" t="str">
        <f t="shared" si="13"/>
        <v>2M_UP</v>
      </c>
      <c r="AQ56" s="89">
        <v>1521.0</v>
      </c>
      <c r="AR56" s="89"/>
      <c r="AS56" s="113"/>
      <c r="AT56" s="113"/>
    </row>
    <row r="57" ht="15.0" customHeight="1">
      <c r="A57" s="79">
        <f t="shared" si="1"/>
        <v>53</v>
      </c>
      <c r="B57" s="122" t="str">
        <f t="shared" si="2"/>
        <v>ARM-0053</v>
      </c>
      <c r="C57" s="123" t="s">
        <v>599</v>
      </c>
      <c r="D57" s="83" t="s">
        <v>600</v>
      </c>
      <c r="E57" s="83" t="s">
        <v>601</v>
      </c>
      <c r="F57" s="83" t="s">
        <v>602</v>
      </c>
      <c r="G57" s="83" t="s">
        <v>193</v>
      </c>
      <c r="H57" s="73" t="s">
        <v>327</v>
      </c>
      <c r="I57" s="73">
        <v>9.0</v>
      </c>
      <c r="J57" s="73">
        <v>6.0</v>
      </c>
      <c r="K57" s="73" t="s">
        <v>194</v>
      </c>
      <c r="L57" s="73" t="s">
        <v>221</v>
      </c>
      <c r="M57" s="73">
        <f>IFERROR(VLOOKUP(L57, '4_Produk'!C:E, 2, FALSE()), "")</f>
        <v>20</v>
      </c>
      <c r="N57" s="73">
        <f>IFERROR(VLOOKUP(L57, '4_Produk'!C:E, 3, FALSE()), "")</f>
        <v>115000</v>
      </c>
      <c r="O57" s="73" t="s">
        <v>603</v>
      </c>
      <c r="P57" s="73" t="s">
        <v>604</v>
      </c>
      <c r="Q57" s="73" t="s">
        <v>605</v>
      </c>
      <c r="R57" s="73"/>
      <c r="S57" s="124">
        <v>46331.0</v>
      </c>
      <c r="T57" s="73"/>
      <c r="U57" s="73" t="s">
        <v>606</v>
      </c>
      <c r="V57" s="73"/>
      <c r="W57" s="114" t="s">
        <v>199</v>
      </c>
      <c r="X57" s="121"/>
      <c r="Y57" s="121"/>
      <c r="Z57" s="107" t="str">
        <f t="shared" si="3"/>
        <v>Chat WA</v>
      </c>
      <c r="AA57" s="107" t="str">
        <f t="shared" si="4"/>
        <v>Chat WA</v>
      </c>
      <c r="AB57" s="107" t="str">
        <f t="shared" si="5"/>
        <v>Kirim Invoice</v>
      </c>
      <c r="AC57" s="107" t="str">
        <f t="shared" si="6"/>
        <v>Chat WA</v>
      </c>
      <c r="AD57" s="108" t="str">
        <f>IFERROR(VLOOKUP($Q57,'12_ONT_NEW'!$D:$G,4,FALSE()),"")</f>
        <v/>
      </c>
      <c r="AE57" s="108"/>
      <c r="AF57" s="109"/>
      <c r="AG57" s="109"/>
      <c r="AH57" s="110">
        <f t="shared" si="7"/>
        <v>46208</v>
      </c>
      <c r="AI57" s="107" t="str">
        <f t="shared" si="8"/>
        <v>Kirim WA</v>
      </c>
      <c r="AJ57" s="107" t="str">
        <f t="shared" si="9"/>
        <v>Kirim WA</v>
      </c>
      <c r="AK57" s="107" t="str">
        <f t="shared" si="10"/>
        <v>Kirim WA</v>
      </c>
      <c r="AL57" s="111">
        <f t="shared" si="11"/>
        <v>95833</v>
      </c>
      <c r="AM57" s="107" t="str">
        <f t="shared" si="12"/>
        <v>Kirim Invoice</v>
      </c>
      <c r="AN57" s="89"/>
      <c r="AO57" s="89"/>
      <c r="AP57" s="112" t="str">
        <f t="shared" si="13"/>
        <v>2M_UP</v>
      </c>
      <c r="AQ57" s="89">
        <v>1521.0</v>
      </c>
      <c r="AR57" s="89"/>
      <c r="AS57" s="113"/>
      <c r="AT57" s="113"/>
    </row>
    <row r="58" ht="15.0" customHeight="1">
      <c r="A58" s="83">
        <f t="shared" si="1"/>
        <v>54</v>
      </c>
      <c r="B58" s="117" t="str">
        <f t="shared" si="2"/>
        <v>ARM-0054</v>
      </c>
      <c r="C58" s="118" t="s">
        <v>607</v>
      </c>
      <c r="D58" s="79" t="s">
        <v>608</v>
      </c>
      <c r="E58" s="79">
        <v>3.3021551110002E13</v>
      </c>
      <c r="F58" s="79" t="s">
        <v>609</v>
      </c>
      <c r="G58" s="79" t="s">
        <v>193</v>
      </c>
      <c r="H58" s="119" t="s">
        <v>327</v>
      </c>
      <c r="I58" s="119">
        <v>9.0</v>
      </c>
      <c r="J58" s="119">
        <v>6.0</v>
      </c>
      <c r="K58" s="119" t="s">
        <v>194</v>
      </c>
      <c r="L58" s="119" t="s">
        <v>221</v>
      </c>
      <c r="M58" s="119">
        <f>IFERROR(VLOOKUP(L58, '4_Produk'!C:E, 2, FALSE()), "")</f>
        <v>20</v>
      </c>
      <c r="N58" s="119">
        <f>IFERROR(VLOOKUP(L58, '4_Produk'!C:E, 3, FALSE()), "")</f>
        <v>115000</v>
      </c>
      <c r="O58" s="119" t="s">
        <v>610</v>
      </c>
      <c r="P58" s="119" t="s">
        <v>611</v>
      </c>
      <c r="Q58" s="119" t="s">
        <v>612</v>
      </c>
      <c r="R58" s="119"/>
      <c r="S58" s="120">
        <v>46331.0</v>
      </c>
      <c r="T58" s="119"/>
      <c r="U58" s="119" t="s">
        <v>613</v>
      </c>
      <c r="V58" s="119"/>
      <c r="W58" s="114" t="s">
        <v>199</v>
      </c>
      <c r="X58" s="121"/>
      <c r="Y58" s="121"/>
      <c r="Z58" s="107" t="str">
        <f t="shared" si="3"/>
        <v>Chat WA</v>
      </c>
      <c r="AA58" s="107" t="str">
        <f t="shared" si="4"/>
        <v>Chat WA</v>
      </c>
      <c r="AB58" s="107" t="str">
        <f t="shared" si="5"/>
        <v>Kirim Invoice</v>
      </c>
      <c r="AC58" s="107" t="str">
        <f t="shared" si="6"/>
        <v>Chat WA</v>
      </c>
      <c r="AD58" s="108" t="str">
        <f>IFERROR(VLOOKUP($Q58,'12_ONT_NEW'!$D:$G,4,FALSE()),"")</f>
        <v/>
      </c>
      <c r="AE58" s="108"/>
      <c r="AF58" s="109"/>
      <c r="AG58" s="109"/>
      <c r="AH58" s="110">
        <f t="shared" si="7"/>
        <v>46208</v>
      </c>
      <c r="AI58" s="107" t="str">
        <f t="shared" si="8"/>
        <v>Kirim WA</v>
      </c>
      <c r="AJ58" s="107" t="str">
        <f t="shared" si="9"/>
        <v>Kirim WA</v>
      </c>
      <c r="AK58" s="107" t="str">
        <f t="shared" si="10"/>
        <v>Kirim WA</v>
      </c>
      <c r="AL58" s="111">
        <f t="shared" si="11"/>
        <v>95833</v>
      </c>
      <c r="AM58" s="107" t="str">
        <f t="shared" si="12"/>
        <v>Kirim Invoice</v>
      </c>
      <c r="AN58" s="89"/>
      <c r="AO58" s="89"/>
      <c r="AP58" s="112" t="str">
        <f t="shared" si="13"/>
        <v>2M_UP</v>
      </c>
      <c r="AQ58" s="89">
        <v>1521.0</v>
      </c>
      <c r="AR58" s="89"/>
      <c r="AS58" s="113"/>
      <c r="AT58" s="113"/>
    </row>
    <row r="59" ht="15.0" customHeight="1">
      <c r="A59" s="83">
        <f t="shared" si="1"/>
        <v>55</v>
      </c>
      <c r="B59" s="122" t="str">
        <f t="shared" si="2"/>
        <v>ARM-0055</v>
      </c>
      <c r="C59" s="123" t="s">
        <v>614</v>
      </c>
      <c r="D59" s="83" t="s">
        <v>615</v>
      </c>
      <c r="E59" s="83"/>
      <c r="F59" s="83" t="s">
        <v>616</v>
      </c>
      <c r="G59" s="83" t="s">
        <v>193</v>
      </c>
      <c r="H59" s="73" t="s">
        <v>327</v>
      </c>
      <c r="I59" s="73">
        <v>11.0</v>
      </c>
      <c r="J59" s="73">
        <v>3.0</v>
      </c>
      <c r="K59" s="73" t="s">
        <v>194</v>
      </c>
      <c r="L59" s="73" t="s">
        <v>221</v>
      </c>
      <c r="M59" s="73">
        <f>IFERROR(VLOOKUP(L59, '4_Produk'!C:E, 2, FALSE()), "")</f>
        <v>20</v>
      </c>
      <c r="N59" s="73">
        <f>IFERROR(VLOOKUP(L59, '4_Produk'!C:E, 3, FALSE()), "")</f>
        <v>115000</v>
      </c>
      <c r="O59" s="73" t="s">
        <v>617</v>
      </c>
      <c r="P59" s="73" t="s">
        <v>618</v>
      </c>
      <c r="Q59" s="73" t="s">
        <v>619</v>
      </c>
      <c r="R59" s="73"/>
      <c r="S59" s="124">
        <v>46361.0</v>
      </c>
      <c r="T59" s="73">
        <v>50.0</v>
      </c>
      <c r="U59" s="73" t="s">
        <v>620</v>
      </c>
      <c r="V59" s="73"/>
      <c r="W59" s="114" t="s">
        <v>199</v>
      </c>
      <c r="X59" s="121"/>
      <c r="Y59" s="121"/>
      <c r="Z59" s="107" t="str">
        <f t="shared" si="3"/>
        <v>Chat WA</v>
      </c>
      <c r="AA59" s="107" t="str">
        <f t="shared" si="4"/>
        <v>Chat WA</v>
      </c>
      <c r="AB59" s="107" t="str">
        <f t="shared" si="5"/>
        <v>Kirim Invoice</v>
      </c>
      <c r="AC59" s="107" t="str">
        <f t="shared" si="6"/>
        <v>Chat WA</v>
      </c>
      <c r="AD59" s="108" t="str">
        <f>IFERROR(VLOOKUP($Q59,'12_ONT_NEW'!$D:$G,4,FALSE()),"")</f>
        <v/>
      </c>
      <c r="AE59" s="108"/>
      <c r="AF59" s="109"/>
      <c r="AG59" s="109"/>
      <c r="AH59" s="110">
        <f t="shared" si="7"/>
        <v>46208</v>
      </c>
      <c r="AI59" s="107" t="str">
        <f t="shared" si="8"/>
        <v>Kirim WA</v>
      </c>
      <c r="AJ59" s="107" t="str">
        <f t="shared" si="9"/>
        <v>Kirim WA</v>
      </c>
      <c r="AK59" s="107" t="str">
        <f t="shared" si="10"/>
        <v>Kirim WA</v>
      </c>
      <c r="AL59" s="111">
        <f t="shared" si="11"/>
        <v>95833</v>
      </c>
      <c r="AM59" s="107" t="str">
        <f t="shared" si="12"/>
        <v>Kirim Invoice</v>
      </c>
      <c r="AN59" s="89"/>
      <c r="AO59" s="89"/>
      <c r="AP59" s="112" t="str">
        <f t="shared" si="13"/>
        <v>2M_UP</v>
      </c>
      <c r="AQ59" s="89">
        <v>1521.0</v>
      </c>
      <c r="AR59" s="89"/>
      <c r="AS59" s="113"/>
      <c r="AT59" s="113"/>
    </row>
    <row r="60" ht="15.0" customHeight="1">
      <c r="A60" s="79">
        <f t="shared" si="1"/>
        <v>56</v>
      </c>
      <c r="B60" s="117" t="str">
        <f t="shared" si="2"/>
        <v>ARM-0056</v>
      </c>
      <c r="C60" s="118" t="s">
        <v>621</v>
      </c>
      <c r="D60" s="79" t="s">
        <v>622</v>
      </c>
      <c r="E60" s="79" t="s">
        <v>623</v>
      </c>
      <c r="F60" s="79" t="s">
        <v>624</v>
      </c>
      <c r="G60" s="79" t="s">
        <v>193</v>
      </c>
      <c r="H60" s="119" t="s">
        <v>327</v>
      </c>
      <c r="I60" s="119">
        <v>5.0</v>
      </c>
      <c r="J60" s="119">
        <v>8.0</v>
      </c>
      <c r="K60" s="119" t="s">
        <v>194</v>
      </c>
      <c r="L60" s="119" t="s">
        <v>221</v>
      </c>
      <c r="M60" s="119">
        <f>IFERROR(VLOOKUP(L60, '4_Produk'!C:E, 2, FALSE()), "")</f>
        <v>20</v>
      </c>
      <c r="N60" s="119">
        <f>IFERROR(VLOOKUP(L60, '4_Produk'!C:E, 3, FALSE()), "")</f>
        <v>115000</v>
      </c>
      <c r="O60" s="119" t="s">
        <v>625</v>
      </c>
      <c r="P60" s="119" t="s">
        <v>626</v>
      </c>
      <c r="Q60" s="119" t="s">
        <v>627</v>
      </c>
      <c r="R60" s="119"/>
      <c r="S60" s="120">
        <v>46361.0</v>
      </c>
      <c r="T60" s="119">
        <v>70.0</v>
      </c>
      <c r="U60" s="119" t="s">
        <v>628</v>
      </c>
      <c r="V60" s="119"/>
      <c r="W60" s="114" t="s">
        <v>199</v>
      </c>
      <c r="X60" s="121"/>
      <c r="Y60" s="121"/>
      <c r="Z60" s="107" t="str">
        <f t="shared" si="3"/>
        <v>Chat WA</v>
      </c>
      <c r="AA60" s="107" t="str">
        <f t="shared" si="4"/>
        <v>Chat WA</v>
      </c>
      <c r="AB60" s="107" t="str">
        <f t="shared" si="5"/>
        <v>Kirim Invoice</v>
      </c>
      <c r="AC60" s="107" t="str">
        <f t="shared" si="6"/>
        <v>Chat WA</v>
      </c>
      <c r="AD60" s="108" t="str">
        <f>IFERROR(VLOOKUP($Q60,'12_ONT_NEW'!$D:$G,4,FALSE()),"")</f>
        <v/>
      </c>
      <c r="AE60" s="108"/>
      <c r="AF60" s="109"/>
      <c r="AG60" s="109"/>
      <c r="AH60" s="110">
        <f t="shared" si="7"/>
        <v>46208</v>
      </c>
      <c r="AI60" s="107" t="str">
        <f t="shared" si="8"/>
        <v>Kirim WA</v>
      </c>
      <c r="AJ60" s="107" t="str">
        <f t="shared" si="9"/>
        <v>Kirim WA</v>
      </c>
      <c r="AK60" s="107" t="str">
        <f t="shared" si="10"/>
        <v>Kirim WA</v>
      </c>
      <c r="AL60" s="111">
        <f t="shared" si="11"/>
        <v>95833</v>
      </c>
      <c r="AM60" s="107" t="str">
        <f t="shared" si="12"/>
        <v>Kirim Invoice</v>
      </c>
      <c r="AN60" s="89"/>
      <c r="AO60" s="89"/>
      <c r="AP60" s="112" t="str">
        <f t="shared" si="13"/>
        <v>2M_UP</v>
      </c>
      <c r="AQ60" s="89">
        <v>1521.0</v>
      </c>
      <c r="AR60" s="89"/>
      <c r="AS60" s="113"/>
      <c r="AT60" s="113"/>
    </row>
    <row r="61" ht="15.0" customHeight="1">
      <c r="A61" s="125">
        <f t="shared" si="1"/>
        <v>57</v>
      </c>
      <c r="B61" s="126" t="str">
        <f t="shared" si="2"/>
        <v>ARM-0057</v>
      </c>
      <c r="C61" s="127" t="s">
        <v>629</v>
      </c>
      <c r="D61" s="125" t="s">
        <v>630</v>
      </c>
      <c r="E61" s="125" t="s">
        <v>631</v>
      </c>
      <c r="F61" s="125" t="s">
        <v>632</v>
      </c>
      <c r="G61" s="125" t="s">
        <v>193</v>
      </c>
      <c r="H61" s="128" t="s">
        <v>327</v>
      </c>
      <c r="I61" s="128"/>
      <c r="J61" s="128"/>
      <c r="K61" s="128" t="s">
        <v>194</v>
      </c>
      <c r="L61" s="128" t="s">
        <v>221</v>
      </c>
      <c r="M61" s="128">
        <f>IFERROR(VLOOKUP(L61, '4_Produk'!C:E, 2, FALSE()), "")</f>
        <v>20</v>
      </c>
      <c r="N61" s="128">
        <f>IFERROR(VLOOKUP(L61, '4_Produk'!C:E, 3, FALSE()), "")</f>
        <v>115000</v>
      </c>
      <c r="O61" s="128" t="s">
        <v>633</v>
      </c>
      <c r="P61" s="128" t="s">
        <v>634</v>
      </c>
      <c r="Q61" s="128" t="s">
        <v>635</v>
      </c>
      <c r="R61" s="128"/>
      <c r="S61" s="129">
        <v>46154.0</v>
      </c>
      <c r="T61" s="128">
        <v>50.0</v>
      </c>
      <c r="U61" s="128" t="s">
        <v>636</v>
      </c>
      <c r="V61" s="128" t="s">
        <v>331</v>
      </c>
      <c r="W61" s="114" t="s">
        <v>332</v>
      </c>
      <c r="X61" s="128"/>
      <c r="Y61" s="128"/>
      <c r="Z61" s="130" t="str">
        <f t="shared" si="3"/>
        <v>Chat WA</v>
      </c>
      <c r="AA61" s="107" t="str">
        <f t="shared" si="4"/>
        <v>Chat WA</v>
      </c>
      <c r="AB61" s="107" t="str">
        <f t="shared" si="5"/>
        <v>Kirim Invoice</v>
      </c>
      <c r="AC61" s="107" t="str">
        <f t="shared" si="6"/>
        <v>Chat WA</v>
      </c>
      <c r="AD61" s="108" t="str">
        <f>IFERROR(VLOOKUP($Q61,'12_ONT_NEW'!$D:$G,4,FALSE()),"")</f>
        <v/>
      </c>
      <c r="AE61" s="108"/>
      <c r="AF61" s="109"/>
      <c r="AG61" s="109"/>
      <c r="AH61" s="110">
        <f t="shared" si="7"/>
        <v>46215</v>
      </c>
      <c r="AI61" s="107" t="str">
        <f t="shared" si="8"/>
        <v>Kirim WA</v>
      </c>
      <c r="AJ61" s="107" t="str">
        <f t="shared" si="9"/>
        <v>Kirim WA</v>
      </c>
      <c r="AK61" s="107" t="str">
        <f t="shared" si="10"/>
        <v>Kirim WA</v>
      </c>
      <c r="AL61" s="111">
        <f t="shared" si="11"/>
        <v>69000</v>
      </c>
      <c r="AM61" s="107" t="str">
        <f t="shared" si="12"/>
        <v>Kirim Invoice</v>
      </c>
      <c r="AN61" s="89"/>
      <c r="AO61" s="89"/>
      <c r="AP61" s="112" t="str">
        <f t="shared" si="13"/>
        <v>2M_UP</v>
      </c>
      <c r="AQ61" s="89">
        <v>1521.0</v>
      </c>
      <c r="AR61" s="89"/>
      <c r="AS61" s="113"/>
      <c r="AT61" s="113"/>
    </row>
    <row r="62" ht="15.0" customHeight="1">
      <c r="A62" s="83">
        <f t="shared" si="1"/>
        <v>58</v>
      </c>
      <c r="B62" s="117" t="str">
        <f t="shared" si="2"/>
        <v>ARM-0058</v>
      </c>
      <c r="C62" s="118" t="s">
        <v>637</v>
      </c>
      <c r="D62" s="79" t="s">
        <v>638</v>
      </c>
      <c r="E62" s="79" t="s">
        <v>639</v>
      </c>
      <c r="F62" s="79" t="s">
        <v>640</v>
      </c>
      <c r="G62" s="79" t="s">
        <v>193</v>
      </c>
      <c r="H62" s="119" t="s">
        <v>327</v>
      </c>
      <c r="I62" s="119">
        <v>1.0</v>
      </c>
      <c r="J62" s="119">
        <v>5.0</v>
      </c>
      <c r="K62" s="119" t="s">
        <v>194</v>
      </c>
      <c r="L62" s="119" t="s">
        <v>221</v>
      </c>
      <c r="M62" s="119">
        <f>IFERROR(VLOOKUP(L62, '4_Produk'!C:E, 2, FALSE()), "")</f>
        <v>20</v>
      </c>
      <c r="N62" s="119">
        <f>IFERROR(VLOOKUP(L62, '4_Produk'!C:E, 3, FALSE()), "")</f>
        <v>115000</v>
      </c>
      <c r="O62" s="119" t="s">
        <v>641</v>
      </c>
      <c r="P62" s="119" t="s">
        <v>642</v>
      </c>
      <c r="Q62" s="119" t="s">
        <v>643</v>
      </c>
      <c r="R62" s="119"/>
      <c r="S62" s="119" t="s">
        <v>644</v>
      </c>
      <c r="T62" s="119">
        <v>70.0</v>
      </c>
      <c r="U62" s="119" t="s">
        <v>645</v>
      </c>
      <c r="V62" s="119"/>
      <c r="W62" s="114" t="s">
        <v>199</v>
      </c>
      <c r="X62" s="121"/>
      <c r="Y62" s="121"/>
      <c r="Z62" s="107" t="str">
        <f t="shared" si="3"/>
        <v>Chat WA</v>
      </c>
      <c r="AA62" s="107" t="str">
        <f t="shared" si="4"/>
        <v>Chat WA</v>
      </c>
      <c r="AB62" s="107" t="str">
        <f t="shared" si="5"/>
        <v>Kirim Invoice</v>
      </c>
      <c r="AC62" s="107" t="str">
        <f t="shared" si="6"/>
        <v>Chat WA</v>
      </c>
      <c r="AD62" s="108" t="str">
        <f>IFERROR(VLOOKUP($Q62,'12_ONT_NEW'!$D:$G,4,FALSE()),"")</f>
        <v/>
      </c>
      <c r="AE62" s="108"/>
      <c r="AF62" s="109"/>
      <c r="AG62" s="109"/>
      <c r="AH62" s="110">
        <f t="shared" si="7"/>
        <v>46217</v>
      </c>
      <c r="AI62" s="107" t="str">
        <f t="shared" si="8"/>
        <v>Kirim WA</v>
      </c>
      <c r="AJ62" s="107" t="str">
        <f t="shared" si="9"/>
        <v>Kirim WA</v>
      </c>
      <c r="AK62" s="107" t="str">
        <f t="shared" si="10"/>
        <v>Kirim WA</v>
      </c>
      <c r="AL62" s="111">
        <f t="shared" si="11"/>
        <v>61333</v>
      </c>
      <c r="AM62" s="107" t="str">
        <f t="shared" si="12"/>
        <v>Kirim Invoice</v>
      </c>
      <c r="AN62" s="89"/>
      <c r="AO62" s="89"/>
      <c r="AP62" s="112" t="str">
        <f t="shared" si="13"/>
        <v>2M_UP</v>
      </c>
      <c r="AQ62" s="89">
        <v>1521.0</v>
      </c>
      <c r="AR62" s="89"/>
      <c r="AS62" s="113"/>
      <c r="AT62" s="113"/>
    </row>
    <row r="63" ht="15.0" customHeight="1">
      <c r="A63" s="79">
        <f t="shared" si="1"/>
        <v>59</v>
      </c>
      <c r="B63" s="122" t="str">
        <f t="shared" si="2"/>
        <v>ARM-0059</v>
      </c>
      <c r="C63" s="123" t="s">
        <v>646</v>
      </c>
      <c r="D63" s="83" t="s">
        <v>647</v>
      </c>
      <c r="E63" s="83" t="s">
        <v>648</v>
      </c>
      <c r="F63" s="83" t="s">
        <v>649</v>
      </c>
      <c r="G63" s="83" t="s">
        <v>193</v>
      </c>
      <c r="H63" s="73" t="s">
        <v>327</v>
      </c>
      <c r="I63" s="73">
        <v>1.0</v>
      </c>
      <c r="J63" s="73">
        <v>5.0</v>
      </c>
      <c r="K63" s="73" t="s">
        <v>194</v>
      </c>
      <c r="L63" s="73" t="s">
        <v>202</v>
      </c>
      <c r="M63" s="73">
        <f>IFERROR(VLOOKUP(L63, '4_Produk'!C:E, 2, FALSE()), "")</f>
        <v>50</v>
      </c>
      <c r="N63" s="73">
        <f>IFERROR(VLOOKUP(L63, '4_Produk'!C:E, 3, FALSE()), "")</f>
        <v>182000</v>
      </c>
      <c r="O63" s="73" t="s">
        <v>650</v>
      </c>
      <c r="P63" s="73" t="s">
        <v>651</v>
      </c>
      <c r="Q63" s="73" t="s">
        <v>652</v>
      </c>
      <c r="R63" s="73"/>
      <c r="S63" s="73" t="s">
        <v>644</v>
      </c>
      <c r="T63" s="73">
        <v>75.0</v>
      </c>
      <c r="U63" s="73" t="s">
        <v>653</v>
      </c>
      <c r="V63" s="73"/>
      <c r="W63" s="114" t="s">
        <v>199</v>
      </c>
      <c r="X63" s="121"/>
      <c r="Y63" s="132"/>
      <c r="Z63" s="107" t="str">
        <f t="shared" si="3"/>
        <v>Chat WA</v>
      </c>
      <c r="AA63" s="107" t="str">
        <f t="shared" si="4"/>
        <v>Chat WA</v>
      </c>
      <c r="AB63" s="107" t="str">
        <f t="shared" si="5"/>
        <v>Kirim Invoice</v>
      </c>
      <c r="AC63" s="107" t="str">
        <f t="shared" si="6"/>
        <v>Chat WA</v>
      </c>
      <c r="AD63" s="108" t="str">
        <f>IFERROR(VLOOKUP($Q63,'12_ONT_NEW'!$D:$G,4,FALSE()),"")</f>
        <v/>
      </c>
      <c r="AE63" s="108"/>
      <c r="AF63" s="109"/>
      <c r="AG63" s="109"/>
      <c r="AH63" s="110">
        <f t="shared" si="7"/>
        <v>46217</v>
      </c>
      <c r="AI63" s="107" t="str">
        <f t="shared" si="8"/>
        <v>Kirim WA</v>
      </c>
      <c r="AJ63" s="107" t="str">
        <f t="shared" si="9"/>
        <v>Kirim WA</v>
      </c>
      <c r="AK63" s="107" t="str">
        <f t="shared" si="10"/>
        <v>Kirim WA</v>
      </c>
      <c r="AL63" s="111">
        <f t="shared" si="11"/>
        <v>97067</v>
      </c>
      <c r="AM63" s="107" t="str">
        <f t="shared" si="12"/>
        <v>Kirim Invoice</v>
      </c>
      <c r="AN63" s="89"/>
      <c r="AO63" s="89"/>
      <c r="AP63" s="112" t="str">
        <f t="shared" si="13"/>
        <v>5M_UP</v>
      </c>
      <c r="AQ63" s="89">
        <v>1521.0</v>
      </c>
      <c r="AR63" s="89"/>
      <c r="AS63" s="113"/>
      <c r="AT63" s="113"/>
    </row>
    <row r="64" ht="15.0" customHeight="1">
      <c r="A64" s="83">
        <f t="shared" si="1"/>
        <v>60</v>
      </c>
      <c r="B64" s="117" t="str">
        <f t="shared" si="2"/>
        <v>ARM-0060</v>
      </c>
      <c r="C64" s="118" t="s">
        <v>654</v>
      </c>
      <c r="D64" s="79" t="s">
        <v>655</v>
      </c>
      <c r="E64" s="79" t="s">
        <v>656</v>
      </c>
      <c r="F64" s="79" t="s">
        <v>657</v>
      </c>
      <c r="G64" s="79" t="s">
        <v>193</v>
      </c>
      <c r="H64" s="119" t="s">
        <v>327</v>
      </c>
      <c r="I64" s="119">
        <v>5.0</v>
      </c>
      <c r="J64" s="119">
        <v>3.0</v>
      </c>
      <c r="K64" s="119" t="s">
        <v>194</v>
      </c>
      <c r="L64" s="119" t="s">
        <v>221</v>
      </c>
      <c r="M64" s="119">
        <f>IFERROR(VLOOKUP(L64, '4_Produk'!C:E, 2, FALSE()), "")</f>
        <v>20</v>
      </c>
      <c r="N64" s="119">
        <f>IFERROR(VLOOKUP(L64, '4_Produk'!C:E, 3, FALSE()), "")</f>
        <v>115000</v>
      </c>
      <c r="O64" s="119" t="s">
        <v>658</v>
      </c>
      <c r="P64" s="119" t="s">
        <v>659</v>
      </c>
      <c r="Q64" s="119" t="s">
        <v>660</v>
      </c>
      <c r="R64" s="119"/>
      <c r="S64" s="119"/>
      <c r="T64" s="119">
        <v>50.0</v>
      </c>
      <c r="U64" s="119" t="s">
        <v>661</v>
      </c>
      <c r="V64" s="119"/>
      <c r="W64" s="114" t="s">
        <v>199</v>
      </c>
      <c r="X64" s="121"/>
      <c r="Y64" s="121"/>
      <c r="Z64" s="107" t="str">
        <f t="shared" si="3"/>
        <v>Chat WA</v>
      </c>
      <c r="AA64" s="107" t="str">
        <f t="shared" si="4"/>
        <v>Chat WA</v>
      </c>
      <c r="AB64" s="107" t="str">
        <f t="shared" si="5"/>
        <v>Kirim Invoice</v>
      </c>
      <c r="AC64" s="107" t="str">
        <f t="shared" si="6"/>
        <v>Chat WA</v>
      </c>
      <c r="AD64" s="108" t="str">
        <f>IFERROR(VLOOKUP($Q64,'12_ONT_NEW'!$D:$G,4,FALSE()),"")</f>
        <v/>
      </c>
      <c r="AE64" s="108"/>
      <c r="AF64" s="109"/>
      <c r="AG64" s="109"/>
      <c r="AH64" s="110" t="str">
        <f t="shared" si="7"/>
        <v/>
      </c>
      <c r="AI64" s="107" t="str">
        <f t="shared" si="8"/>
        <v>Kirim WA</v>
      </c>
      <c r="AJ64" s="107" t="str">
        <f t="shared" si="9"/>
        <v>Kirim WA</v>
      </c>
      <c r="AK64" s="107" t="str">
        <f t="shared" si="10"/>
        <v>Kirim WA</v>
      </c>
      <c r="AL64" s="111" t="str">
        <f t="shared" si="11"/>
        <v/>
      </c>
      <c r="AM64" s="107" t="str">
        <f t="shared" si="12"/>
        <v>Kirim Invoice</v>
      </c>
      <c r="AN64" s="89"/>
      <c r="AO64" s="89"/>
      <c r="AP64" s="112" t="str">
        <f t="shared" si="13"/>
        <v>2M_UP</v>
      </c>
      <c r="AQ64" s="89">
        <v>1521.0</v>
      </c>
      <c r="AR64" s="89"/>
      <c r="AS64" s="113"/>
      <c r="AT64" s="113"/>
    </row>
    <row r="65" ht="15.0" customHeight="1">
      <c r="A65" s="83">
        <f t="shared" si="1"/>
        <v>61</v>
      </c>
      <c r="B65" s="122" t="str">
        <f t="shared" si="2"/>
        <v>ARM-0061</v>
      </c>
      <c r="C65" s="123" t="s">
        <v>662</v>
      </c>
      <c r="D65" s="83" t="s">
        <v>663</v>
      </c>
      <c r="E65" s="83" t="s">
        <v>664</v>
      </c>
      <c r="F65" s="83" t="s">
        <v>665</v>
      </c>
      <c r="G65" s="83" t="s">
        <v>193</v>
      </c>
      <c r="H65" s="73" t="s">
        <v>327</v>
      </c>
      <c r="I65" s="73">
        <v>5.0</v>
      </c>
      <c r="J65" s="73">
        <v>3.0</v>
      </c>
      <c r="K65" s="73" t="s">
        <v>194</v>
      </c>
      <c r="L65" s="73" t="s">
        <v>221</v>
      </c>
      <c r="M65" s="73">
        <f>IFERROR(VLOOKUP(L65, '4_Produk'!C:E, 2, FALSE()), "")</f>
        <v>20</v>
      </c>
      <c r="N65" s="73">
        <f>IFERROR(VLOOKUP(L65, '4_Produk'!C:E, 3, FALSE()), "")</f>
        <v>115000</v>
      </c>
      <c r="O65" s="73" t="s">
        <v>666</v>
      </c>
      <c r="P65" s="73" t="s">
        <v>667</v>
      </c>
      <c r="Q65" s="73" t="s">
        <v>668</v>
      </c>
      <c r="R65" s="73"/>
      <c r="S65" s="73"/>
      <c r="T65" s="73"/>
      <c r="U65" s="73" t="s">
        <v>669</v>
      </c>
      <c r="V65" s="73"/>
      <c r="W65" s="114" t="s">
        <v>199</v>
      </c>
      <c r="X65" s="121"/>
      <c r="Y65" s="121"/>
      <c r="Z65" s="107" t="str">
        <f t="shared" si="3"/>
        <v>Chat WA</v>
      </c>
      <c r="AA65" s="107" t="str">
        <f t="shared" si="4"/>
        <v>Chat WA</v>
      </c>
      <c r="AB65" s="107" t="str">
        <f t="shared" si="5"/>
        <v>Kirim Invoice</v>
      </c>
      <c r="AC65" s="107" t="str">
        <f t="shared" si="6"/>
        <v>Chat WA</v>
      </c>
      <c r="AD65" s="108" t="str">
        <f>IFERROR(VLOOKUP($Q65,'12_ONT_NEW'!$D:$G,4,FALSE()),"")</f>
        <v/>
      </c>
      <c r="AE65" s="108"/>
      <c r="AF65" s="109"/>
      <c r="AG65" s="109"/>
      <c r="AH65" s="110" t="str">
        <f t="shared" si="7"/>
        <v/>
      </c>
      <c r="AI65" s="107" t="str">
        <f t="shared" si="8"/>
        <v>Kirim WA</v>
      </c>
      <c r="AJ65" s="107" t="str">
        <f t="shared" si="9"/>
        <v>Kirim WA</v>
      </c>
      <c r="AK65" s="107" t="str">
        <f t="shared" si="10"/>
        <v>Kirim WA</v>
      </c>
      <c r="AL65" s="111" t="str">
        <f t="shared" si="11"/>
        <v/>
      </c>
      <c r="AM65" s="107" t="str">
        <f t="shared" si="12"/>
        <v>Kirim Invoice</v>
      </c>
      <c r="AN65" s="89"/>
      <c r="AO65" s="89"/>
      <c r="AP65" s="112" t="str">
        <f t="shared" si="13"/>
        <v>2M_UP</v>
      </c>
      <c r="AQ65" s="89">
        <v>1521.0</v>
      </c>
      <c r="AR65" s="89"/>
      <c r="AS65" s="113"/>
      <c r="AT65" s="113"/>
    </row>
    <row r="66" ht="15.0" customHeight="1">
      <c r="A66" s="79">
        <f t="shared" si="1"/>
        <v>62</v>
      </c>
      <c r="B66" s="117" t="str">
        <f t="shared" si="2"/>
        <v>ARM-0062</v>
      </c>
      <c r="C66" s="118" t="s">
        <v>670</v>
      </c>
      <c r="D66" s="79" t="s">
        <v>671</v>
      </c>
      <c r="E66" s="79" t="s">
        <v>672</v>
      </c>
      <c r="F66" s="79" t="s">
        <v>673</v>
      </c>
      <c r="G66" s="79" t="s">
        <v>193</v>
      </c>
      <c r="H66" s="119" t="s">
        <v>327</v>
      </c>
      <c r="I66" s="119">
        <v>9.0</v>
      </c>
      <c r="J66" s="119">
        <v>4.0</v>
      </c>
      <c r="K66" s="119" t="s">
        <v>194</v>
      </c>
      <c r="L66" s="119" t="s">
        <v>221</v>
      </c>
      <c r="M66" s="119">
        <f>IFERROR(VLOOKUP(L66, '4_Produk'!C:E, 2, FALSE()), "")</f>
        <v>20</v>
      </c>
      <c r="N66" s="119">
        <f>IFERROR(VLOOKUP(L66, '4_Produk'!C:E, 3, FALSE()), "")</f>
        <v>115000</v>
      </c>
      <c r="O66" s="119" t="s">
        <v>674</v>
      </c>
      <c r="P66" s="119" t="s">
        <v>675</v>
      </c>
      <c r="Q66" s="119" t="s">
        <v>676</v>
      </c>
      <c r="R66" s="119"/>
      <c r="S66" s="120">
        <v>46157.0</v>
      </c>
      <c r="T66" s="119"/>
      <c r="U66" s="119" t="s">
        <v>677</v>
      </c>
      <c r="V66" s="119"/>
      <c r="W66" s="114" t="s">
        <v>199</v>
      </c>
      <c r="X66" s="121"/>
      <c r="Y66" s="121"/>
      <c r="Z66" s="107" t="str">
        <f t="shared" si="3"/>
        <v>Chat WA</v>
      </c>
      <c r="AA66" s="107" t="str">
        <f t="shared" si="4"/>
        <v>Chat WA</v>
      </c>
      <c r="AB66" s="107" t="str">
        <f t="shared" si="5"/>
        <v>Kirim Invoice</v>
      </c>
      <c r="AC66" s="107" t="str">
        <f t="shared" si="6"/>
        <v>Chat WA</v>
      </c>
      <c r="AD66" s="108" t="str">
        <f>IFERROR(VLOOKUP($Q66,'12_ONT_NEW'!$D:$G,4,FALSE()),"")</f>
        <v/>
      </c>
      <c r="AE66" s="108"/>
      <c r="AF66" s="109"/>
      <c r="AG66" s="109"/>
      <c r="AH66" s="110">
        <f t="shared" si="7"/>
        <v>46218</v>
      </c>
      <c r="AI66" s="107" t="str">
        <f t="shared" si="8"/>
        <v>Kirim WA</v>
      </c>
      <c r="AJ66" s="107" t="str">
        <f t="shared" si="9"/>
        <v>Kirim WA</v>
      </c>
      <c r="AK66" s="107" t="str">
        <f t="shared" si="10"/>
        <v>Kirim WA</v>
      </c>
      <c r="AL66" s="111">
        <f t="shared" si="11"/>
        <v>57500</v>
      </c>
      <c r="AM66" s="107" t="str">
        <f t="shared" si="12"/>
        <v>Kirim Invoice</v>
      </c>
      <c r="AN66" s="89"/>
      <c r="AO66" s="89"/>
      <c r="AP66" s="112" t="str">
        <f t="shared" si="13"/>
        <v>2M_UP</v>
      </c>
      <c r="AQ66" s="89">
        <v>1521.0</v>
      </c>
      <c r="AR66" s="89"/>
      <c r="AS66" s="113"/>
      <c r="AT66" s="113"/>
    </row>
    <row r="67" ht="15.0" customHeight="1">
      <c r="A67" s="83">
        <f t="shared" si="1"/>
        <v>63</v>
      </c>
      <c r="B67" s="122" t="str">
        <f t="shared" si="2"/>
        <v>ARM-0063</v>
      </c>
      <c r="C67" s="123" t="s">
        <v>678</v>
      </c>
      <c r="D67" s="133" t="s">
        <v>679</v>
      </c>
      <c r="E67" s="83" t="s">
        <v>680</v>
      </c>
      <c r="F67" s="83" t="s">
        <v>681</v>
      </c>
      <c r="G67" s="83" t="s">
        <v>193</v>
      </c>
      <c r="H67" s="73" t="s">
        <v>327</v>
      </c>
      <c r="I67" s="73">
        <v>9.0</v>
      </c>
      <c r="J67" s="73">
        <v>5.0</v>
      </c>
      <c r="K67" s="73" t="s">
        <v>194</v>
      </c>
      <c r="L67" s="73" t="s">
        <v>221</v>
      </c>
      <c r="M67" s="73">
        <f>IFERROR(VLOOKUP(L67, '4_Produk'!C:E, 2, FALSE()), "")</f>
        <v>20</v>
      </c>
      <c r="N67" s="73">
        <f>IFERROR(VLOOKUP(L67, '4_Produk'!C:E, 3, FALSE()), "")</f>
        <v>115000</v>
      </c>
      <c r="O67" s="115" t="s">
        <v>682</v>
      </c>
      <c r="P67" s="73" t="s">
        <v>683</v>
      </c>
      <c r="Q67" s="73" t="s">
        <v>684</v>
      </c>
      <c r="R67" s="73"/>
      <c r="S67" s="73" t="s">
        <v>685</v>
      </c>
      <c r="T67" s="73">
        <v>100.0</v>
      </c>
      <c r="U67" s="73" t="s">
        <v>686</v>
      </c>
      <c r="V67" s="73"/>
      <c r="W67" s="114" t="s">
        <v>199</v>
      </c>
      <c r="X67" s="121"/>
      <c r="Y67" s="121"/>
      <c r="Z67" s="107" t="str">
        <f t="shared" si="3"/>
        <v>Chat WA</v>
      </c>
      <c r="AA67" s="107" t="str">
        <f t="shared" si="4"/>
        <v>Chat WA</v>
      </c>
      <c r="AB67" s="107" t="str">
        <f t="shared" si="5"/>
        <v>Kirim Invoice</v>
      </c>
      <c r="AC67" s="107" t="str">
        <f t="shared" si="6"/>
        <v>Chat WA</v>
      </c>
      <c r="AD67" s="108" t="str">
        <f>IFERROR(VLOOKUP($Q67,'12_ONT_NEW'!$D:$G,4,FALSE()),"")</f>
        <v/>
      </c>
      <c r="AE67" s="108"/>
      <c r="AF67" s="109"/>
      <c r="AG67" s="109"/>
      <c r="AH67" s="110">
        <f t="shared" si="7"/>
        <v>46218</v>
      </c>
      <c r="AI67" s="107" t="str">
        <f t="shared" si="8"/>
        <v>Kirim WA</v>
      </c>
      <c r="AJ67" s="107" t="str">
        <f t="shared" si="9"/>
        <v>Kirim WA</v>
      </c>
      <c r="AK67" s="107" t="str">
        <f t="shared" si="10"/>
        <v>Kirim WA</v>
      </c>
      <c r="AL67" s="111">
        <f t="shared" si="11"/>
        <v>57500</v>
      </c>
      <c r="AM67" s="107" t="str">
        <f t="shared" si="12"/>
        <v>Kirim Invoice</v>
      </c>
      <c r="AN67" s="89"/>
      <c r="AO67" s="89"/>
      <c r="AP67" s="112" t="str">
        <f t="shared" si="13"/>
        <v>2M_UP</v>
      </c>
      <c r="AQ67" s="89">
        <v>1521.0</v>
      </c>
      <c r="AR67" s="89"/>
      <c r="AS67" s="113"/>
      <c r="AT67" s="113"/>
    </row>
    <row r="68" ht="15.0" customHeight="1">
      <c r="A68" s="83">
        <f t="shared" si="1"/>
        <v>64</v>
      </c>
      <c r="B68" s="117" t="str">
        <f t="shared" si="2"/>
        <v>ARM-0064</v>
      </c>
      <c r="C68" s="118" t="s">
        <v>687</v>
      </c>
      <c r="D68" s="79" t="s">
        <v>688</v>
      </c>
      <c r="E68" s="79"/>
      <c r="F68" s="79" t="s">
        <v>689</v>
      </c>
      <c r="G68" s="79" t="s">
        <v>193</v>
      </c>
      <c r="H68" s="119" t="s">
        <v>327</v>
      </c>
      <c r="I68" s="119">
        <v>1.0</v>
      </c>
      <c r="J68" s="119">
        <v>6.0</v>
      </c>
      <c r="K68" s="119" t="s">
        <v>194</v>
      </c>
      <c r="L68" s="119" t="s">
        <v>212</v>
      </c>
      <c r="M68" s="119">
        <f>IFERROR(VLOOKUP(L68, '4_Produk'!C:E, 2, FALSE()), "")</f>
        <v>30</v>
      </c>
      <c r="N68" s="119">
        <f>IFERROR(VLOOKUP(L68, '4_Produk'!C:E, 3, FALSE()), "")</f>
        <v>142000</v>
      </c>
      <c r="O68" s="119" t="s">
        <v>690</v>
      </c>
      <c r="P68" s="119" t="s">
        <v>691</v>
      </c>
      <c r="Q68" s="119" t="s">
        <v>692</v>
      </c>
      <c r="R68" s="119"/>
      <c r="S68" s="119" t="s">
        <v>693</v>
      </c>
      <c r="T68" s="119">
        <v>100.0</v>
      </c>
      <c r="U68" s="119" t="s">
        <v>694</v>
      </c>
      <c r="V68" s="119"/>
      <c r="W68" s="114" t="s">
        <v>199</v>
      </c>
      <c r="X68" s="121"/>
      <c r="Y68" s="121"/>
      <c r="Z68" s="107" t="str">
        <f t="shared" si="3"/>
        <v>Chat WA</v>
      </c>
      <c r="AA68" s="107" t="str">
        <f t="shared" si="4"/>
        <v>Chat WA</v>
      </c>
      <c r="AB68" s="107" t="str">
        <f t="shared" si="5"/>
        <v>Kirim Invoice</v>
      </c>
      <c r="AC68" s="107" t="str">
        <f t="shared" si="6"/>
        <v>Chat WA</v>
      </c>
      <c r="AD68" s="108" t="str">
        <f>IFERROR(VLOOKUP($Q68,'12_ONT_NEW'!$D:$G,4,FALSE()),"")</f>
        <v/>
      </c>
      <c r="AE68" s="108"/>
      <c r="AF68" s="109"/>
      <c r="AG68" s="109"/>
      <c r="AH68" s="110">
        <f t="shared" si="7"/>
        <v>46218</v>
      </c>
      <c r="AI68" s="107" t="str">
        <f t="shared" si="8"/>
        <v>Kirim WA</v>
      </c>
      <c r="AJ68" s="107" t="str">
        <f t="shared" si="9"/>
        <v>Kirim WA</v>
      </c>
      <c r="AK68" s="107" t="str">
        <f t="shared" si="10"/>
        <v>Kirim WA</v>
      </c>
      <c r="AL68" s="111">
        <f t="shared" si="11"/>
        <v>71000</v>
      </c>
      <c r="AM68" s="107" t="str">
        <f t="shared" si="12"/>
        <v>Kirim Invoice</v>
      </c>
      <c r="AN68" s="89"/>
      <c r="AO68" s="89"/>
      <c r="AP68" s="112" t="str">
        <f t="shared" si="13"/>
        <v>3M_UP</v>
      </c>
      <c r="AQ68" s="89">
        <v>1521.0</v>
      </c>
      <c r="AR68" s="89"/>
      <c r="AS68" s="113"/>
      <c r="AT68" s="113"/>
    </row>
    <row r="69" ht="15.0" customHeight="1">
      <c r="A69" s="79">
        <f t="shared" si="1"/>
        <v>65</v>
      </c>
      <c r="B69" s="122" t="str">
        <f t="shared" si="2"/>
        <v>ARM-0065</v>
      </c>
      <c r="C69" s="123" t="s">
        <v>695</v>
      </c>
      <c r="D69" s="83" t="s">
        <v>696</v>
      </c>
      <c r="E69" s="83" t="s">
        <v>697</v>
      </c>
      <c r="F69" s="83" t="s">
        <v>698</v>
      </c>
      <c r="G69" s="83" t="s">
        <v>193</v>
      </c>
      <c r="H69" s="73" t="s">
        <v>327</v>
      </c>
      <c r="I69" s="73">
        <v>1.0</v>
      </c>
      <c r="J69" s="73">
        <v>5.0</v>
      </c>
      <c r="K69" s="73" t="s">
        <v>194</v>
      </c>
      <c r="L69" s="73" t="s">
        <v>212</v>
      </c>
      <c r="M69" s="73">
        <f>IFERROR(VLOOKUP(L69, '4_Produk'!C:E, 2, FALSE()), "")</f>
        <v>30</v>
      </c>
      <c r="N69" s="73">
        <f>IFERROR(VLOOKUP(L69, '4_Produk'!C:E, 3, FALSE()), "")</f>
        <v>142000</v>
      </c>
      <c r="O69" s="73" t="s">
        <v>699</v>
      </c>
      <c r="P69" s="73" t="s">
        <v>700</v>
      </c>
      <c r="Q69" s="73" t="s">
        <v>701</v>
      </c>
      <c r="R69" s="73"/>
      <c r="S69" s="73" t="s">
        <v>693</v>
      </c>
      <c r="T69" s="73"/>
      <c r="U69" s="73" t="s">
        <v>702</v>
      </c>
      <c r="V69" s="73"/>
      <c r="W69" s="114" t="s">
        <v>199</v>
      </c>
      <c r="X69" s="121"/>
      <c r="Y69" s="121"/>
      <c r="Z69" s="107" t="str">
        <f t="shared" si="3"/>
        <v>Chat WA</v>
      </c>
      <c r="AA69" s="107" t="str">
        <f t="shared" si="4"/>
        <v>Chat WA</v>
      </c>
      <c r="AB69" s="107" t="str">
        <f t="shared" si="5"/>
        <v>Kirim Invoice</v>
      </c>
      <c r="AC69" s="107" t="str">
        <f t="shared" si="6"/>
        <v>Chat WA</v>
      </c>
      <c r="AD69" s="108" t="str">
        <f>IFERROR(VLOOKUP($Q69,'12_ONT_NEW'!$D:$G,4,FALSE()),"")</f>
        <v/>
      </c>
      <c r="AE69" s="108"/>
      <c r="AF69" s="109"/>
      <c r="AG69" s="109"/>
      <c r="AH69" s="110">
        <f t="shared" si="7"/>
        <v>46218</v>
      </c>
      <c r="AI69" s="107" t="str">
        <f t="shared" si="8"/>
        <v>Kirim WA</v>
      </c>
      <c r="AJ69" s="107" t="str">
        <f t="shared" si="9"/>
        <v>Kirim WA</v>
      </c>
      <c r="AK69" s="107" t="str">
        <f t="shared" si="10"/>
        <v>Kirim WA</v>
      </c>
      <c r="AL69" s="111">
        <f t="shared" si="11"/>
        <v>71000</v>
      </c>
      <c r="AM69" s="107" t="str">
        <f t="shared" si="12"/>
        <v>Kirim Invoice</v>
      </c>
      <c r="AN69" s="89"/>
      <c r="AO69" s="89"/>
      <c r="AP69" s="112" t="str">
        <f t="shared" si="13"/>
        <v>3M_UP</v>
      </c>
      <c r="AQ69" s="89">
        <v>1521.0</v>
      </c>
      <c r="AR69" s="89"/>
      <c r="AS69" s="113"/>
      <c r="AT69" s="113"/>
    </row>
    <row r="70" ht="15.0" customHeight="1">
      <c r="A70" s="83">
        <f t="shared" si="1"/>
        <v>66</v>
      </c>
      <c r="B70" s="117" t="str">
        <f t="shared" si="2"/>
        <v>ARM-0066</v>
      </c>
      <c r="C70" s="118" t="s">
        <v>703</v>
      </c>
      <c r="D70" s="79" t="s">
        <v>704</v>
      </c>
      <c r="E70" s="79" t="s">
        <v>705</v>
      </c>
      <c r="F70" s="79" t="s">
        <v>706</v>
      </c>
      <c r="G70" s="79" t="s">
        <v>193</v>
      </c>
      <c r="H70" s="119" t="s">
        <v>327</v>
      </c>
      <c r="I70" s="119">
        <v>1.0</v>
      </c>
      <c r="J70" s="119">
        <v>5.0</v>
      </c>
      <c r="K70" s="119" t="s">
        <v>194</v>
      </c>
      <c r="L70" s="119" t="s">
        <v>212</v>
      </c>
      <c r="M70" s="119">
        <f>IFERROR(VLOOKUP(L70, '4_Produk'!C:E, 2, FALSE()), "")</f>
        <v>30</v>
      </c>
      <c r="N70" s="119">
        <f>IFERROR(VLOOKUP(L70, '4_Produk'!C:E, 3, FALSE()), "")</f>
        <v>142000</v>
      </c>
      <c r="O70" s="119" t="s">
        <v>707</v>
      </c>
      <c r="P70" s="119" t="s">
        <v>708</v>
      </c>
      <c r="Q70" s="119" t="s">
        <v>709</v>
      </c>
      <c r="R70" s="119"/>
      <c r="S70" s="119" t="s">
        <v>685</v>
      </c>
      <c r="T70" s="119">
        <v>80.0</v>
      </c>
      <c r="U70" s="119" t="s">
        <v>710</v>
      </c>
      <c r="V70" s="119"/>
      <c r="W70" s="114" t="s">
        <v>199</v>
      </c>
      <c r="X70" s="121"/>
      <c r="Y70" s="121"/>
      <c r="Z70" s="107" t="str">
        <f t="shared" si="3"/>
        <v>Chat WA</v>
      </c>
      <c r="AA70" s="107" t="str">
        <f t="shared" si="4"/>
        <v>Chat WA</v>
      </c>
      <c r="AB70" s="107" t="str">
        <f t="shared" si="5"/>
        <v>Kirim Invoice</v>
      </c>
      <c r="AC70" s="107" t="str">
        <f t="shared" si="6"/>
        <v>Chat WA</v>
      </c>
      <c r="AD70" s="108" t="str">
        <f>IFERROR(VLOOKUP($Q70,'12_ONT_NEW'!$D:$G,4,FALSE()),"")</f>
        <v/>
      </c>
      <c r="AE70" s="108"/>
      <c r="AF70" s="109"/>
      <c r="AG70" s="109"/>
      <c r="AH70" s="110">
        <f t="shared" si="7"/>
        <v>46218</v>
      </c>
      <c r="AI70" s="107" t="str">
        <f t="shared" si="8"/>
        <v>Kirim WA</v>
      </c>
      <c r="AJ70" s="107" t="str">
        <f t="shared" si="9"/>
        <v>Kirim WA</v>
      </c>
      <c r="AK70" s="107" t="str">
        <f t="shared" si="10"/>
        <v>Kirim WA</v>
      </c>
      <c r="AL70" s="111">
        <f t="shared" si="11"/>
        <v>71000</v>
      </c>
      <c r="AM70" s="107" t="str">
        <f t="shared" si="12"/>
        <v>Kirim Invoice</v>
      </c>
      <c r="AN70" s="89"/>
      <c r="AO70" s="89"/>
      <c r="AP70" s="112" t="str">
        <f t="shared" si="13"/>
        <v>3M_UP</v>
      </c>
      <c r="AQ70" s="89">
        <v>1521.0</v>
      </c>
      <c r="AR70" s="89"/>
      <c r="AS70" s="113"/>
      <c r="AT70" s="113"/>
    </row>
    <row r="71" ht="15.0" customHeight="1">
      <c r="A71" s="83">
        <f t="shared" si="1"/>
        <v>67</v>
      </c>
      <c r="B71" s="122" t="str">
        <f t="shared" si="2"/>
        <v>ARM-0067</v>
      </c>
      <c r="C71" s="123" t="s">
        <v>711</v>
      </c>
      <c r="D71" s="83" t="s">
        <v>712</v>
      </c>
      <c r="E71" s="83"/>
      <c r="F71" s="83" t="s">
        <v>713</v>
      </c>
      <c r="G71" s="83" t="s">
        <v>193</v>
      </c>
      <c r="H71" s="73" t="s">
        <v>327</v>
      </c>
      <c r="I71" s="73">
        <v>9.0</v>
      </c>
      <c r="J71" s="73">
        <v>6.0</v>
      </c>
      <c r="K71" s="73" t="s">
        <v>194</v>
      </c>
      <c r="L71" s="73" t="s">
        <v>221</v>
      </c>
      <c r="M71" s="73">
        <f>IFERROR(VLOOKUP(L71, '4_Produk'!C:E, 2, FALSE()), "")</f>
        <v>20</v>
      </c>
      <c r="N71" s="73">
        <f>IFERROR(VLOOKUP(L71, '4_Produk'!C:E, 3, FALSE()), "")</f>
        <v>115000</v>
      </c>
      <c r="O71" s="73" t="s">
        <v>714</v>
      </c>
      <c r="P71" s="73" t="s">
        <v>715</v>
      </c>
      <c r="Q71" s="73" t="s">
        <v>716</v>
      </c>
      <c r="R71" s="73"/>
      <c r="S71" s="73" t="s">
        <v>717</v>
      </c>
      <c r="T71" s="73">
        <v>50.0</v>
      </c>
      <c r="U71" s="73" t="s">
        <v>718</v>
      </c>
      <c r="V71" s="73"/>
      <c r="W71" s="114" t="s">
        <v>199</v>
      </c>
      <c r="X71" s="121"/>
      <c r="Y71" s="121"/>
      <c r="Z71" s="107" t="str">
        <f t="shared" si="3"/>
        <v>Chat WA</v>
      </c>
      <c r="AA71" s="107" t="str">
        <f t="shared" si="4"/>
        <v>Chat WA</v>
      </c>
      <c r="AB71" s="107" t="str">
        <f t="shared" si="5"/>
        <v>Kirim Invoice</v>
      </c>
      <c r="AC71" s="107" t="str">
        <f t="shared" si="6"/>
        <v>Chat WA</v>
      </c>
      <c r="AD71" s="108" t="str">
        <f>IFERROR(VLOOKUP($Q71,'12_ONT_NEW'!$D:$G,4,FALSE()),"")</f>
        <v/>
      </c>
      <c r="AE71" s="108"/>
      <c r="AF71" s="109"/>
      <c r="AG71" s="109"/>
      <c r="AH71" s="110">
        <f t="shared" si="7"/>
        <v>46219</v>
      </c>
      <c r="AI71" s="107" t="str">
        <f t="shared" si="8"/>
        <v>Kirim WA</v>
      </c>
      <c r="AJ71" s="107" t="str">
        <f t="shared" si="9"/>
        <v>Kirim WA</v>
      </c>
      <c r="AK71" s="107" t="str">
        <f t="shared" si="10"/>
        <v>Kirim WA</v>
      </c>
      <c r="AL71" s="111">
        <f t="shared" si="11"/>
        <v>53667</v>
      </c>
      <c r="AM71" s="107" t="str">
        <f t="shared" si="12"/>
        <v>Kirim Invoice</v>
      </c>
      <c r="AN71" s="89"/>
      <c r="AO71" s="89"/>
      <c r="AP71" s="112" t="str">
        <f t="shared" si="13"/>
        <v>2M_UP</v>
      </c>
      <c r="AQ71" s="89">
        <v>1521.0</v>
      </c>
      <c r="AR71" s="89"/>
      <c r="AS71" s="113"/>
      <c r="AT71" s="113"/>
    </row>
    <row r="72" ht="15.0" customHeight="1">
      <c r="A72" s="79">
        <f t="shared" si="1"/>
        <v>68</v>
      </c>
      <c r="B72" s="117" t="str">
        <f t="shared" si="2"/>
        <v>ARM-0068</v>
      </c>
      <c r="C72" s="118" t="s">
        <v>719</v>
      </c>
      <c r="D72" s="79" t="s">
        <v>720</v>
      </c>
      <c r="E72" s="79"/>
      <c r="F72" s="79" t="s">
        <v>721</v>
      </c>
      <c r="G72" s="79" t="s">
        <v>193</v>
      </c>
      <c r="H72" s="119" t="s">
        <v>327</v>
      </c>
      <c r="I72" s="121"/>
      <c r="J72" s="121"/>
      <c r="K72" s="119" t="s">
        <v>194</v>
      </c>
      <c r="L72" s="119" t="s">
        <v>221</v>
      </c>
      <c r="M72" s="119">
        <f>IFERROR(VLOOKUP(L72, '4_Produk'!C:E, 2, FALSE()), "")</f>
        <v>20</v>
      </c>
      <c r="N72" s="119">
        <f>IFERROR(VLOOKUP(L72, '4_Produk'!C:E, 3, FALSE()), "")</f>
        <v>115000</v>
      </c>
      <c r="O72" s="119" t="s">
        <v>722</v>
      </c>
      <c r="P72" s="119" t="s">
        <v>723</v>
      </c>
      <c r="Q72" s="119" t="s">
        <v>724</v>
      </c>
      <c r="R72" s="119"/>
      <c r="S72" s="119" t="s">
        <v>717</v>
      </c>
      <c r="T72" s="119">
        <v>100.0</v>
      </c>
      <c r="U72" s="119" t="s">
        <v>725</v>
      </c>
      <c r="V72" s="119"/>
      <c r="W72" s="114" t="s">
        <v>199</v>
      </c>
      <c r="X72" s="121"/>
      <c r="Y72" s="121"/>
      <c r="Z72" s="107" t="str">
        <f t="shared" si="3"/>
        <v>Chat WA</v>
      </c>
      <c r="AA72" s="107" t="str">
        <f t="shared" si="4"/>
        <v>Chat WA</v>
      </c>
      <c r="AB72" s="107" t="str">
        <f t="shared" si="5"/>
        <v>Kirim Invoice</v>
      </c>
      <c r="AC72" s="107" t="str">
        <f t="shared" si="6"/>
        <v>Chat WA</v>
      </c>
      <c r="AD72" s="108" t="str">
        <f>IFERROR(VLOOKUP($Q72,'12_ONT_NEW'!$D:$G,4,FALSE()),"")</f>
        <v/>
      </c>
      <c r="AE72" s="108"/>
      <c r="AF72" s="109"/>
      <c r="AG72" s="109"/>
      <c r="AH72" s="110">
        <f t="shared" si="7"/>
        <v>46219</v>
      </c>
      <c r="AI72" s="107" t="str">
        <f t="shared" si="8"/>
        <v>Kirim WA</v>
      </c>
      <c r="AJ72" s="107" t="str">
        <f t="shared" si="9"/>
        <v>Kirim WA</v>
      </c>
      <c r="AK72" s="107" t="str">
        <f t="shared" si="10"/>
        <v>Kirim WA</v>
      </c>
      <c r="AL72" s="111">
        <f t="shared" si="11"/>
        <v>53667</v>
      </c>
      <c r="AM72" s="107" t="str">
        <f t="shared" si="12"/>
        <v>Kirim Invoice</v>
      </c>
      <c r="AN72" s="89"/>
      <c r="AO72" s="89"/>
      <c r="AP72" s="112" t="str">
        <f t="shared" si="13"/>
        <v>2M_UP</v>
      </c>
      <c r="AQ72" s="89">
        <v>1521.0</v>
      </c>
      <c r="AR72" s="89"/>
      <c r="AS72" s="113"/>
      <c r="AT72" s="113"/>
    </row>
    <row r="73" ht="13.5" customHeight="1">
      <c r="A73" s="83">
        <f t="shared" si="1"/>
        <v>69</v>
      </c>
      <c r="B73" s="122" t="str">
        <f t="shared" si="2"/>
        <v>ARM-0069</v>
      </c>
      <c r="C73" s="123" t="s">
        <v>726</v>
      </c>
      <c r="D73" s="83" t="s">
        <v>727</v>
      </c>
      <c r="E73" s="83" t="s">
        <v>728</v>
      </c>
      <c r="F73" s="83" t="s">
        <v>729</v>
      </c>
      <c r="G73" s="83" t="s">
        <v>193</v>
      </c>
      <c r="H73" s="73" t="s">
        <v>327</v>
      </c>
      <c r="I73" s="73">
        <v>5.0</v>
      </c>
      <c r="J73" s="73">
        <v>3.0</v>
      </c>
      <c r="K73" s="73" t="s">
        <v>194</v>
      </c>
      <c r="L73" s="73" t="s">
        <v>221</v>
      </c>
      <c r="M73" s="73">
        <f>IFERROR(VLOOKUP(L73, '4_Produk'!C:E, 2, FALSE()), "")</f>
        <v>20</v>
      </c>
      <c r="N73" s="73">
        <f>IFERROR(VLOOKUP(L73, '4_Produk'!C:E, 3, FALSE()), "")</f>
        <v>115000</v>
      </c>
      <c r="O73" s="73" t="s">
        <v>730</v>
      </c>
      <c r="P73" s="73" t="s">
        <v>731</v>
      </c>
      <c r="Q73" s="73" t="s">
        <v>732</v>
      </c>
      <c r="R73" s="73"/>
      <c r="S73" s="73" t="s">
        <v>717</v>
      </c>
      <c r="T73" s="73">
        <v>70.0</v>
      </c>
      <c r="U73" s="73" t="s">
        <v>733</v>
      </c>
      <c r="V73" s="73"/>
      <c r="W73" s="114" t="s">
        <v>199</v>
      </c>
      <c r="X73" s="121"/>
      <c r="Y73" s="121"/>
      <c r="Z73" s="107" t="str">
        <f t="shared" si="3"/>
        <v>Chat WA</v>
      </c>
      <c r="AA73" s="107" t="str">
        <f t="shared" si="4"/>
        <v>Chat WA</v>
      </c>
      <c r="AB73" s="107" t="str">
        <f t="shared" si="5"/>
        <v>Kirim Invoice</v>
      </c>
      <c r="AC73" s="107" t="str">
        <f t="shared" si="6"/>
        <v>Chat WA</v>
      </c>
      <c r="AD73" s="108" t="str">
        <f>IFERROR(VLOOKUP($Q73,'12_ONT_NEW'!$D:$G,4,FALSE()),"")</f>
        <v/>
      </c>
      <c r="AE73" s="108"/>
      <c r="AF73" s="109"/>
      <c r="AG73" s="109"/>
      <c r="AH73" s="110">
        <f t="shared" si="7"/>
        <v>46219</v>
      </c>
      <c r="AI73" s="107" t="str">
        <f t="shared" si="8"/>
        <v>Kirim WA</v>
      </c>
      <c r="AJ73" s="107" t="str">
        <f t="shared" si="9"/>
        <v>Kirim WA</v>
      </c>
      <c r="AK73" s="107" t="str">
        <f t="shared" si="10"/>
        <v>Kirim WA</v>
      </c>
      <c r="AL73" s="111">
        <f t="shared" si="11"/>
        <v>53667</v>
      </c>
      <c r="AM73" s="107" t="str">
        <f t="shared" si="12"/>
        <v>Kirim Invoice</v>
      </c>
      <c r="AN73" s="89"/>
      <c r="AO73" s="89"/>
      <c r="AP73" s="112" t="str">
        <f t="shared" si="13"/>
        <v>2M_UP</v>
      </c>
      <c r="AQ73" s="89">
        <v>1521.0</v>
      </c>
      <c r="AR73" s="89"/>
      <c r="AS73" s="113"/>
      <c r="AT73" s="113"/>
    </row>
    <row r="74" ht="15.0" customHeight="1">
      <c r="A74" s="83">
        <f t="shared" si="1"/>
        <v>70</v>
      </c>
      <c r="B74" s="117" t="str">
        <f t="shared" si="2"/>
        <v>ARM-0070</v>
      </c>
      <c r="C74" s="118" t="s">
        <v>734</v>
      </c>
      <c r="D74" s="79" t="s">
        <v>735</v>
      </c>
      <c r="E74" s="79" t="s">
        <v>736</v>
      </c>
      <c r="F74" s="79" t="s">
        <v>737</v>
      </c>
      <c r="G74" s="79" t="s">
        <v>193</v>
      </c>
      <c r="H74" s="119" t="s">
        <v>327</v>
      </c>
      <c r="I74" s="119">
        <v>5.0</v>
      </c>
      <c r="J74" s="119">
        <v>3.0</v>
      </c>
      <c r="K74" s="119" t="s">
        <v>194</v>
      </c>
      <c r="L74" s="119" t="s">
        <v>221</v>
      </c>
      <c r="M74" s="119">
        <f>IFERROR(VLOOKUP(L74, '4_Produk'!C:E, 2, FALSE()), "")</f>
        <v>20</v>
      </c>
      <c r="N74" s="119">
        <f>IFERROR(VLOOKUP(L74, '4_Produk'!C:E, 3, FALSE()), "")</f>
        <v>115000</v>
      </c>
      <c r="O74" s="119" t="s">
        <v>738</v>
      </c>
      <c r="P74" s="119" t="s">
        <v>739</v>
      </c>
      <c r="Q74" s="119" t="s">
        <v>740</v>
      </c>
      <c r="R74" s="119"/>
      <c r="S74" s="119" t="s">
        <v>717</v>
      </c>
      <c r="T74" s="119">
        <v>70.0</v>
      </c>
      <c r="U74" s="119" t="s">
        <v>741</v>
      </c>
      <c r="V74" s="119"/>
      <c r="W74" s="114" t="s">
        <v>199</v>
      </c>
      <c r="X74" s="121"/>
      <c r="Y74" s="121"/>
      <c r="Z74" s="107" t="str">
        <f t="shared" si="3"/>
        <v>Chat WA</v>
      </c>
      <c r="AA74" s="107" t="str">
        <f t="shared" si="4"/>
        <v>Chat WA</v>
      </c>
      <c r="AB74" s="107" t="str">
        <f t="shared" si="5"/>
        <v>Kirim Invoice</v>
      </c>
      <c r="AC74" s="107" t="str">
        <f t="shared" si="6"/>
        <v>Chat WA</v>
      </c>
      <c r="AD74" s="108" t="str">
        <f>IFERROR(VLOOKUP($Q74,'12_ONT_NEW'!$D:$G,4,FALSE()),"")</f>
        <v/>
      </c>
      <c r="AE74" s="108"/>
      <c r="AF74" s="109"/>
      <c r="AG74" s="109"/>
      <c r="AH74" s="110">
        <f t="shared" si="7"/>
        <v>46219</v>
      </c>
      <c r="AI74" s="107" t="str">
        <f t="shared" si="8"/>
        <v>Kirim WA</v>
      </c>
      <c r="AJ74" s="107" t="str">
        <f t="shared" si="9"/>
        <v>Kirim WA</v>
      </c>
      <c r="AK74" s="107" t="str">
        <f t="shared" si="10"/>
        <v>Kirim WA</v>
      </c>
      <c r="AL74" s="111">
        <f t="shared" si="11"/>
        <v>53667</v>
      </c>
      <c r="AM74" s="107" t="str">
        <f t="shared" si="12"/>
        <v>Kirim Invoice</v>
      </c>
      <c r="AN74" s="89"/>
      <c r="AO74" s="89"/>
      <c r="AP74" s="112" t="str">
        <f t="shared" si="13"/>
        <v>2M_UP</v>
      </c>
      <c r="AQ74" s="89">
        <v>1521.0</v>
      </c>
      <c r="AR74" s="89"/>
      <c r="AS74" s="113"/>
      <c r="AT74" s="113"/>
    </row>
    <row r="75" ht="15.0" customHeight="1">
      <c r="A75" s="79">
        <f t="shared" si="1"/>
        <v>71</v>
      </c>
      <c r="B75" s="122" t="str">
        <f t="shared" si="2"/>
        <v>ARM-0071</v>
      </c>
      <c r="C75" s="123" t="s">
        <v>742</v>
      </c>
      <c r="D75" s="83" t="s">
        <v>743</v>
      </c>
      <c r="E75" s="83" t="s">
        <v>744</v>
      </c>
      <c r="F75" s="83" t="s">
        <v>745</v>
      </c>
      <c r="G75" s="83" t="s">
        <v>193</v>
      </c>
      <c r="H75" s="73" t="s">
        <v>462</v>
      </c>
      <c r="I75" s="73">
        <v>4.0</v>
      </c>
      <c r="J75" s="73">
        <v>1.0</v>
      </c>
      <c r="K75" s="73" t="s">
        <v>194</v>
      </c>
      <c r="L75" s="73" t="s">
        <v>221</v>
      </c>
      <c r="M75" s="73">
        <f>IFERROR(VLOOKUP(L75, '4_Produk'!C:E, 2, FALSE()), "")</f>
        <v>20</v>
      </c>
      <c r="N75" s="73">
        <f>IFERROR(VLOOKUP(L75, '4_Produk'!C:E, 3, FALSE()), "")</f>
        <v>115000</v>
      </c>
      <c r="O75" s="73" t="s">
        <v>746</v>
      </c>
      <c r="P75" s="73" t="s">
        <v>747</v>
      </c>
      <c r="Q75" s="73" t="s">
        <v>748</v>
      </c>
      <c r="R75" s="73"/>
      <c r="S75" s="73" t="s">
        <v>717</v>
      </c>
      <c r="T75" s="73">
        <v>70.0</v>
      </c>
      <c r="U75" s="73" t="s">
        <v>749</v>
      </c>
      <c r="V75" s="73"/>
      <c r="W75" s="114" t="s">
        <v>199</v>
      </c>
      <c r="X75" s="121"/>
      <c r="Y75" s="121"/>
      <c r="Z75" s="107" t="str">
        <f t="shared" si="3"/>
        <v>Chat WA</v>
      </c>
      <c r="AA75" s="107" t="str">
        <f t="shared" si="4"/>
        <v>Chat WA</v>
      </c>
      <c r="AB75" s="107" t="str">
        <f t="shared" si="5"/>
        <v>Kirim Invoice</v>
      </c>
      <c r="AC75" s="107" t="str">
        <f t="shared" si="6"/>
        <v>Chat WA</v>
      </c>
      <c r="AD75" s="108" t="str">
        <f>IFERROR(VLOOKUP($Q75,'12_ONT_NEW'!$D:$G,4,FALSE()),"")</f>
        <v/>
      </c>
      <c r="AE75" s="108"/>
      <c r="AF75" s="109"/>
      <c r="AG75" s="109"/>
      <c r="AH75" s="110">
        <f t="shared" si="7"/>
        <v>46219</v>
      </c>
      <c r="AI75" s="107" t="str">
        <f t="shared" si="8"/>
        <v>Kirim WA</v>
      </c>
      <c r="AJ75" s="107" t="str">
        <f t="shared" si="9"/>
        <v>Kirim WA</v>
      </c>
      <c r="AK75" s="107" t="str">
        <f t="shared" si="10"/>
        <v>Kirim WA</v>
      </c>
      <c r="AL75" s="111">
        <f t="shared" si="11"/>
        <v>53667</v>
      </c>
      <c r="AM75" s="107" t="str">
        <f t="shared" si="12"/>
        <v>Kirim Invoice</v>
      </c>
      <c r="AN75" s="89"/>
      <c r="AO75" s="89"/>
      <c r="AP75" s="112" t="str">
        <f t="shared" si="13"/>
        <v>2M_UP</v>
      </c>
      <c r="AQ75" s="89">
        <v>1521.0</v>
      </c>
      <c r="AR75" s="89"/>
      <c r="AS75" s="113"/>
      <c r="AT75" s="113"/>
    </row>
    <row r="76" ht="15.0" customHeight="1">
      <c r="A76" s="83">
        <f t="shared" si="1"/>
        <v>72</v>
      </c>
      <c r="B76" s="117" t="str">
        <f t="shared" si="2"/>
        <v>ARM-0072</v>
      </c>
      <c r="C76" s="118" t="s">
        <v>750</v>
      </c>
      <c r="D76" s="79" t="s">
        <v>751</v>
      </c>
      <c r="E76" s="79" t="s">
        <v>752</v>
      </c>
      <c r="F76" s="79" t="s">
        <v>753</v>
      </c>
      <c r="G76" s="79" t="s">
        <v>193</v>
      </c>
      <c r="H76" s="119" t="s">
        <v>327</v>
      </c>
      <c r="I76" s="119">
        <v>5.0</v>
      </c>
      <c r="J76" s="119">
        <v>5.0</v>
      </c>
      <c r="K76" s="119" t="s">
        <v>194</v>
      </c>
      <c r="L76" s="119" t="s">
        <v>221</v>
      </c>
      <c r="M76" s="119">
        <f>IFERROR(VLOOKUP(L76, '4_Produk'!C:E, 2, FALSE()), "")</f>
        <v>20</v>
      </c>
      <c r="N76" s="119">
        <f>IFERROR(VLOOKUP(L76, '4_Produk'!C:E, 3, FALSE()), "")</f>
        <v>115000</v>
      </c>
      <c r="O76" s="119" t="s">
        <v>754</v>
      </c>
      <c r="P76" s="119" t="s">
        <v>755</v>
      </c>
      <c r="Q76" s="119" t="s">
        <v>756</v>
      </c>
      <c r="R76" s="119"/>
      <c r="S76" s="120">
        <v>46159.0</v>
      </c>
      <c r="T76" s="119">
        <v>150.0</v>
      </c>
      <c r="U76" s="119" t="s">
        <v>757</v>
      </c>
      <c r="V76" s="119"/>
      <c r="W76" s="114" t="s">
        <v>199</v>
      </c>
      <c r="X76" s="121"/>
      <c r="Y76" s="121"/>
      <c r="Z76" s="107" t="str">
        <f t="shared" si="3"/>
        <v>Chat WA</v>
      </c>
      <c r="AA76" s="107" t="str">
        <f t="shared" si="4"/>
        <v>Chat WA</v>
      </c>
      <c r="AB76" s="107" t="str">
        <f t="shared" si="5"/>
        <v>Kirim Invoice</v>
      </c>
      <c r="AC76" s="107" t="str">
        <f t="shared" si="6"/>
        <v>Chat WA</v>
      </c>
      <c r="AD76" s="108" t="str">
        <f>IFERROR(VLOOKUP($Q76,'12_ONT_NEW'!$D:$G,4,FALSE()),"")</f>
        <v/>
      </c>
      <c r="AE76" s="108"/>
      <c r="AF76" s="109"/>
      <c r="AG76" s="109"/>
      <c r="AH76" s="110">
        <f t="shared" si="7"/>
        <v>46220</v>
      </c>
      <c r="AI76" s="107" t="str">
        <f t="shared" si="8"/>
        <v>Kirim WA</v>
      </c>
      <c r="AJ76" s="107" t="str">
        <f t="shared" si="9"/>
        <v>Kirim WA</v>
      </c>
      <c r="AK76" s="107" t="str">
        <f t="shared" si="10"/>
        <v>Kirim WA</v>
      </c>
      <c r="AL76" s="111">
        <f t="shared" si="11"/>
        <v>49833</v>
      </c>
      <c r="AM76" s="107" t="str">
        <f t="shared" si="12"/>
        <v>Kirim Invoice</v>
      </c>
      <c r="AN76" s="89"/>
      <c r="AO76" s="89"/>
      <c r="AP76" s="112" t="str">
        <f t="shared" si="13"/>
        <v>2M_UP</v>
      </c>
      <c r="AQ76" s="89">
        <v>1521.0</v>
      </c>
      <c r="AR76" s="89"/>
      <c r="AS76" s="113"/>
      <c r="AT76" s="113"/>
    </row>
    <row r="77" ht="15.0" customHeight="1">
      <c r="A77" s="83">
        <f t="shared" si="1"/>
        <v>73</v>
      </c>
      <c r="B77" s="122" t="str">
        <f t="shared" si="2"/>
        <v>ARM-0073</v>
      </c>
      <c r="C77" s="123" t="s">
        <v>758</v>
      </c>
      <c r="D77" s="83" t="s">
        <v>759</v>
      </c>
      <c r="E77" s="83" t="s">
        <v>760</v>
      </c>
      <c r="F77" s="83" t="s">
        <v>761</v>
      </c>
      <c r="G77" s="83" t="s">
        <v>193</v>
      </c>
      <c r="H77" s="73" t="s">
        <v>327</v>
      </c>
      <c r="I77" s="73">
        <v>1.0</v>
      </c>
      <c r="J77" s="73">
        <v>5.0</v>
      </c>
      <c r="K77" s="73" t="s">
        <v>194</v>
      </c>
      <c r="L77" s="73" t="s">
        <v>212</v>
      </c>
      <c r="M77" s="73">
        <f>IFERROR(VLOOKUP(L77, '4_Produk'!C:E, 2, FALSE()), "")</f>
        <v>30</v>
      </c>
      <c r="N77" s="73">
        <f>IFERROR(VLOOKUP(L77, '4_Produk'!C:E, 3, FALSE()), "")</f>
        <v>142000</v>
      </c>
      <c r="O77" s="73" t="s">
        <v>762</v>
      </c>
      <c r="P77" s="73" t="s">
        <v>763</v>
      </c>
      <c r="Q77" s="115" t="s">
        <v>764</v>
      </c>
      <c r="R77" s="73"/>
      <c r="S77" s="124">
        <v>46162.0</v>
      </c>
      <c r="T77" s="73">
        <v>60.0</v>
      </c>
      <c r="U77" s="73" t="s">
        <v>765</v>
      </c>
      <c r="V77" s="73"/>
      <c r="W77" s="114" t="s">
        <v>199</v>
      </c>
      <c r="X77" s="121"/>
      <c r="Y77" s="121"/>
      <c r="Z77" s="107" t="str">
        <f t="shared" si="3"/>
        <v>Chat WA</v>
      </c>
      <c r="AA77" s="107" t="str">
        <f t="shared" si="4"/>
        <v>Chat WA</v>
      </c>
      <c r="AB77" s="107" t="str">
        <f t="shared" si="5"/>
        <v>Kirim Invoice</v>
      </c>
      <c r="AC77" s="107" t="str">
        <f t="shared" si="6"/>
        <v>Chat WA</v>
      </c>
      <c r="AD77" s="108" t="str">
        <f>IFERROR(VLOOKUP($Q77,'12_ONT_NEW'!$D:$G,4,FALSE()),"")</f>
        <v/>
      </c>
      <c r="AE77" s="108"/>
      <c r="AF77" s="109"/>
      <c r="AG77" s="109"/>
      <c r="AH77" s="110">
        <f t="shared" si="7"/>
        <v>46223</v>
      </c>
      <c r="AI77" s="107" t="str">
        <f t="shared" si="8"/>
        <v>Kirim WA</v>
      </c>
      <c r="AJ77" s="107" t="str">
        <f t="shared" si="9"/>
        <v>Kirim WA</v>
      </c>
      <c r="AK77" s="107" t="str">
        <f t="shared" si="10"/>
        <v>Kirim WA</v>
      </c>
      <c r="AL77" s="111">
        <f t="shared" si="11"/>
        <v>47333</v>
      </c>
      <c r="AM77" s="107" t="str">
        <f t="shared" si="12"/>
        <v>Kirim Invoice</v>
      </c>
      <c r="AN77" s="89"/>
      <c r="AO77" s="89"/>
      <c r="AP77" s="112" t="str">
        <f t="shared" si="13"/>
        <v>3M_UP</v>
      </c>
      <c r="AQ77" s="89">
        <v>1521.0</v>
      </c>
      <c r="AR77" s="89"/>
      <c r="AS77" s="113"/>
      <c r="AT77" s="113"/>
    </row>
    <row r="78" ht="15.0" customHeight="1">
      <c r="A78" s="79">
        <f t="shared" si="1"/>
        <v>74</v>
      </c>
      <c r="B78" s="117" t="str">
        <f t="shared" si="2"/>
        <v>ARM-0074</v>
      </c>
      <c r="C78" s="118" t="s">
        <v>766</v>
      </c>
      <c r="D78" s="79" t="s">
        <v>767</v>
      </c>
      <c r="E78" s="79"/>
      <c r="F78" s="79" t="s">
        <v>768</v>
      </c>
      <c r="G78" s="79" t="s">
        <v>193</v>
      </c>
      <c r="H78" s="119" t="s">
        <v>327</v>
      </c>
      <c r="I78" s="119">
        <v>1.0</v>
      </c>
      <c r="J78" s="119">
        <v>6.0</v>
      </c>
      <c r="K78" s="119" t="s">
        <v>194</v>
      </c>
      <c r="L78" s="119" t="s">
        <v>212</v>
      </c>
      <c r="M78" s="119">
        <f>IFERROR(VLOOKUP(L78, '4_Produk'!C:E, 2, FALSE()), "")</f>
        <v>30</v>
      </c>
      <c r="N78" s="119">
        <f>IFERROR(VLOOKUP(L78, '4_Produk'!C:E, 3, FALSE()), "")</f>
        <v>142000</v>
      </c>
      <c r="O78" s="119" t="s">
        <v>769</v>
      </c>
      <c r="P78" s="119" t="s">
        <v>770</v>
      </c>
      <c r="Q78" s="119" t="s">
        <v>771</v>
      </c>
      <c r="R78" s="119"/>
      <c r="S78" s="120">
        <v>46164.0</v>
      </c>
      <c r="T78" s="119">
        <v>100.0</v>
      </c>
      <c r="U78" s="119" t="s">
        <v>772</v>
      </c>
      <c r="V78" s="119"/>
      <c r="W78" s="114" t="s">
        <v>199</v>
      </c>
      <c r="X78" s="121"/>
      <c r="Y78" s="121"/>
      <c r="Z78" s="107" t="str">
        <f t="shared" si="3"/>
        <v>Chat WA</v>
      </c>
      <c r="AA78" s="107" t="str">
        <f t="shared" si="4"/>
        <v>Chat WA</v>
      </c>
      <c r="AB78" s="107" t="str">
        <f t="shared" si="5"/>
        <v>Kirim Invoice</v>
      </c>
      <c r="AC78" s="107" t="str">
        <f t="shared" si="6"/>
        <v>Chat WA</v>
      </c>
      <c r="AD78" s="108" t="str">
        <f>IFERROR(VLOOKUP($Q78,'12_ONT_NEW'!$D:$G,4,FALSE()),"")</f>
        <v/>
      </c>
      <c r="AE78" s="108"/>
      <c r="AF78" s="109"/>
      <c r="AG78" s="109"/>
      <c r="AH78" s="110">
        <f t="shared" si="7"/>
        <v>46225</v>
      </c>
      <c r="AI78" s="107" t="str">
        <f t="shared" si="8"/>
        <v>Kirim WA</v>
      </c>
      <c r="AJ78" s="107" t="str">
        <f t="shared" si="9"/>
        <v>Kirim WA</v>
      </c>
      <c r="AK78" s="107" t="str">
        <f t="shared" si="10"/>
        <v>Kirim WA</v>
      </c>
      <c r="AL78" s="111">
        <f t="shared" si="11"/>
        <v>37867</v>
      </c>
      <c r="AM78" s="107" t="str">
        <f t="shared" si="12"/>
        <v>Kirim Invoice</v>
      </c>
      <c r="AN78" s="89"/>
      <c r="AO78" s="89"/>
      <c r="AP78" s="112" t="str">
        <f t="shared" si="13"/>
        <v>3M_UP</v>
      </c>
      <c r="AQ78" s="89">
        <v>1521.0</v>
      </c>
      <c r="AR78" s="89"/>
      <c r="AS78" s="113"/>
      <c r="AT78" s="113"/>
    </row>
    <row r="79" ht="15.0" customHeight="1">
      <c r="A79" s="83">
        <f t="shared" si="1"/>
        <v>75</v>
      </c>
      <c r="B79" s="122" t="str">
        <f t="shared" si="2"/>
        <v>ARM-0075</v>
      </c>
      <c r="C79" s="123" t="s">
        <v>773</v>
      </c>
      <c r="D79" s="83" t="s">
        <v>774</v>
      </c>
      <c r="E79" s="83" t="s">
        <v>775</v>
      </c>
      <c r="F79" s="83" t="s">
        <v>776</v>
      </c>
      <c r="G79" s="83" t="s">
        <v>193</v>
      </c>
      <c r="H79" s="73" t="s">
        <v>266</v>
      </c>
      <c r="I79" s="73">
        <v>6.0</v>
      </c>
      <c r="J79" s="73">
        <v>1.0</v>
      </c>
      <c r="K79" s="73" t="s">
        <v>194</v>
      </c>
      <c r="L79" s="73" t="s">
        <v>221</v>
      </c>
      <c r="M79" s="73">
        <f>IFERROR(VLOOKUP(L79, '4_Produk'!C:E, 2, FALSE()), "")</f>
        <v>20</v>
      </c>
      <c r="N79" s="73">
        <f>IFERROR(VLOOKUP(L79, '4_Produk'!C:E, 3, FALSE()), "")</f>
        <v>115000</v>
      </c>
      <c r="O79" s="73" t="s">
        <v>777</v>
      </c>
      <c r="P79" s="73" t="s">
        <v>778</v>
      </c>
      <c r="Q79" s="73" t="s">
        <v>779</v>
      </c>
      <c r="R79" s="73"/>
      <c r="S79" s="124">
        <v>46164.0</v>
      </c>
      <c r="T79" s="73">
        <v>7.0</v>
      </c>
      <c r="U79" s="73" t="s">
        <v>780</v>
      </c>
      <c r="V79" s="73"/>
      <c r="W79" s="114" t="s">
        <v>199</v>
      </c>
      <c r="X79" s="121"/>
      <c r="Y79" s="121"/>
      <c r="Z79" s="107" t="str">
        <f t="shared" si="3"/>
        <v>Chat WA</v>
      </c>
      <c r="AA79" s="107" t="str">
        <f t="shared" si="4"/>
        <v>Chat WA</v>
      </c>
      <c r="AB79" s="107" t="str">
        <f t="shared" si="5"/>
        <v>Kirim Invoice</v>
      </c>
      <c r="AC79" s="107" t="str">
        <f t="shared" si="6"/>
        <v>Chat WA</v>
      </c>
      <c r="AD79" s="108" t="str">
        <f>IFERROR(VLOOKUP($Q79,'12_ONT_NEW'!$D:$G,4,FALSE()),"")</f>
        <v/>
      </c>
      <c r="AE79" s="108"/>
      <c r="AF79" s="109"/>
      <c r="AG79" s="109"/>
      <c r="AH79" s="110">
        <f t="shared" si="7"/>
        <v>46225</v>
      </c>
      <c r="AI79" s="107" t="str">
        <f t="shared" si="8"/>
        <v>Kirim WA</v>
      </c>
      <c r="AJ79" s="107" t="str">
        <f t="shared" si="9"/>
        <v>Kirim WA</v>
      </c>
      <c r="AK79" s="107" t="str">
        <f t="shared" si="10"/>
        <v>Kirim WA</v>
      </c>
      <c r="AL79" s="111">
        <f t="shared" si="11"/>
        <v>30667</v>
      </c>
      <c r="AM79" s="107" t="str">
        <f t="shared" si="12"/>
        <v>Kirim Invoice</v>
      </c>
      <c r="AN79" s="89"/>
      <c r="AO79" s="89"/>
      <c r="AP79" s="112" t="str">
        <f t="shared" si="13"/>
        <v>2M_UP</v>
      </c>
      <c r="AQ79" s="89">
        <v>1521.0</v>
      </c>
      <c r="AR79" s="89"/>
      <c r="AS79" s="113"/>
      <c r="AT79" s="113"/>
    </row>
    <row r="80" ht="15.0" customHeight="1">
      <c r="A80" s="83">
        <f t="shared" si="1"/>
        <v>76</v>
      </c>
      <c r="B80" s="117" t="str">
        <f t="shared" si="2"/>
        <v>ARM-0076</v>
      </c>
      <c r="C80" s="118" t="s">
        <v>781</v>
      </c>
      <c r="D80" s="79" t="s">
        <v>782</v>
      </c>
      <c r="E80" s="79" t="s">
        <v>783</v>
      </c>
      <c r="F80" s="79" t="s">
        <v>784</v>
      </c>
      <c r="G80" s="79" t="s">
        <v>193</v>
      </c>
      <c r="H80" s="119" t="s">
        <v>523</v>
      </c>
      <c r="I80" s="119">
        <v>1.0</v>
      </c>
      <c r="J80" s="119">
        <v>2.0</v>
      </c>
      <c r="K80" s="119" t="s">
        <v>194</v>
      </c>
      <c r="L80" s="119" t="s">
        <v>212</v>
      </c>
      <c r="M80" s="119">
        <f>IFERROR(VLOOKUP(L80, '4_Produk'!C:E, 2, FALSE()), "")</f>
        <v>30</v>
      </c>
      <c r="N80" s="119">
        <f>IFERROR(VLOOKUP(L80, '4_Produk'!C:E, 3, FALSE()), "")</f>
        <v>142000</v>
      </c>
      <c r="O80" s="119" t="s">
        <v>785</v>
      </c>
      <c r="P80" s="119" t="s">
        <v>786</v>
      </c>
      <c r="Q80" s="119" t="s">
        <v>787</v>
      </c>
      <c r="R80" s="119"/>
      <c r="S80" s="120">
        <v>46165.0</v>
      </c>
      <c r="T80" s="119">
        <v>50.0</v>
      </c>
      <c r="U80" s="119" t="s">
        <v>788</v>
      </c>
      <c r="V80" s="119"/>
      <c r="W80" s="114" t="s">
        <v>199</v>
      </c>
      <c r="X80" s="121"/>
      <c r="Y80" s="121"/>
      <c r="Z80" s="107" t="str">
        <f t="shared" si="3"/>
        <v>Chat WA</v>
      </c>
      <c r="AA80" s="107" t="str">
        <f t="shared" si="4"/>
        <v>Chat WA</v>
      </c>
      <c r="AB80" s="107" t="str">
        <f t="shared" si="5"/>
        <v>Kirim Invoice</v>
      </c>
      <c r="AC80" s="107" t="str">
        <f t="shared" si="6"/>
        <v>Chat WA</v>
      </c>
      <c r="AD80" s="108" t="str">
        <f>IFERROR(VLOOKUP($Q80,'12_ONT_NEW'!$D:$G,4,FALSE()),"")</f>
        <v/>
      </c>
      <c r="AE80" s="108"/>
      <c r="AF80" s="109"/>
      <c r="AG80" s="109"/>
      <c r="AH80" s="110">
        <f t="shared" si="7"/>
        <v>46226</v>
      </c>
      <c r="AI80" s="107" t="str">
        <f t="shared" si="8"/>
        <v>Kirim WA</v>
      </c>
      <c r="AJ80" s="107" t="str">
        <f t="shared" si="9"/>
        <v>Kirim WA</v>
      </c>
      <c r="AK80" s="107" t="str">
        <f t="shared" si="10"/>
        <v>Kirim WA</v>
      </c>
      <c r="AL80" s="111">
        <f t="shared" si="11"/>
        <v>33133</v>
      </c>
      <c r="AM80" s="107" t="str">
        <f t="shared" si="12"/>
        <v>Kirim Invoice</v>
      </c>
      <c r="AN80" s="89"/>
      <c r="AO80" s="89"/>
      <c r="AP80" s="112" t="str">
        <f t="shared" si="13"/>
        <v>3M_UP</v>
      </c>
      <c r="AQ80" s="89">
        <v>1521.0</v>
      </c>
      <c r="AR80" s="89"/>
      <c r="AS80" s="113"/>
      <c r="AT80" s="113"/>
    </row>
    <row r="81" ht="15.0" customHeight="1">
      <c r="A81" s="79">
        <f t="shared" si="1"/>
        <v>77</v>
      </c>
      <c r="B81" s="122" t="str">
        <f t="shared" si="2"/>
        <v>ARM-0077</v>
      </c>
      <c r="C81" s="123" t="s">
        <v>789</v>
      </c>
      <c r="D81" s="83" t="s">
        <v>790</v>
      </c>
      <c r="E81" s="83" t="s">
        <v>791</v>
      </c>
      <c r="F81" s="83" t="s">
        <v>792</v>
      </c>
      <c r="G81" s="83" t="s">
        <v>193</v>
      </c>
      <c r="H81" s="73" t="s">
        <v>327</v>
      </c>
      <c r="I81" s="73">
        <v>1.0</v>
      </c>
      <c r="J81" s="73">
        <v>2.0</v>
      </c>
      <c r="K81" s="73" t="s">
        <v>194</v>
      </c>
      <c r="L81" s="73" t="s">
        <v>212</v>
      </c>
      <c r="M81" s="73">
        <f>IFERROR(VLOOKUP(L81, '4_Produk'!C:E, 2, FALSE()), "")</f>
        <v>30</v>
      </c>
      <c r="N81" s="73">
        <f>IFERROR(VLOOKUP(L81, '4_Produk'!C:E, 3, FALSE()), "")</f>
        <v>142000</v>
      </c>
      <c r="O81" s="73" t="s">
        <v>793</v>
      </c>
      <c r="P81" s="73" t="s">
        <v>794</v>
      </c>
      <c r="Q81" s="73" t="s">
        <v>795</v>
      </c>
      <c r="R81" s="73"/>
      <c r="S81" s="124">
        <v>46165.0</v>
      </c>
      <c r="T81" s="73">
        <v>100.0</v>
      </c>
      <c r="U81" s="73" t="s">
        <v>796</v>
      </c>
      <c r="V81" s="73"/>
      <c r="W81" s="114" t="s">
        <v>199</v>
      </c>
      <c r="X81" s="121"/>
      <c r="Y81" s="121"/>
      <c r="Z81" s="107" t="str">
        <f t="shared" si="3"/>
        <v>Chat WA</v>
      </c>
      <c r="AA81" s="107" t="str">
        <f t="shared" si="4"/>
        <v>Chat WA</v>
      </c>
      <c r="AB81" s="107" t="str">
        <f t="shared" si="5"/>
        <v>Kirim Invoice</v>
      </c>
      <c r="AC81" s="107" t="str">
        <f t="shared" si="6"/>
        <v>Chat WA</v>
      </c>
      <c r="AD81" s="108" t="str">
        <f>IFERROR(VLOOKUP($Q81,'12_ONT_NEW'!$D:$G,4,FALSE()),"")</f>
        <v/>
      </c>
      <c r="AE81" s="108"/>
      <c r="AF81" s="109"/>
      <c r="AG81" s="109"/>
      <c r="AH81" s="110">
        <f t="shared" si="7"/>
        <v>46226</v>
      </c>
      <c r="AI81" s="107" t="str">
        <f t="shared" si="8"/>
        <v>Kirim WA</v>
      </c>
      <c r="AJ81" s="107" t="str">
        <f t="shared" si="9"/>
        <v>Kirim WA</v>
      </c>
      <c r="AK81" s="107" t="str">
        <f t="shared" si="10"/>
        <v>Kirim WA</v>
      </c>
      <c r="AL81" s="111">
        <f t="shared" si="11"/>
        <v>33133</v>
      </c>
      <c r="AM81" s="107" t="str">
        <f t="shared" si="12"/>
        <v>Kirim Invoice</v>
      </c>
      <c r="AN81" s="89"/>
      <c r="AO81" s="89"/>
      <c r="AP81" s="112" t="str">
        <f t="shared" si="13"/>
        <v>3M_UP</v>
      </c>
      <c r="AQ81" s="89">
        <v>1521.0</v>
      </c>
      <c r="AR81" s="89"/>
      <c r="AS81" s="113"/>
      <c r="AT81" s="113"/>
    </row>
    <row r="82" ht="15.0" customHeight="1">
      <c r="A82" s="83">
        <f t="shared" si="1"/>
        <v>78</v>
      </c>
      <c r="B82" s="117" t="str">
        <f t="shared" si="2"/>
        <v>ARM-0078</v>
      </c>
      <c r="C82" s="118" t="s">
        <v>797</v>
      </c>
      <c r="D82" s="79" t="s">
        <v>798</v>
      </c>
      <c r="E82" s="79" t="s">
        <v>799</v>
      </c>
      <c r="F82" s="79" t="s">
        <v>800</v>
      </c>
      <c r="G82" s="79" t="s">
        <v>193</v>
      </c>
      <c r="H82" s="119" t="s">
        <v>462</v>
      </c>
      <c r="I82" s="119">
        <v>3.0</v>
      </c>
      <c r="J82" s="119">
        <v>1.0</v>
      </c>
      <c r="K82" s="119" t="s">
        <v>194</v>
      </c>
      <c r="L82" s="119" t="s">
        <v>221</v>
      </c>
      <c r="M82" s="119">
        <f>IFERROR(VLOOKUP(L82, '4_Produk'!C:E, 2, FALSE()), "")</f>
        <v>20</v>
      </c>
      <c r="N82" s="119">
        <f>IFERROR(VLOOKUP(L82, '4_Produk'!C:E, 3, FALSE()), "")</f>
        <v>115000</v>
      </c>
      <c r="O82" s="119" t="s">
        <v>801</v>
      </c>
      <c r="P82" s="119" t="s">
        <v>802</v>
      </c>
      <c r="Q82" s="119" t="s">
        <v>803</v>
      </c>
      <c r="R82" s="119"/>
      <c r="S82" s="120">
        <v>46165.0</v>
      </c>
      <c r="T82" s="119">
        <v>260.0</v>
      </c>
      <c r="U82" s="119" t="s">
        <v>804</v>
      </c>
      <c r="V82" s="119"/>
      <c r="W82" s="114" t="s">
        <v>199</v>
      </c>
      <c r="X82" s="121"/>
      <c r="Y82" s="121"/>
      <c r="Z82" s="107" t="str">
        <f t="shared" si="3"/>
        <v>Chat WA</v>
      </c>
      <c r="AA82" s="107" t="str">
        <f t="shared" si="4"/>
        <v>Chat WA</v>
      </c>
      <c r="AB82" s="107" t="str">
        <f t="shared" si="5"/>
        <v>Kirim Invoice</v>
      </c>
      <c r="AC82" s="107" t="str">
        <f t="shared" si="6"/>
        <v>Chat WA</v>
      </c>
      <c r="AD82" s="108" t="str">
        <f>IFERROR(VLOOKUP($Q82,'12_ONT_NEW'!$D:$G,4,FALSE()),"")</f>
        <v/>
      </c>
      <c r="AE82" s="108"/>
      <c r="AF82" s="109"/>
      <c r="AG82" s="109"/>
      <c r="AH82" s="110">
        <f t="shared" si="7"/>
        <v>46226</v>
      </c>
      <c r="AI82" s="107" t="str">
        <f t="shared" si="8"/>
        <v>Kirim WA</v>
      </c>
      <c r="AJ82" s="107" t="str">
        <f t="shared" si="9"/>
        <v>Kirim WA</v>
      </c>
      <c r="AK82" s="107" t="str">
        <f t="shared" si="10"/>
        <v>Kirim WA</v>
      </c>
      <c r="AL82" s="111">
        <f t="shared" si="11"/>
        <v>26833</v>
      </c>
      <c r="AM82" s="107" t="str">
        <f t="shared" si="12"/>
        <v>Kirim Invoice</v>
      </c>
      <c r="AN82" s="89"/>
      <c r="AO82" s="89"/>
      <c r="AP82" s="112" t="str">
        <f t="shared" si="13"/>
        <v>2M_UP</v>
      </c>
      <c r="AQ82" s="89">
        <v>1521.0</v>
      </c>
      <c r="AR82" s="89"/>
      <c r="AS82" s="113"/>
      <c r="AT82" s="113"/>
    </row>
    <row r="83" ht="15.0" customHeight="1">
      <c r="A83" s="83">
        <f t="shared" si="1"/>
        <v>79</v>
      </c>
      <c r="B83" s="122" t="str">
        <f t="shared" si="2"/>
        <v>ARM-0079</v>
      </c>
      <c r="C83" s="123" t="s">
        <v>805</v>
      </c>
      <c r="D83" s="83" t="s">
        <v>806</v>
      </c>
      <c r="E83" s="83" t="s">
        <v>807</v>
      </c>
      <c r="F83" s="83" t="s">
        <v>808</v>
      </c>
      <c r="G83" s="83" t="s">
        <v>193</v>
      </c>
      <c r="H83" s="73" t="s">
        <v>462</v>
      </c>
      <c r="I83" s="73">
        <v>3.0</v>
      </c>
      <c r="J83" s="73">
        <v>1.0</v>
      </c>
      <c r="K83" s="73" t="s">
        <v>194</v>
      </c>
      <c r="L83" s="73" t="s">
        <v>221</v>
      </c>
      <c r="M83" s="73">
        <f>IFERROR(VLOOKUP(L83, '4_Produk'!C:E, 2, FALSE()), "")</f>
        <v>20</v>
      </c>
      <c r="N83" s="73">
        <f>IFERROR(VLOOKUP(L83, '4_Produk'!C:E, 3, FALSE()), "")</f>
        <v>115000</v>
      </c>
      <c r="O83" s="73" t="s">
        <v>809</v>
      </c>
      <c r="P83" s="73" t="s">
        <v>810</v>
      </c>
      <c r="Q83" s="73" t="s">
        <v>811</v>
      </c>
      <c r="R83" s="73"/>
      <c r="S83" s="124">
        <v>46165.0</v>
      </c>
      <c r="T83" s="73">
        <v>280.0</v>
      </c>
      <c r="U83" s="73" t="s">
        <v>812</v>
      </c>
      <c r="V83" s="73"/>
      <c r="W83" s="114" t="s">
        <v>199</v>
      </c>
      <c r="X83" s="121"/>
      <c r="Y83" s="121"/>
      <c r="Z83" s="107" t="str">
        <f t="shared" si="3"/>
        <v>Chat WA</v>
      </c>
      <c r="AA83" s="107" t="str">
        <f t="shared" si="4"/>
        <v>Chat WA</v>
      </c>
      <c r="AB83" s="107" t="str">
        <f t="shared" si="5"/>
        <v>Kirim Invoice</v>
      </c>
      <c r="AC83" s="107" t="str">
        <f t="shared" si="6"/>
        <v>Chat WA</v>
      </c>
      <c r="AD83" s="108" t="str">
        <f>IFERROR(VLOOKUP($Q83,'12_ONT_NEW'!$D:$G,4,FALSE()),"")</f>
        <v/>
      </c>
      <c r="AE83" s="108"/>
      <c r="AF83" s="109"/>
      <c r="AG83" s="109"/>
      <c r="AH83" s="110">
        <f t="shared" si="7"/>
        <v>46226</v>
      </c>
      <c r="AI83" s="107" t="str">
        <f t="shared" si="8"/>
        <v>Kirim WA</v>
      </c>
      <c r="AJ83" s="107" t="str">
        <f t="shared" si="9"/>
        <v>Kirim WA</v>
      </c>
      <c r="AK83" s="107" t="str">
        <f t="shared" si="10"/>
        <v>Kirim WA</v>
      </c>
      <c r="AL83" s="111">
        <f t="shared" si="11"/>
        <v>26833</v>
      </c>
      <c r="AM83" s="107" t="str">
        <f t="shared" si="12"/>
        <v>Kirim Invoice</v>
      </c>
      <c r="AN83" s="89"/>
      <c r="AO83" s="89"/>
      <c r="AP83" s="112" t="str">
        <f t="shared" si="13"/>
        <v>2M_UP</v>
      </c>
      <c r="AQ83" s="89">
        <v>1521.0</v>
      </c>
      <c r="AR83" s="89"/>
      <c r="AS83" s="113"/>
      <c r="AT83" s="113"/>
    </row>
    <row r="84" ht="15.0" customHeight="1">
      <c r="A84" s="79">
        <f t="shared" si="1"/>
        <v>80</v>
      </c>
      <c r="B84" s="117" t="str">
        <f t="shared" si="2"/>
        <v>ARM-0080</v>
      </c>
      <c r="C84" s="118" t="s">
        <v>813</v>
      </c>
      <c r="D84" s="79" t="s">
        <v>814</v>
      </c>
      <c r="E84" s="79">
        <v>3.30215270870005E14</v>
      </c>
      <c r="F84" s="79" t="s">
        <v>815</v>
      </c>
      <c r="G84" s="79" t="s">
        <v>193</v>
      </c>
      <c r="H84" s="119" t="s">
        <v>327</v>
      </c>
      <c r="I84" s="119">
        <v>1.0</v>
      </c>
      <c r="J84" s="119">
        <v>8.0</v>
      </c>
      <c r="K84" s="119" t="s">
        <v>194</v>
      </c>
      <c r="L84" s="119" t="s">
        <v>221</v>
      </c>
      <c r="M84" s="119">
        <f>IFERROR(VLOOKUP(L84, '4_Produk'!C:E, 2, FALSE()), "")</f>
        <v>20</v>
      </c>
      <c r="N84" s="119">
        <f>IFERROR(VLOOKUP(L84, '4_Produk'!C:E, 3, FALSE()), "")</f>
        <v>115000</v>
      </c>
      <c r="O84" s="119" t="s">
        <v>816</v>
      </c>
      <c r="P84" s="119" t="s">
        <v>817</v>
      </c>
      <c r="Q84" s="119" t="s">
        <v>818</v>
      </c>
      <c r="R84" s="119"/>
      <c r="S84" s="120">
        <v>46166.0</v>
      </c>
      <c r="T84" s="119">
        <v>60.0</v>
      </c>
      <c r="U84" s="119" t="s">
        <v>819</v>
      </c>
      <c r="V84" s="119"/>
      <c r="W84" s="114" t="s">
        <v>199</v>
      </c>
      <c r="X84" s="121"/>
      <c r="Y84" s="121"/>
      <c r="Z84" s="107" t="str">
        <f t="shared" si="3"/>
        <v>Chat WA</v>
      </c>
      <c r="AA84" s="107" t="str">
        <f t="shared" si="4"/>
        <v>Chat WA</v>
      </c>
      <c r="AB84" s="107" t="str">
        <f t="shared" si="5"/>
        <v>Kirim Invoice</v>
      </c>
      <c r="AC84" s="107" t="str">
        <f t="shared" si="6"/>
        <v>Chat WA</v>
      </c>
      <c r="AD84" s="108" t="str">
        <f>IFERROR(VLOOKUP($Q84,'12_ONT_NEW'!$D:$G,4,FALSE()),"")</f>
        <v/>
      </c>
      <c r="AE84" s="108"/>
      <c r="AF84" s="109"/>
      <c r="AG84" s="109"/>
      <c r="AH84" s="110">
        <f t="shared" si="7"/>
        <v>46227</v>
      </c>
      <c r="AI84" s="107" t="str">
        <f t="shared" si="8"/>
        <v>Kirim WA</v>
      </c>
      <c r="AJ84" s="107" t="str">
        <f t="shared" si="9"/>
        <v>Kirim WA</v>
      </c>
      <c r="AK84" s="107" t="str">
        <f t="shared" si="10"/>
        <v>Kirim WA</v>
      </c>
      <c r="AL84" s="111">
        <f t="shared" si="11"/>
        <v>23000</v>
      </c>
      <c r="AM84" s="107" t="str">
        <f t="shared" si="12"/>
        <v>Kirim Invoice</v>
      </c>
      <c r="AN84" s="89"/>
      <c r="AO84" s="89"/>
      <c r="AP84" s="112" t="str">
        <f t="shared" si="13"/>
        <v>2M_UP</v>
      </c>
      <c r="AQ84" s="89">
        <v>1521.0</v>
      </c>
      <c r="AR84" s="89"/>
      <c r="AS84" s="113"/>
      <c r="AT84" s="113"/>
    </row>
    <row r="85" ht="15.0" customHeight="1">
      <c r="A85" s="83">
        <f t="shared" si="1"/>
        <v>81</v>
      </c>
      <c r="B85" s="122" t="str">
        <f t="shared" si="2"/>
        <v>ARM-0081</v>
      </c>
      <c r="C85" s="123" t="s">
        <v>820</v>
      </c>
      <c r="D85" s="83" t="s">
        <v>821</v>
      </c>
      <c r="E85" s="83">
        <v>3.30215500381002E14</v>
      </c>
      <c r="F85" s="83" t="s">
        <v>822</v>
      </c>
      <c r="G85" s="83" t="s">
        <v>193</v>
      </c>
      <c r="H85" s="73" t="s">
        <v>327</v>
      </c>
      <c r="I85" s="73">
        <v>1.0</v>
      </c>
      <c r="J85" s="73">
        <v>8.0</v>
      </c>
      <c r="K85" s="73" t="s">
        <v>194</v>
      </c>
      <c r="L85" s="73" t="s">
        <v>221</v>
      </c>
      <c r="M85" s="73">
        <f>IFERROR(VLOOKUP(L85, '4_Produk'!C:E, 2, FALSE()), "")</f>
        <v>20</v>
      </c>
      <c r="N85" s="73">
        <f>IFERROR(VLOOKUP(L85, '4_Produk'!C:E, 3, FALSE()), "")</f>
        <v>115000</v>
      </c>
      <c r="O85" s="73" t="s">
        <v>823</v>
      </c>
      <c r="P85" s="73" t="s">
        <v>824</v>
      </c>
      <c r="Q85" s="73" t="s">
        <v>825</v>
      </c>
      <c r="R85" s="73"/>
      <c r="S85" s="124">
        <v>46166.0</v>
      </c>
      <c r="T85" s="73">
        <v>50.0</v>
      </c>
      <c r="U85" s="73" t="s">
        <v>826</v>
      </c>
      <c r="V85" s="73"/>
      <c r="W85" s="114" t="s">
        <v>199</v>
      </c>
      <c r="X85" s="121"/>
      <c r="Y85" s="121"/>
      <c r="Z85" s="107" t="str">
        <f t="shared" si="3"/>
        <v>Chat WA</v>
      </c>
      <c r="AA85" s="107" t="str">
        <f t="shared" si="4"/>
        <v>Chat WA</v>
      </c>
      <c r="AB85" s="107" t="str">
        <f t="shared" si="5"/>
        <v>Kirim Invoice</v>
      </c>
      <c r="AC85" s="107" t="str">
        <f t="shared" si="6"/>
        <v>Chat WA</v>
      </c>
      <c r="AD85" s="108" t="str">
        <f>IFERROR(VLOOKUP($Q85,'12_ONT_NEW'!$D:$G,4,FALSE()),"")</f>
        <v/>
      </c>
      <c r="AE85" s="108"/>
      <c r="AF85" s="109"/>
      <c r="AG85" s="109"/>
      <c r="AH85" s="110">
        <f t="shared" si="7"/>
        <v>46227</v>
      </c>
      <c r="AI85" s="107" t="str">
        <f t="shared" si="8"/>
        <v>Kirim WA</v>
      </c>
      <c r="AJ85" s="107" t="str">
        <f t="shared" si="9"/>
        <v>Kirim WA</v>
      </c>
      <c r="AK85" s="107" t="str">
        <f t="shared" si="10"/>
        <v>Kirim WA</v>
      </c>
      <c r="AL85" s="111">
        <f t="shared" si="11"/>
        <v>23000</v>
      </c>
      <c r="AM85" s="107" t="str">
        <f t="shared" si="12"/>
        <v>Kirim Invoice</v>
      </c>
      <c r="AN85" s="89"/>
      <c r="AO85" s="89"/>
      <c r="AP85" s="112" t="str">
        <f t="shared" si="13"/>
        <v>2M_UP</v>
      </c>
      <c r="AQ85" s="89">
        <v>1521.0</v>
      </c>
      <c r="AR85" s="89"/>
      <c r="AS85" s="113"/>
      <c r="AT85" s="113"/>
    </row>
    <row r="86" ht="15.0" customHeight="1">
      <c r="A86" s="83">
        <f t="shared" si="1"/>
        <v>82</v>
      </c>
      <c r="B86" s="117" t="str">
        <f t="shared" si="2"/>
        <v>ARM-0082</v>
      </c>
      <c r="C86" s="118" t="s">
        <v>827</v>
      </c>
      <c r="D86" s="79" t="s">
        <v>828</v>
      </c>
      <c r="E86" s="79" t="s">
        <v>829</v>
      </c>
      <c r="F86" s="79" t="s">
        <v>830</v>
      </c>
      <c r="G86" s="79" t="s">
        <v>193</v>
      </c>
      <c r="H86" s="119" t="s">
        <v>327</v>
      </c>
      <c r="I86" s="119">
        <v>1.0</v>
      </c>
      <c r="J86" s="119">
        <v>5.0</v>
      </c>
      <c r="K86" s="119" t="s">
        <v>194</v>
      </c>
      <c r="L86" s="119" t="s">
        <v>202</v>
      </c>
      <c r="M86" s="119">
        <f>IFERROR(VLOOKUP(L86, '4_Produk'!C:E, 2, FALSE()), "")</f>
        <v>50</v>
      </c>
      <c r="N86" s="119">
        <f>IFERROR(VLOOKUP(L86, '4_Produk'!C:E, 3, FALSE()), "")</f>
        <v>182000</v>
      </c>
      <c r="O86" s="119" t="s">
        <v>831</v>
      </c>
      <c r="P86" s="119" t="s">
        <v>832</v>
      </c>
      <c r="Q86" s="119" t="s">
        <v>833</v>
      </c>
      <c r="R86" s="119"/>
      <c r="S86" s="120">
        <v>46166.0</v>
      </c>
      <c r="T86" s="119">
        <v>240.0</v>
      </c>
      <c r="U86" s="119" t="s">
        <v>834</v>
      </c>
      <c r="V86" s="119"/>
      <c r="W86" s="114" t="s">
        <v>199</v>
      </c>
      <c r="X86" s="121"/>
      <c r="Y86" s="121"/>
      <c r="Z86" s="107" t="str">
        <f t="shared" si="3"/>
        <v>Chat WA</v>
      </c>
      <c r="AA86" s="107" t="str">
        <f t="shared" si="4"/>
        <v>Chat WA</v>
      </c>
      <c r="AB86" s="107" t="str">
        <f t="shared" si="5"/>
        <v>Kirim Invoice</v>
      </c>
      <c r="AC86" s="107" t="str">
        <f t="shared" si="6"/>
        <v>Chat WA</v>
      </c>
      <c r="AD86" s="108" t="str">
        <f>IFERROR(VLOOKUP($Q86,'12_ONT_NEW'!$D:$G,4,FALSE()),"")</f>
        <v/>
      </c>
      <c r="AE86" s="108"/>
      <c r="AF86" s="109"/>
      <c r="AG86" s="109"/>
      <c r="AH86" s="110">
        <f t="shared" si="7"/>
        <v>46227</v>
      </c>
      <c r="AI86" s="107" t="str">
        <f t="shared" si="8"/>
        <v>Kirim WA</v>
      </c>
      <c r="AJ86" s="107" t="str">
        <f t="shared" si="9"/>
        <v>Kirim WA</v>
      </c>
      <c r="AK86" s="107" t="str">
        <f t="shared" si="10"/>
        <v>Kirim WA</v>
      </c>
      <c r="AL86" s="111">
        <f t="shared" si="11"/>
        <v>36400</v>
      </c>
      <c r="AM86" s="107" t="str">
        <f t="shared" si="12"/>
        <v>Kirim Invoice</v>
      </c>
      <c r="AN86" s="89"/>
      <c r="AO86" s="89"/>
      <c r="AP86" s="112" t="str">
        <f t="shared" si="13"/>
        <v>5M_UP</v>
      </c>
      <c r="AQ86" s="89">
        <v>1521.0</v>
      </c>
      <c r="AR86" s="89"/>
      <c r="AS86" s="113"/>
      <c r="AT86" s="113"/>
    </row>
    <row r="87" ht="15.0" customHeight="1">
      <c r="A87" s="79">
        <f t="shared" si="1"/>
        <v>83</v>
      </c>
      <c r="B87" s="122" t="str">
        <f t="shared" si="2"/>
        <v>ARM-0083</v>
      </c>
      <c r="C87" s="123" t="s">
        <v>835</v>
      </c>
      <c r="D87" s="83" t="s">
        <v>836</v>
      </c>
      <c r="E87" s="83" t="s">
        <v>837</v>
      </c>
      <c r="F87" s="83" t="s">
        <v>838</v>
      </c>
      <c r="G87" s="83" t="s">
        <v>193</v>
      </c>
      <c r="H87" s="73" t="s">
        <v>327</v>
      </c>
      <c r="I87" s="73">
        <v>9.0</v>
      </c>
      <c r="J87" s="73">
        <v>4.0</v>
      </c>
      <c r="K87" s="73" t="s">
        <v>194</v>
      </c>
      <c r="L87" s="73" t="s">
        <v>221</v>
      </c>
      <c r="M87" s="73">
        <f>IFERROR(VLOOKUP(L87, '4_Produk'!C:E, 2, FALSE()), "")</f>
        <v>20</v>
      </c>
      <c r="N87" s="73">
        <f>IFERROR(VLOOKUP(L87, '4_Produk'!C:E, 3, FALSE()), "")</f>
        <v>115000</v>
      </c>
      <c r="O87" s="73" t="s">
        <v>839</v>
      </c>
      <c r="P87" s="73" t="s">
        <v>840</v>
      </c>
      <c r="Q87" s="73" t="s">
        <v>841</v>
      </c>
      <c r="R87" s="73"/>
      <c r="S87" s="124">
        <v>46167.0</v>
      </c>
      <c r="T87" s="73">
        <v>50.0</v>
      </c>
      <c r="U87" s="73" t="s">
        <v>842</v>
      </c>
      <c r="V87" s="73"/>
      <c r="W87" s="114" t="s">
        <v>199</v>
      </c>
      <c r="X87" s="121"/>
      <c r="Y87" s="121"/>
      <c r="Z87" s="107" t="str">
        <f t="shared" si="3"/>
        <v>Chat WA</v>
      </c>
      <c r="AA87" s="107" t="str">
        <f t="shared" si="4"/>
        <v>Chat WA</v>
      </c>
      <c r="AB87" s="107" t="str">
        <f t="shared" si="5"/>
        <v>Kirim Invoice</v>
      </c>
      <c r="AC87" s="107" t="str">
        <f t="shared" si="6"/>
        <v>Chat WA</v>
      </c>
      <c r="AD87" s="108" t="str">
        <f>IFERROR(VLOOKUP($Q87,'12_ONT_NEW'!$D:$G,4,FALSE()),"")</f>
        <v/>
      </c>
      <c r="AE87" s="108"/>
      <c r="AF87" s="109"/>
      <c r="AG87" s="109"/>
      <c r="AH87" s="110">
        <f t="shared" si="7"/>
        <v>46228</v>
      </c>
      <c r="AI87" s="107" t="str">
        <f t="shared" si="8"/>
        <v>Kirim WA</v>
      </c>
      <c r="AJ87" s="107" t="str">
        <f t="shared" si="9"/>
        <v>Kirim WA</v>
      </c>
      <c r="AK87" s="107" t="str">
        <f t="shared" si="10"/>
        <v>Kirim WA</v>
      </c>
      <c r="AL87" s="111">
        <f t="shared" si="11"/>
        <v>19167</v>
      </c>
      <c r="AM87" s="107" t="str">
        <f t="shared" si="12"/>
        <v>Kirim Invoice</v>
      </c>
      <c r="AN87" s="89"/>
      <c r="AO87" s="89"/>
      <c r="AP87" s="112" t="str">
        <f t="shared" si="13"/>
        <v>2M_UP</v>
      </c>
      <c r="AQ87" s="89">
        <v>1521.0</v>
      </c>
      <c r="AR87" s="89"/>
      <c r="AS87" s="113"/>
      <c r="AT87" s="113"/>
    </row>
    <row r="88" ht="15.0" customHeight="1">
      <c r="A88" s="83">
        <f t="shared" si="1"/>
        <v>84</v>
      </c>
      <c r="B88" s="117" t="str">
        <f t="shared" si="2"/>
        <v>ARM-0084</v>
      </c>
      <c r="C88" s="118" t="s">
        <v>843</v>
      </c>
      <c r="D88" s="79" t="s">
        <v>844</v>
      </c>
      <c r="E88" s="79"/>
      <c r="F88" s="79" t="s">
        <v>845</v>
      </c>
      <c r="G88" s="79" t="s">
        <v>193</v>
      </c>
      <c r="H88" s="119" t="s">
        <v>327</v>
      </c>
      <c r="I88" s="121"/>
      <c r="J88" s="121"/>
      <c r="K88" s="119" t="s">
        <v>194</v>
      </c>
      <c r="L88" s="119" t="s">
        <v>846</v>
      </c>
      <c r="M88" s="119">
        <f>IFERROR(VLOOKUP(L88, '4_Produk'!C:E, 2, FALSE()), "")</f>
        <v>75</v>
      </c>
      <c r="N88" s="119">
        <f>IFERROR(VLOOKUP(L88, '4_Produk'!C:E, 3, FALSE()), "")</f>
        <v>260000</v>
      </c>
      <c r="O88" s="119" t="s">
        <v>847</v>
      </c>
      <c r="P88" s="119" t="s">
        <v>848</v>
      </c>
      <c r="Q88" s="119" t="s">
        <v>849</v>
      </c>
      <c r="R88" s="119"/>
      <c r="S88" s="120">
        <v>46167.0</v>
      </c>
      <c r="T88" s="119">
        <v>60.0</v>
      </c>
      <c r="U88" s="119" t="s">
        <v>850</v>
      </c>
      <c r="V88" s="119" t="s">
        <v>198</v>
      </c>
      <c r="W88" s="114" t="s">
        <v>199</v>
      </c>
      <c r="X88" s="121"/>
      <c r="Y88" s="121"/>
      <c r="Z88" s="107" t="str">
        <f t="shared" si="3"/>
        <v>Chat WA</v>
      </c>
      <c r="AA88" s="107" t="str">
        <f t="shared" si="4"/>
        <v>Chat WA</v>
      </c>
      <c r="AB88" s="107" t="str">
        <f t="shared" si="5"/>
        <v>Kirim Invoice</v>
      </c>
      <c r="AC88" s="107" t="str">
        <f t="shared" si="6"/>
        <v>Chat WA</v>
      </c>
      <c r="AD88" s="108" t="str">
        <f>IFERROR(VLOOKUP($Q88,'12_ONT_NEW'!$D:$G,4,FALSE()),"")</f>
        <v/>
      </c>
      <c r="AE88" s="108"/>
      <c r="AF88" s="109"/>
      <c r="AG88" s="109"/>
      <c r="AH88" s="110">
        <f t="shared" si="7"/>
        <v>46228</v>
      </c>
      <c r="AI88" s="107" t="str">
        <f t="shared" si="8"/>
        <v>Kirim WA</v>
      </c>
      <c r="AJ88" s="107" t="str">
        <f t="shared" si="9"/>
        <v>Kirim WA</v>
      </c>
      <c r="AK88" s="107" t="str">
        <f t="shared" si="10"/>
        <v>Kirim WA</v>
      </c>
      <c r="AL88" s="111">
        <f t="shared" si="11"/>
        <v>43333</v>
      </c>
      <c r="AM88" s="107" t="str">
        <f t="shared" si="12"/>
        <v>Kirim Invoice</v>
      </c>
      <c r="AN88" s="89"/>
      <c r="AO88" s="89"/>
      <c r="AP88" s="112" t="str">
        <f t="shared" si="13"/>
        <v>7M_UP</v>
      </c>
      <c r="AQ88" s="89">
        <v>1521.0</v>
      </c>
      <c r="AR88" s="89"/>
      <c r="AS88" s="113"/>
      <c r="AT88" s="113"/>
    </row>
    <row r="89" ht="15.0" customHeight="1">
      <c r="A89" s="83">
        <f t="shared" si="1"/>
        <v>85</v>
      </c>
      <c r="B89" s="122" t="str">
        <f t="shared" si="2"/>
        <v>ARM-0085</v>
      </c>
      <c r="C89" s="123" t="s">
        <v>851</v>
      </c>
      <c r="D89" s="83" t="s">
        <v>852</v>
      </c>
      <c r="E89" s="83" t="s">
        <v>853</v>
      </c>
      <c r="F89" s="83" t="s">
        <v>854</v>
      </c>
      <c r="G89" s="83" t="s">
        <v>193</v>
      </c>
      <c r="H89" s="73" t="s">
        <v>327</v>
      </c>
      <c r="I89" s="73">
        <v>5.0</v>
      </c>
      <c r="J89" s="73">
        <v>5.0</v>
      </c>
      <c r="K89" s="73" t="s">
        <v>194</v>
      </c>
      <c r="L89" s="73" t="s">
        <v>221</v>
      </c>
      <c r="M89" s="73">
        <f>IFERROR(VLOOKUP(L89, '4_Produk'!C:E, 2, FALSE()), "")</f>
        <v>20</v>
      </c>
      <c r="N89" s="73">
        <f>IFERROR(VLOOKUP(L89, '4_Produk'!C:E, 3, FALSE()), "")</f>
        <v>115000</v>
      </c>
      <c r="O89" s="73" t="s">
        <v>855</v>
      </c>
      <c r="P89" s="73" t="s">
        <v>856</v>
      </c>
      <c r="Q89" s="73" t="s">
        <v>857</v>
      </c>
      <c r="R89" s="73"/>
      <c r="S89" s="124">
        <v>46167.0</v>
      </c>
      <c r="T89" s="73">
        <v>50.0</v>
      </c>
      <c r="U89" s="73" t="s">
        <v>858</v>
      </c>
      <c r="V89" s="73"/>
      <c r="W89" s="114" t="s">
        <v>199</v>
      </c>
      <c r="X89" s="121"/>
      <c r="Y89" s="121"/>
      <c r="Z89" s="107" t="str">
        <f t="shared" si="3"/>
        <v>Chat WA</v>
      </c>
      <c r="AA89" s="107" t="str">
        <f t="shared" si="4"/>
        <v>Chat WA</v>
      </c>
      <c r="AB89" s="107" t="str">
        <f t="shared" si="5"/>
        <v>Kirim Invoice</v>
      </c>
      <c r="AC89" s="107" t="str">
        <f t="shared" si="6"/>
        <v>Chat WA</v>
      </c>
      <c r="AD89" s="108" t="str">
        <f>IFERROR(VLOOKUP($Q89,'12_ONT_NEW'!$D:$G,4,FALSE()),"")</f>
        <v/>
      </c>
      <c r="AE89" s="108"/>
      <c r="AF89" s="109"/>
      <c r="AG89" s="109"/>
      <c r="AH89" s="110">
        <f t="shared" si="7"/>
        <v>46228</v>
      </c>
      <c r="AI89" s="107" t="str">
        <f t="shared" si="8"/>
        <v>Kirim WA</v>
      </c>
      <c r="AJ89" s="107" t="str">
        <f t="shared" si="9"/>
        <v>Kirim WA</v>
      </c>
      <c r="AK89" s="107" t="str">
        <f t="shared" si="10"/>
        <v>Kirim WA</v>
      </c>
      <c r="AL89" s="111">
        <f t="shared" si="11"/>
        <v>19167</v>
      </c>
      <c r="AM89" s="107" t="str">
        <f t="shared" si="12"/>
        <v>Kirim Invoice</v>
      </c>
      <c r="AN89" s="89"/>
      <c r="AO89" s="89"/>
      <c r="AP89" s="112" t="str">
        <f t="shared" si="13"/>
        <v>2M_UP</v>
      </c>
      <c r="AQ89" s="89">
        <v>1521.0</v>
      </c>
      <c r="AR89" s="89"/>
      <c r="AS89" s="113"/>
      <c r="AT89" s="113"/>
    </row>
    <row r="90" ht="15.0" customHeight="1">
      <c r="A90" s="79">
        <f t="shared" si="1"/>
        <v>86</v>
      </c>
      <c r="B90" s="117" t="str">
        <f t="shared" si="2"/>
        <v>ARM-0086</v>
      </c>
      <c r="C90" s="118" t="s">
        <v>859</v>
      </c>
      <c r="D90" s="79" t="s">
        <v>860</v>
      </c>
      <c r="E90" s="79" t="s">
        <v>861</v>
      </c>
      <c r="F90" s="79" t="s">
        <v>862</v>
      </c>
      <c r="G90" s="79" t="s">
        <v>193</v>
      </c>
      <c r="H90" s="119" t="s">
        <v>541</v>
      </c>
      <c r="I90" s="119">
        <v>1.0</v>
      </c>
      <c r="J90" s="119">
        <v>4.0</v>
      </c>
      <c r="K90" s="119" t="s">
        <v>194</v>
      </c>
      <c r="L90" s="119" t="s">
        <v>212</v>
      </c>
      <c r="M90" s="119">
        <f>IFERROR(VLOOKUP(L90, '4_Produk'!C:E, 2, FALSE()), "")</f>
        <v>30</v>
      </c>
      <c r="N90" s="119">
        <f>IFERROR(VLOOKUP(L90, '4_Produk'!C:E, 3, FALSE()), "")</f>
        <v>142000</v>
      </c>
      <c r="O90" s="119" t="s">
        <v>863</v>
      </c>
      <c r="P90" s="119" t="s">
        <v>864</v>
      </c>
      <c r="Q90" s="119" t="s">
        <v>865</v>
      </c>
      <c r="R90" s="119"/>
      <c r="S90" s="120">
        <v>46171.0</v>
      </c>
      <c r="T90" s="119">
        <v>120.0</v>
      </c>
      <c r="U90" s="119" t="s">
        <v>866</v>
      </c>
      <c r="V90" s="119"/>
      <c r="W90" s="114" t="s">
        <v>199</v>
      </c>
      <c r="X90" s="121"/>
      <c r="Y90" s="121"/>
      <c r="Z90" s="107" t="str">
        <f t="shared" si="3"/>
        <v>Chat WA</v>
      </c>
      <c r="AA90" s="107" t="str">
        <f t="shared" si="4"/>
        <v>Chat WA</v>
      </c>
      <c r="AB90" s="107" t="str">
        <f t="shared" si="5"/>
        <v>Kirim Invoice</v>
      </c>
      <c r="AC90" s="107" t="str">
        <f t="shared" si="6"/>
        <v>Chat WA</v>
      </c>
      <c r="AD90" s="108" t="str">
        <f>IFERROR(VLOOKUP($Q90,'12_ONT_NEW'!$D:$G,4,FALSE()),"")</f>
        <v/>
      </c>
      <c r="AE90" s="108"/>
      <c r="AF90" s="109"/>
      <c r="AG90" s="109"/>
      <c r="AH90" s="110">
        <f t="shared" si="7"/>
        <v>46232</v>
      </c>
      <c r="AI90" s="107" t="str">
        <f t="shared" si="8"/>
        <v>Kirim WA</v>
      </c>
      <c r="AJ90" s="107" t="str">
        <f t="shared" si="9"/>
        <v>Kirim WA</v>
      </c>
      <c r="AK90" s="107" t="str">
        <f t="shared" si="10"/>
        <v>Kirim WA</v>
      </c>
      <c r="AL90" s="111">
        <f t="shared" si="11"/>
        <v>4733</v>
      </c>
      <c r="AM90" s="107" t="str">
        <f t="shared" si="12"/>
        <v>Kirim Invoice</v>
      </c>
      <c r="AN90" s="89"/>
      <c r="AO90" s="89"/>
      <c r="AP90" s="112" t="str">
        <f t="shared" si="13"/>
        <v>3M_UP</v>
      </c>
      <c r="AQ90" s="89">
        <v>1521.0</v>
      </c>
      <c r="AR90" s="89"/>
      <c r="AS90" s="113"/>
      <c r="AT90" s="113"/>
    </row>
    <row r="91" ht="15.0" customHeight="1">
      <c r="A91" s="83">
        <f t="shared" si="1"/>
        <v>87</v>
      </c>
      <c r="B91" s="122" t="str">
        <f t="shared" si="2"/>
        <v>ARM-0087</v>
      </c>
      <c r="C91" s="123" t="s">
        <v>867</v>
      </c>
      <c r="D91" s="83" t="s">
        <v>868</v>
      </c>
      <c r="E91" s="83" t="s">
        <v>869</v>
      </c>
      <c r="F91" s="83" t="s">
        <v>870</v>
      </c>
      <c r="G91" s="83" t="s">
        <v>193</v>
      </c>
      <c r="H91" s="73" t="s">
        <v>327</v>
      </c>
      <c r="I91" s="73">
        <v>1.0</v>
      </c>
      <c r="J91" s="73">
        <v>2.0</v>
      </c>
      <c r="K91" s="73" t="s">
        <v>194</v>
      </c>
      <c r="L91" s="73" t="s">
        <v>221</v>
      </c>
      <c r="M91" s="73">
        <f>IFERROR(VLOOKUP(L91, '4_Produk'!C:E, 2, FALSE()), "")</f>
        <v>20</v>
      </c>
      <c r="N91" s="73">
        <f>IFERROR(VLOOKUP(L91, '4_Produk'!C:E, 3, FALSE()), "")</f>
        <v>115000</v>
      </c>
      <c r="O91" s="73" t="s">
        <v>871</v>
      </c>
      <c r="P91" s="73" t="s">
        <v>872</v>
      </c>
      <c r="Q91" s="73" t="s">
        <v>873</v>
      </c>
      <c r="R91" s="73"/>
      <c r="S91" s="124">
        <v>46172.0</v>
      </c>
      <c r="T91" s="73">
        <v>100.0</v>
      </c>
      <c r="U91" s="73" t="s">
        <v>874</v>
      </c>
      <c r="V91" s="73"/>
      <c r="W91" s="114" t="s">
        <v>199</v>
      </c>
      <c r="X91" s="121"/>
      <c r="Y91" s="121"/>
      <c r="Z91" s="107" t="str">
        <f t="shared" si="3"/>
        <v>Chat WA</v>
      </c>
      <c r="AA91" s="107" t="str">
        <f t="shared" si="4"/>
        <v>Chat WA</v>
      </c>
      <c r="AB91" s="107" t="str">
        <f t="shared" si="5"/>
        <v>Kirim Invoice</v>
      </c>
      <c r="AC91" s="107" t="str">
        <f t="shared" si="6"/>
        <v>Chat WA</v>
      </c>
      <c r="AD91" s="108" t="str">
        <f>IFERROR(VLOOKUP($Q91,'12_ONT_NEW'!$D:$G,4,FALSE()),"")</f>
        <v/>
      </c>
      <c r="AE91" s="108"/>
      <c r="AF91" s="109"/>
      <c r="AG91" s="109"/>
      <c r="AH91" s="110">
        <f t="shared" si="7"/>
        <v>46233</v>
      </c>
      <c r="AI91" s="107" t="str">
        <f t="shared" si="8"/>
        <v>Kirim WA</v>
      </c>
      <c r="AJ91" s="107" t="str">
        <f t="shared" si="9"/>
        <v>Kirim WA</v>
      </c>
      <c r="AK91" s="107" t="str">
        <f t="shared" si="10"/>
        <v>Kirim WA</v>
      </c>
      <c r="AL91" s="111">
        <f t="shared" si="11"/>
        <v>0</v>
      </c>
      <c r="AM91" s="107" t="str">
        <f t="shared" si="12"/>
        <v>Kirim Invoice</v>
      </c>
      <c r="AN91" s="89"/>
      <c r="AO91" s="89"/>
      <c r="AP91" s="112" t="str">
        <f t="shared" si="13"/>
        <v>2M_UP</v>
      </c>
      <c r="AQ91" s="89">
        <v>1521.0</v>
      </c>
      <c r="AR91" s="89"/>
      <c r="AS91" s="113"/>
      <c r="AT91" s="113"/>
    </row>
    <row r="92" ht="15.0" customHeight="1">
      <c r="A92" s="83">
        <f t="shared" si="1"/>
        <v>88</v>
      </c>
      <c r="B92" s="117" t="str">
        <f t="shared" si="2"/>
        <v>ARM-0088</v>
      </c>
      <c r="C92" s="118" t="s">
        <v>875</v>
      </c>
      <c r="D92" s="79" t="s">
        <v>876</v>
      </c>
      <c r="E92" s="79" t="s">
        <v>877</v>
      </c>
      <c r="F92" s="79" t="s">
        <v>878</v>
      </c>
      <c r="G92" s="79" t="s">
        <v>193</v>
      </c>
      <c r="H92" s="119" t="s">
        <v>327</v>
      </c>
      <c r="I92" s="119">
        <v>1.0</v>
      </c>
      <c r="J92" s="119">
        <v>3.0</v>
      </c>
      <c r="K92" s="119" t="s">
        <v>194</v>
      </c>
      <c r="L92" s="119" t="s">
        <v>221</v>
      </c>
      <c r="M92" s="119">
        <f>IFERROR(VLOOKUP(L92, '4_Produk'!C:E, 2, FALSE()), "")</f>
        <v>20</v>
      </c>
      <c r="N92" s="119">
        <f>IFERROR(VLOOKUP(L92, '4_Produk'!C:E, 3, FALSE()), "")</f>
        <v>115000</v>
      </c>
      <c r="O92" s="119" t="s">
        <v>879</v>
      </c>
      <c r="P92" s="119" t="s">
        <v>880</v>
      </c>
      <c r="Q92" s="119" t="s">
        <v>881</v>
      </c>
      <c r="R92" s="119"/>
      <c r="S92" s="120">
        <v>46172.0</v>
      </c>
      <c r="T92" s="119">
        <v>30.0</v>
      </c>
      <c r="U92" s="119" t="s">
        <v>882</v>
      </c>
      <c r="V92" s="119"/>
      <c r="W92" s="114" t="s">
        <v>199</v>
      </c>
      <c r="X92" s="121"/>
      <c r="Y92" s="121"/>
      <c r="Z92" s="107" t="str">
        <f t="shared" si="3"/>
        <v>Chat WA</v>
      </c>
      <c r="AA92" s="107" t="str">
        <f t="shared" si="4"/>
        <v>Chat WA</v>
      </c>
      <c r="AB92" s="107" t="str">
        <f t="shared" si="5"/>
        <v>Kirim Invoice</v>
      </c>
      <c r="AC92" s="107" t="str">
        <f t="shared" si="6"/>
        <v>Chat WA</v>
      </c>
      <c r="AD92" s="108" t="str">
        <f>IFERROR(VLOOKUP($Q92,'12_ONT_NEW'!$D:$G,4,FALSE()),"")</f>
        <v/>
      </c>
      <c r="AE92" s="108"/>
      <c r="AF92" s="109"/>
      <c r="AG92" s="109"/>
      <c r="AH92" s="110">
        <f t="shared" si="7"/>
        <v>46233</v>
      </c>
      <c r="AI92" s="107" t="str">
        <f t="shared" si="8"/>
        <v>Kirim WA</v>
      </c>
      <c r="AJ92" s="107" t="str">
        <f t="shared" si="9"/>
        <v>Kirim WA</v>
      </c>
      <c r="AK92" s="107" t="str">
        <f t="shared" si="10"/>
        <v>Kirim WA</v>
      </c>
      <c r="AL92" s="111">
        <f t="shared" si="11"/>
        <v>0</v>
      </c>
      <c r="AM92" s="107" t="str">
        <f t="shared" si="12"/>
        <v>Kirim Invoice</v>
      </c>
      <c r="AN92" s="89"/>
      <c r="AO92" s="89"/>
      <c r="AP92" s="112" t="str">
        <f t="shared" si="13"/>
        <v>2M_UP</v>
      </c>
      <c r="AQ92" s="89">
        <v>1521.0</v>
      </c>
      <c r="AR92" s="89"/>
      <c r="AS92" s="113"/>
      <c r="AT92" s="113"/>
    </row>
    <row r="93" ht="15.0" customHeight="1">
      <c r="A93" s="79">
        <f t="shared" si="1"/>
        <v>89</v>
      </c>
      <c r="B93" s="122" t="str">
        <f t="shared" si="2"/>
        <v>ARM-0089</v>
      </c>
      <c r="C93" s="123" t="s">
        <v>883</v>
      </c>
      <c r="D93" s="83" t="s">
        <v>884</v>
      </c>
      <c r="E93" s="83" t="s">
        <v>885</v>
      </c>
      <c r="F93" s="83" t="s">
        <v>886</v>
      </c>
      <c r="G93" s="83" t="s">
        <v>193</v>
      </c>
      <c r="H93" s="73" t="s">
        <v>327</v>
      </c>
      <c r="I93" s="73">
        <v>1.0</v>
      </c>
      <c r="J93" s="73">
        <v>4.0</v>
      </c>
      <c r="K93" s="73" t="s">
        <v>194</v>
      </c>
      <c r="L93" s="73" t="s">
        <v>221</v>
      </c>
      <c r="M93" s="73">
        <f>IFERROR(VLOOKUP(L93, '4_Produk'!C:E, 2, FALSE()), "")</f>
        <v>20</v>
      </c>
      <c r="N93" s="73">
        <f>IFERROR(VLOOKUP(L93, '4_Produk'!C:E, 3, FALSE()), "")</f>
        <v>115000</v>
      </c>
      <c r="O93" s="73" t="s">
        <v>887</v>
      </c>
      <c r="P93" s="73" t="s">
        <v>888</v>
      </c>
      <c r="Q93" s="73" t="s">
        <v>889</v>
      </c>
      <c r="R93" s="73"/>
      <c r="S93" s="124">
        <v>46173.0</v>
      </c>
      <c r="T93" s="73">
        <v>180.0</v>
      </c>
      <c r="U93" s="73" t="s">
        <v>890</v>
      </c>
      <c r="V93" s="73"/>
      <c r="W93" s="114" t="s">
        <v>199</v>
      </c>
      <c r="X93" s="121"/>
      <c r="Y93" s="121"/>
      <c r="Z93" s="107" t="str">
        <f t="shared" si="3"/>
        <v>Chat WA</v>
      </c>
      <c r="AA93" s="107" t="str">
        <f t="shared" si="4"/>
        <v>Chat WA</v>
      </c>
      <c r="AB93" s="107" t="str">
        <f t="shared" si="5"/>
        <v>Kirim Invoice</v>
      </c>
      <c r="AC93" s="107" t="str">
        <f t="shared" si="6"/>
        <v>Chat WA</v>
      </c>
      <c r="AD93" s="108" t="str">
        <f>IFERROR(VLOOKUP($Q93,'12_ONT_NEW'!$D:$G,4,FALSE()),"")</f>
        <v/>
      </c>
      <c r="AE93" s="108"/>
      <c r="AF93" s="109"/>
      <c r="AG93" s="109"/>
      <c r="AH93" s="110">
        <f t="shared" si="7"/>
        <v>46234</v>
      </c>
      <c r="AI93" s="107" t="str">
        <f t="shared" si="8"/>
        <v>Kirim WA</v>
      </c>
      <c r="AJ93" s="107" t="str">
        <f t="shared" si="9"/>
        <v>Kirim WA</v>
      </c>
      <c r="AK93" s="107" t="str">
        <f t="shared" si="10"/>
        <v>Kirim WA</v>
      </c>
      <c r="AL93" s="111">
        <f t="shared" si="11"/>
        <v>-3833</v>
      </c>
      <c r="AM93" s="107" t="str">
        <f t="shared" si="12"/>
        <v>Kirim Invoice</v>
      </c>
      <c r="AN93" s="89"/>
      <c r="AO93" s="89"/>
      <c r="AP93" s="112" t="str">
        <f t="shared" si="13"/>
        <v>2M_UP</v>
      </c>
      <c r="AQ93" s="89">
        <v>1521.0</v>
      </c>
      <c r="AR93" s="89"/>
      <c r="AS93" s="113"/>
      <c r="AT93" s="113"/>
    </row>
    <row r="94" ht="15.0" customHeight="1">
      <c r="A94" s="83">
        <f t="shared" si="1"/>
        <v>90</v>
      </c>
      <c r="B94" s="117" t="str">
        <f t="shared" si="2"/>
        <v>ARM-0090</v>
      </c>
      <c r="C94" s="118" t="s">
        <v>891</v>
      </c>
      <c r="D94" s="79" t="s">
        <v>892</v>
      </c>
      <c r="E94" s="79" t="s">
        <v>893</v>
      </c>
      <c r="F94" s="79" t="s">
        <v>886</v>
      </c>
      <c r="G94" s="79" t="s">
        <v>193</v>
      </c>
      <c r="H94" s="119" t="s">
        <v>327</v>
      </c>
      <c r="I94" s="119">
        <v>9.0</v>
      </c>
      <c r="J94" s="119">
        <v>2.0</v>
      </c>
      <c r="K94" s="119" t="s">
        <v>194</v>
      </c>
      <c r="L94" s="119" t="s">
        <v>221</v>
      </c>
      <c r="M94" s="119">
        <f>IFERROR(VLOOKUP(L94, '4_Produk'!C:E, 2, FALSE()), "")</f>
        <v>20</v>
      </c>
      <c r="N94" s="119">
        <f>IFERROR(VLOOKUP(L94, '4_Produk'!C:E, 3, FALSE()), "")</f>
        <v>115000</v>
      </c>
      <c r="O94" s="119" t="s">
        <v>894</v>
      </c>
      <c r="P94" s="119" t="s">
        <v>895</v>
      </c>
      <c r="Q94" s="119" t="s">
        <v>896</v>
      </c>
      <c r="R94" s="119"/>
      <c r="S94" s="120">
        <v>46174.0</v>
      </c>
      <c r="T94" s="119">
        <v>100.0</v>
      </c>
      <c r="U94" s="119" t="s">
        <v>897</v>
      </c>
      <c r="V94" s="119"/>
      <c r="W94" s="114" t="s">
        <v>199</v>
      </c>
      <c r="X94" s="121"/>
      <c r="Y94" s="121"/>
      <c r="Z94" s="107" t="str">
        <f t="shared" si="3"/>
        <v>Chat WA</v>
      </c>
      <c r="AA94" s="107" t="str">
        <f t="shared" si="4"/>
        <v>Chat WA</v>
      </c>
      <c r="AB94" s="107" t="str">
        <f t="shared" si="5"/>
        <v>Kirim Invoice</v>
      </c>
      <c r="AC94" s="107" t="str">
        <f t="shared" si="6"/>
        <v>Chat WA</v>
      </c>
      <c r="AD94" s="108" t="str">
        <f>IFERROR(VLOOKUP($Q94,'12_ONT_NEW'!$D:$G,4,FALSE()),"")</f>
        <v/>
      </c>
      <c r="AE94" s="108"/>
      <c r="AF94" s="109"/>
      <c r="AG94" s="109"/>
      <c r="AH94" s="110">
        <f t="shared" si="7"/>
        <v>46204</v>
      </c>
      <c r="AI94" s="107" t="str">
        <f t="shared" si="8"/>
        <v>Kirim WA</v>
      </c>
      <c r="AJ94" s="107" t="str">
        <f t="shared" si="9"/>
        <v>Kirim WA</v>
      </c>
      <c r="AK94" s="107" t="str">
        <f t="shared" si="10"/>
        <v>Kirim WA</v>
      </c>
      <c r="AL94" s="111">
        <f t="shared" si="11"/>
        <v>111167</v>
      </c>
      <c r="AM94" s="107" t="str">
        <f t="shared" si="12"/>
        <v>Kirim Invoice</v>
      </c>
      <c r="AN94" s="89"/>
      <c r="AO94" s="89"/>
      <c r="AP94" s="112" t="str">
        <f t="shared" si="13"/>
        <v>2M_UP</v>
      </c>
      <c r="AQ94" s="89">
        <v>1521.0</v>
      </c>
      <c r="AR94" s="89"/>
      <c r="AS94" s="113"/>
      <c r="AT94" s="113"/>
    </row>
    <row r="95" ht="15.0" customHeight="1">
      <c r="A95" s="83">
        <f t="shared" si="1"/>
        <v>91</v>
      </c>
      <c r="B95" s="122" t="str">
        <f t="shared" si="2"/>
        <v>ARM-0091</v>
      </c>
      <c r="C95" s="123" t="s">
        <v>898</v>
      </c>
      <c r="D95" s="83" t="s">
        <v>899</v>
      </c>
      <c r="E95" s="83" t="s">
        <v>900</v>
      </c>
      <c r="F95" s="83" t="s">
        <v>901</v>
      </c>
      <c r="G95" s="83" t="s">
        <v>193</v>
      </c>
      <c r="H95" s="73" t="s">
        <v>327</v>
      </c>
      <c r="I95" s="73">
        <v>1.0</v>
      </c>
      <c r="J95" s="73">
        <v>2.0</v>
      </c>
      <c r="K95" s="73" t="s">
        <v>194</v>
      </c>
      <c r="L95" s="73" t="s">
        <v>212</v>
      </c>
      <c r="M95" s="73">
        <f>IFERROR(VLOOKUP(L95, '4_Produk'!C:E, 2, FALSE()), "")</f>
        <v>30</v>
      </c>
      <c r="N95" s="73">
        <f>IFERROR(VLOOKUP(L95, '4_Produk'!C:E, 3, FALSE()), "")</f>
        <v>142000</v>
      </c>
      <c r="O95" s="73" t="s">
        <v>902</v>
      </c>
      <c r="P95" s="73" t="s">
        <v>903</v>
      </c>
      <c r="Q95" s="73" t="s">
        <v>904</v>
      </c>
      <c r="R95" s="73"/>
      <c r="S95" s="124">
        <v>46174.0</v>
      </c>
      <c r="T95" s="73">
        <v>70.0</v>
      </c>
      <c r="U95" s="73" t="s">
        <v>905</v>
      </c>
      <c r="V95" s="73"/>
      <c r="W95" s="114" t="s">
        <v>199</v>
      </c>
      <c r="X95" s="121"/>
      <c r="Y95" s="121"/>
      <c r="Z95" s="107" t="str">
        <f t="shared" si="3"/>
        <v>Chat WA</v>
      </c>
      <c r="AA95" s="107" t="str">
        <f t="shared" si="4"/>
        <v>Chat WA</v>
      </c>
      <c r="AB95" s="107" t="str">
        <f t="shared" si="5"/>
        <v>Kirim Invoice</v>
      </c>
      <c r="AC95" s="107" t="str">
        <f t="shared" si="6"/>
        <v>Chat WA</v>
      </c>
      <c r="AD95" s="108" t="str">
        <f>IFERROR(VLOOKUP($Q95,'12_ONT_NEW'!$D:$G,4,FALSE()),"")</f>
        <v/>
      </c>
      <c r="AE95" s="108"/>
      <c r="AF95" s="109"/>
      <c r="AG95" s="109"/>
      <c r="AH95" s="110">
        <f t="shared" si="7"/>
        <v>46204</v>
      </c>
      <c r="AI95" s="107" t="str">
        <f t="shared" si="8"/>
        <v>Kirim WA</v>
      </c>
      <c r="AJ95" s="107" t="str">
        <f t="shared" si="9"/>
        <v>Kirim WA</v>
      </c>
      <c r="AK95" s="107" t="str">
        <f t="shared" si="10"/>
        <v>Kirim WA</v>
      </c>
      <c r="AL95" s="111">
        <f t="shared" si="11"/>
        <v>137267</v>
      </c>
      <c r="AM95" s="107" t="str">
        <f t="shared" si="12"/>
        <v>Kirim Invoice</v>
      </c>
      <c r="AN95" s="89"/>
      <c r="AO95" s="89"/>
      <c r="AP95" s="112" t="str">
        <f t="shared" si="13"/>
        <v>3M_UP</v>
      </c>
      <c r="AQ95" s="89">
        <v>1521.0</v>
      </c>
      <c r="AR95" s="89"/>
      <c r="AS95" s="113"/>
      <c r="AT95" s="113"/>
    </row>
    <row r="96" ht="15.0" customHeight="1">
      <c r="A96" s="79">
        <f t="shared" si="1"/>
        <v>92</v>
      </c>
      <c r="B96" s="117" t="str">
        <f t="shared" si="2"/>
        <v>ARM-0092</v>
      </c>
      <c r="C96" s="118" t="s">
        <v>906</v>
      </c>
      <c r="D96" s="79" t="s">
        <v>907</v>
      </c>
      <c r="E96" s="79" t="s">
        <v>908</v>
      </c>
      <c r="F96" s="79" t="s">
        <v>909</v>
      </c>
      <c r="G96" s="79" t="s">
        <v>193</v>
      </c>
      <c r="H96" s="119" t="s">
        <v>327</v>
      </c>
      <c r="I96" s="119">
        <v>4.0</v>
      </c>
      <c r="J96" s="119">
        <v>4.0</v>
      </c>
      <c r="K96" s="119" t="s">
        <v>194</v>
      </c>
      <c r="L96" s="119" t="s">
        <v>212</v>
      </c>
      <c r="M96" s="119">
        <f>IFERROR(VLOOKUP(L96, '4_Produk'!C:E, 2, FALSE()), "")</f>
        <v>30</v>
      </c>
      <c r="N96" s="119">
        <f>IFERROR(VLOOKUP(L96, '4_Produk'!C:E, 3, FALSE()), "")</f>
        <v>142000</v>
      </c>
      <c r="O96" s="119" t="s">
        <v>910</v>
      </c>
      <c r="P96" s="119" t="s">
        <v>911</v>
      </c>
      <c r="Q96" s="119" t="s">
        <v>912</v>
      </c>
      <c r="R96" s="119"/>
      <c r="S96" s="120">
        <v>46175.0</v>
      </c>
      <c r="T96" s="119">
        <v>30.0</v>
      </c>
      <c r="U96" s="119" t="s">
        <v>913</v>
      </c>
      <c r="V96" s="119"/>
      <c r="W96" s="114" t="s">
        <v>199</v>
      </c>
      <c r="X96" s="121"/>
      <c r="Y96" s="121"/>
      <c r="Z96" s="107" t="str">
        <f t="shared" si="3"/>
        <v>Chat WA</v>
      </c>
      <c r="AA96" s="107" t="str">
        <f t="shared" si="4"/>
        <v>Chat WA</v>
      </c>
      <c r="AB96" s="107" t="str">
        <f t="shared" si="5"/>
        <v>Kirim Invoice</v>
      </c>
      <c r="AC96" s="107" t="str">
        <f t="shared" si="6"/>
        <v>Chat WA</v>
      </c>
      <c r="AD96" s="108" t="str">
        <f>IFERROR(VLOOKUP($Q96,'12_ONT_NEW'!$D:$G,4,FALSE()),"")</f>
        <v/>
      </c>
      <c r="AE96" s="108"/>
      <c r="AF96" s="109"/>
      <c r="AG96" s="109"/>
      <c r="AH96" s="110">
        <f t="shared" si="7"/>
        <v>46205</v>
      </c>
      <c r="AI96" s="107" t="str">
        <f t="shared" si="8"/>
        <v>Kirim WA</v>
      </c>
      <c r="AJ96" s="107" t="str">
        <f t="shared" si="9"/>
        <v>Kirim WA</v>
      </c>
      <c r="AK96" s="107" t="str">
        <f t="shared" si="10"/>
        <v>Kirim WA</v>
      </c>
      <c r="AL96" s="111">
        <f t="shared" si="11"/>
        <v>132533</v>
      </c>
      <c r="AM96" s="107" t="str">
        <f t="shared" si="12"/>
        <v>Kirim Invoice</v>
      </c>
      <c r="AN96" s="89"/>
      <c r="AO96" s="89"/>
      <c r="AP96" s="112" t="str">
        <f t="shared" si="13"/>
        <v>3M_UP</v>
      </c>
      <c r="AQ96" s="89">
        <v>1521.0</v>
      </c>
      <c r="AR96" s="89"/>
      <c r="AS96" s="113"/>
      <c r="AT96" s="113"/>
    </row>
    <row r="97" ht="15.0" customHeight="1">
      <c r="A97" s="83">
        <f t="shared" si="1"/>
        <v>93</v>
      </c>
      <c r="B97" s="122" t="str">
        <f t="shared" si="2"/>
        <v>ARM-0093</v>
      </c>
      <c r="C97" s="123" t="s">
        <v>914</v>
      </c>
      <c r="D97" s="83" t="s">
        <v>915</v>
      </c>
      <c r="E97" s="83" t="s">
        <v>916</v>
      </c>
      <c r="F97" s="83" t="s">
        <v>917</v>
      </c>
      <c r="G97" s="83" t="s">
        <v>193</v>
      </c>
      <c r="H97" s="73" t="s">
        <v>327</v>
      </c>
      <c r="I97" s="73">
        <v>11.0</v>
      </c>
      <c r="J97" s="73">
        <v>2.0</v>
      </c>
      <c r="K97" s="73" t="s">
        <v>194</v>
      </c>
      <c r="L97" s="73" t="s">
        <v>212</v>
      </c>
      <c r="M97" s="73">
        <f>IFERROR(VLOOKUP(L97, '4_Produk'!C:E, 2, FALSE()), "")</f>
        <v>30</v>
      </c>
      <c r="N97" s="73">
        <f>IFERROR(VLOOKUP(L97, '4_Produk'!C:E, 3, FALSE()), "")</f>
        <v>142000</v>
      </c>
      <c r="O97" s="73" t="s">
        <v>918</v>
      </c>
      <c r="P97" s="73" t="s">
        <v>919</v>
      </c>
      <c r="Q97" s="73" t="s">
        <v>920</v>
      </c>
      <c r="R97" s="73"/>
      <c r="S97" s="124">
        <v>46177.0</v>
      </c>
      <c r="T97" s="73">
        <v>30.0</v>
      </c>
      <c r="U97" s="73" t="s">
        <v>921</v>
      </c>
      <c r="V97" s="73"/>
      <c r="W97" s="114" t="s">
        <v>199</v>
      </c>
      <c r="X97" s="121"/>
      <c r="Y97" s="121"/>
      <c r="Z97" s="107" t="str">
        <f t="shared" si="3"/>
        <v>Chat WA</v>
      </c>
      <c r="AA97" s="107" t="str">
        <f t="shared" si="4"/>
        <v>Chat WA</v>
      </c>
      <c r="AB97" s="107" t="str">
        <f t="shared" si="5"/>
        <v>Kirim Invoice</v>
      </c>
      <c r="AC97" s="107" t="str">
        <f t="shared" si="6"/>
        <v>Chat WA</v>
      </c>
      <c r="AD97" s="108" t="str">
        <f>IFERROR(VLOOKUP($Q97,'12_ONT_NEW'!$D:$G,4,FALSE()),"")</f>
        <v/>
      </c>
      <c r="AE97" s="108"/>
      <c r="AF97" s="109"/>
      <c r="AG97" s="109"/>
      <c r="AH97" s="110">
        <f t="shared" si="7"/>
        <v>46207</v>
      </c>
      <c r="AI97" s="107" t="str">
        <f t="shared" si="8"/>
        <v>Kirim WA</v>
      </c>
      <c r="AJ97" s="107" t="str">
        <f t="shared" si="9"/>
        <v>Kirim WA</v>
      </c>
      <c r="AK97" s="107" t="str">
        <f t="shared" si="10"/>
        <v>Kirim WA</v>
      </c>
      <c r="AL97" s="111">
        <f t="shared" si="11"/>
        <v>123067</v>
      </c>
      <c r="AM97" s="107" t="str">
        <f t="shared" si="12"/>
        <v>Kirim Invoice</v>
      </c>
      <c r="AN97" s="89"/>
      <c r="AO97" s="89"/>
      <c r="AP97" s="112" t="str">
        <f t="shared" si="13"/>
        <v>3M_UP</v>
      </c>
      <c r="AQ97" s="89">
        <v>1521.0</v>
      </c>
      <c r="AR97" s="89"/>
      <c r="AS97" s="113"/>
      <c r="AT97" s="113"/>
    </row>
    <row r="98" ht="15.0" customHeight="1">
      <c r="A98" s="83">
        <f t="shared" si="1"/>
        <v>94</v>
      </c>
      <c r="B98" s="117" t="str">
        <f t="shared" si="2"/>
        <v>ARM-0094</v>
      </c>
      <c r="C98" s="118" t="s">
        <v>922</v>
      </c>
      <c r="D98" s="79" t="s">
        <v>923</v>
      </c>
      <c r="E98" s="79" t="s">
        <v>924</v>
      </c>
      <c r="F98" s="79" t="s">
        <v>925</v>
      </c>
      <c r="G98" s="79" t="s">
        <v>193</v>
      </c>
      <c r="H98" s="119" t="s">
        <v>327</v>
      </c>
      <c r="I98" s="119">
        <v>2.0</v>
      </c>
      <c r="J98" s="119">
        <v>1.0</v>
      </c>
      <c r="K98" s="119" t="s">
        <v>194</v>
      </c>
      <c r="L98" s="119" t="s">
        <v>221</v>
      </c>
      <c r="M98" s="119">
        <f>IFERROR(VLOOKUP(L98, '4_Produk'!C:E, 2, FALSE()), "")</f>
        <v>20</v>
      </c>
      <c r="N98" s="119">
        <f>IFERROR(VLOOKUP(L98, '4_Produk'!C:E, 3, FALSE()), "")</f>
        <v>115000</v>
      </c>
      <c r="O98" s="119" t="s">
        <v>926</v>
      </c>
      <c r="P98" s="119" t="s">
        <v>927</v>
      </c>
      <c r="Q98" s="119" t="s">
        <v>928</v>
      </c>
      <c r="R98" s="119"/>
      <c r="S98" s="120">
        <v>46177.0</v>
      </c>
      <c r="T98" s="119">
        <v>80.0</v>
      </c>
      <c r="U98" s="119" t="s">
        <v>929</v>
      </c>
      <c r="V98" s="119"/>
      <c r="W98" s="114" t="s">
        <v>199</v>
      </c>
      <c r="X98" s="121"/>
      <c r="Y98" s="121"/>
      <c r="Z98" s="107" t="str">
        <f t="shared" si="3"/>
        <v>Chat WA</v>
      </c>
      <c r="AA98" s="107" t="str">
        <f t="shared" si="4"/>
        <v>Chat WA</v>
      </c>
      <c r="AB98" s="107" t="str">
        <f t="shared" si="5"/>
        <v>Kirim Invoice</v>
      </c>
      <c r="AC98" s="107" t="str">
        <f t="shared" si="6"/>
        <v>Chat WA</v>
      </c>
      <c r="AD98" s="108" t="str">
        <f>IFERROR(VLOOKUP($Q98,'12_ONT_NEW'!$D:$G,4,FALSE()),"")</f>
        <v/>
      </c>
      <c r="AE98" s="108"/>
      <c r="AF98" s="109"/>
      <c r="AG98" s="109"/>
      <c r="AH98" s="110">
        <f t="shared" si="7"/>
        <v>46207</v>
      </c>
      <c r="AI98" s="107" t="str">
        <f t="shared" si="8"/>
        <v>Kirim WA</v>
      </c>
      <c r="AJ98" s="107" t="str">
        <f t="shared" si="9"/>
        <v>Kirim WA</v>
      </c>
      <c r="AK98" s="107" t="str">
        <f t="shared" si="10"/>
        <v>Kirim WA</v>
      </c>
      <c r="AL98" s="111">
        <f t="shared" si="11"/>
        <v>99667</v>
      </c>
      <c r="AM98" s="107" t="str">
        <f t="shared" si="12"/>
        <v>Kirim Invoice</v>
      </c>
      <c r="AN98" s="89"/>
      <c r="AO98" s="89"/>
      <c r="AP98" s="112" t="str">
        <f t="shared" si="13"/>
        <v>2M_UP</v>
      </c>
      <c r="AQ98" s="89">
        <v>1521.0</v>
      </c>
      <c r="AR98" s="89"/>
      <c r="AS98" s="113"/>
      <c r="AT98" s="113"/>
    </row>
    <row r="99" ht="15.0" customHeight="1">
      <c r="A99" s="83">
        <f t="shared" si="1"/>
        <v>95</v>
      </c>
      <c r="B99" s="117" t="str">
        <f t="shared" si="2"/>
        <v>ARM-0095</v>
      </c>
      <c r="C99" s="118" t="s">
        <v>930</v>
      </c>
      <c r="D99" s="79" t="s">
        <v>931</v>
      </c>
      <c r="E99" s="79" t="s">
        <v>932</v>
      </c>
      <c r="F99" s="79" t="s">
        <v>925</v>
      </c>
      <c r="G99" s="79" t="s">
        <v>193</v>
      </c>
      <c r="H99" s="119" t="s">
        <v>327</v>
      </c>
      <c r="I99" s="119">
        <v>3.0</v>
      </c>
      <c r="J99" s="119">
        <v>5.0</v>
      </c>
      <c r="K99" s="119" t="s">
        <v>194</v>
      </c>
      <c r="L99" s="119" t="s">
        <v>221</v>
      </c>
      <c r="M99" s="119">
        <f>IFERROR(VLOOKUP(L100, '4_Produk'!C:E, 2, FALSE()), "")</f>
        <v>20</v>
      </c>
      <c r="N99" s="119">
        <f>IFERROR(VLOOKUP(L100, '4_Produk'!C:E, 3, FALSE()), "")</f>
        <v>115000</v>
      </c>
      <c r="O99" s="119" t="s">
        <v>933</v>
      </c>
      <c r="P99" s="119" t="s">
        <v>934</v>
      </c>
      <c r="Q99" s="119" t="s">
        <v>935</v>
      </c>
      <c r="R99" s="119"/>
      <c r="S99" s="120">
        <v>46180.0</v>
      </c>
      <c r="T99" s="119">
        <v>90.0</v>
      </c>
      <c r="U99" s="119" t="s">
        <v>936</v>
      </c>
      <c r="V99" s="119"/>
      <c r="W99" s="114" t="s">
        <v>199</v>
      </c>
      <c r="X99" s="121"/>
      <c r="Y99" s="121"/>
      <c r="Z99" s="107" t="str">
        <f t="shared" si="3"/>
        <v>Chat WA</v>
      </c>
      <c r="AA99" s="107" t="str">
        <f t="shared" si="4"/>
        <v>Chat WA</v>
      </c>
      <c r="AB99" s="107" t="str">
        <f t="shared" si="5"/>
        <v>Kirim Invoice</v>
      </c>
      <c r="AC99" s="107" t="str">
        <f t="shared" si="6"/>
        <v>Chat WA</v>
      </c>
      <c r="AD99" s="108" t="str">
        <f>IFERROR(VLOOKUP($Q99,'12_ONT_NEW'!$D:$G,4,FALSE()),"")</f>
        <v/>
      </c>
      <c r="AE99" s="108"/>
      <c r="AF99" s="109"/>
      <c r="AG99" s="109"/>
      <c r="AH99" s="110">
        <f t="shared" si="7"/>
        <v>46210</v>
      </c>
      <c r="AI99" s="107" t="str">
        <f t="shared" si="8"/>
        <v>Kirim WA</v>
      </c>
      <c r="AJ99" s="107" t="str">
        <f t="shared" si="9"/>
        <v>Kirim WA</v>
      </c>
      <c r="AK99" s="107" t="str">
        <f t="shared" si="10"/>
        <v>Kirim WA</v>
      </c>
      <c r="AL99" s="111">
        <f t="shared" si="11"/>
        <v>88167</v>
      </c>
      <c r="AM99" s="107" t="str">
        <f t="shared" si="12"/>
        <v>Kirim Invoice</v>
      </c>
      <c r="AN99" s="89"/>
      <c r="AO99" s="89"/>
      <c r="AP99" s="112" t="str">
        <f t="shared" si="13"/>
        <v>2M_UP</v>
      </c>
      <c r="AQ99" s="89">
        <v>1521.0</v>
      </c>
      <c r="AR99" s="89"/>
      <c r="AS99" s="113"/>
      <c r="AT99" s="113"/>
    </row>
    <row r="100" ht="15.0" customHeight="1">
      <c r="A100" s="83">
        <f t="shared" si="1"/>
        <v>96</v>
      </c>
      <c r="B100" s="122" t="str">
        <f t="shared" si="2"/>
        <v>ARM-0096</v>
      </c>
      <c r="C100" s="123" t="s">
        <v>937</v>
      </c>
      <c r="D100" s="83" t="s">
        <v>938</v>
      </c>
      <c r="E100" s="83" t="s">
        <v>939</v>
      </c>
      <c r="F100" s="83" t="s">
        <v>940</v>
      </c>
      <c r="G100" s="83" t="s">
        <v>193</v>
      </c>
      <c r="H100" s="73" t="s">
        <v>327</v>
      </c>
      <c r="I100" s="73">
        <v>2.0</v>
      </c>
      <c r="J100" s="73">
        <v>3.0</v>
      </c>
      <c r="K100" s="73" t="s">
        <v>194</v>
      </c>
      <c r="L100" s="73" t="s">
        <v>221</v>
      </c>
      <c r="M100" s="73">
        <f>IFERROR(VLOOKUP(L101, '4_Produk'!C:E, 2, FALSE()), "")</f>
        <v>20</v>
      </c>
      <c r="N100" s="73">
        <f>IFERROR(VLOOKUP(L101, '4_Produk'!C:E, 3, FALSE()), "")</f>
        <v>115000</v>
      </c>
      <c r="O100" s="73" t="s">
        <v>941</v>
      </c>
      <c r="P100" s="73" t="s">
        <v>942</v>
      </c>
      <c r="Q100" s="73" t="s">
        <v>943</v>
      </c>
      <c r="R100" s="73"/>
      <c r="S100" s="124">
        <v>46180.0</v>
      </c>
      <c r="T100" s="73">
        <v>50.0</v>
      </c>
      <c r="U100" s="73" t="s">
        <v>944</v>
      </c>
      <c r="V100" s="73"/>
      <c r="W100" s="114" t="s">
        <v>199</v>
      </c>
      <c r="X100" s="121"/>
      <c r="Y100" s="121"/>
      <c r="Z100" s="107" t="str">
        <f t="shared" si="3"/>
        <v>Chat WA</v>
      </c>
      <c r="AA100" s="107" t="str">
        <f t="shared" si="4"/>
        <v>Chat WA</v>
      </c>
      <c r="AB100" s="107" t="str">
        <f t="shared" si="5"/>
        <v>Kirim Invoice</v>
      </c>
      <c r="AC100" s="107" t="str">
        <f t="shared" si="6"/>
        <v>Chat WA</v>
      </c>
      <c r="AD100" s="108" t="str">
        <f>IFERROR(VLOOKUP($Q100,'12_ONT_NEW'!$D:$G,4,FALSE()),"")</f>
        <v/>
      </c>
      <c r="AE100" s="108"/>
      <c r="AF100" s="109"/>
      <c r="AG100" s="109"/>
      <c r="AH100" s="110">
        <f t="shared" si="7"/>
        <v>46210</v>
      </c>
      <c r="AI100" s="107" t="str">
        <f t="shared" si="8"/>
        <v>Kirim WA</v>
      </c>
      <c r="AJ100" s="107" t="str">
        <f t="shared" si="9"/>
        <v>Kirim WA</v>
      </c>
      <c r="AK100" s="107" t="str">
        <f t="shared" si="10"/>
        <v>Kirim WA</v>
      </c>
      <c r="AL100" s="111">
        <f t="shared" si="11"/>
        <v>88167</v>
      </c>
      <c r="AM100" s="107" t="str">
        <f t="shared" si="12"/>
        <v>Kirim Invoice</v>
      </c>
      <c r="AN100" s="89"/>
      <c r="AO100" s="89"/>
      <c r="AP100" s="112" t="str">
        <f t="shared" si="13"/>
        <v>2M_UP</v>
      </c>
      <c r="AQ100" s="89">
        <v>1521.0</v>
      </c>
      <c r="AR100" s="89"/>
      <c r="AS100" s="113"/>
      <c r="AT100" s="113"/>
    </row>
    <row r="101" ht="15.0" customHeight="1">
      <c r="A101" s="79">
        <f t="shared" si="1"/>
        <v>97</v>
      </c>
      <c r="B101" s="117" t="str">
        <f t="shared" si="2"/>
        <v>ARM-0097</v>
      </c>
      <c r="C101" s="118" t="s">
        <v>945</v>
      </c>
      <c r="D101" s="79" t="s">
        <v>946</v>
      </c>
      <c r="E101" s="79" t="s">
        <v>947</v>
      </c>
      <c r="F101" s="79" t="s">
        <v>948</v>
      </c>
      <c r="G101" s="79" t="s">
        <v>193</v>
      </c>
      <c r="H101" s="119" t="s">
        <v>211</v>
      </c>
      <c r="I101" s="119">
        <v>5.0</v>
      </c>
      <c r="J101" s="119">
        <v>2.0</v>
      </c>
      <c r="K101" s="119" t="s">
        <v>194</v>
      </c>
      <c r="L101" s="119" t="s">
        <v>221</v>
      </c>
      <c r="M101" s="119">
        <f>IFERROR(VLOOKUP(L102, '4_Produk'!C:E, 2, FALSE()), "")</f>
        <v>50</v>
      </c>
      <c r="N101" s="119">
        <f>IFERROR(VLOOKUP(L102, '4_Produk'!C:E, 3, FALSE()), "")</f>
        <v>182000</v>
      </c>
      <c r="O101" s="119" t="s">
        <v>949</v>
      </c>
      <c r="P101" s="119" t="s">
        <v>950</v>
      </c>
      <c r="Q101" s="119" t="s">
        <v>951</v>
      </c>
      <c r="R101" s="119"/>
      <c r="S101" s="120">
        <v>46181.0</v>
      </c>
      <c r="T101" s="119">
        <v>170.0</v>
      </c>
      <c r="U101" s="119" t="s">
        <v>952</v>
      </c>
      <c r="V101" s="119"/>
      <c r="W101" s="114" t="s">
        <v>199</v>
      </c>
      <c r="X101" s="121"/>
      <c r="Y101" s="121"/>
      <c r="Z101" s="107" t="str">
        <f t="shared" si="3"/>
        <v>Chat WA</v>
      </c>
      <c r="AA101" s="107" t="str">
        <f t="shared" si="4"/>
        <v>Chat WA</v>
      </c>
      <c r="AB101" s="107" t="str">
        <f t="shared" si="5"/>
        <v>Kirim Invoice</v>
      </c>
      <c r="AC101" s="107" t="str">
        <f t="shared" si="6"/>
        <v>Chat WA</v>
      </c>
      <c r="AD101" s="108" t="str">
        <f>IFERROR(VLOOKUP($Q101,'12_ONT_NEW'!$D:$G,4,FALSE()),"")</f>
        <v/>
      </c>
      <c r="AE101" s="108"/>
      <c r="AF101" s="109"/>
      <c r="AG101" s="109"/>
      <c r="AH101" s="110">
        <f t="shared" si="7"/>
        <v>46211</v>
      </c>
      <c r="AI101" s="107" t="str">
        <f t="shared" si="8"/>
        <v>Kirim WA</v>
      </c>
      <c r="AJ101" s="107" t="str">
        <f t="shared" si="9"/>
        <v>Kirim WA</v>
      </c>
      <c r="AK101" s="107" t="str">
        <f t="shared" si="10"/>
        <v>Kirim WA</v>
      </c>
      <c r="AL101" s="111">
        <f t="shared" si="11"/>
        <v>133467</v>
      </c>
      <c r="AM101" s="107" t="str">
        <f t="shared" si="12"/>
        <v>Kirim Invoice</v>
      </c>
      <c r="AN101" s="89"/>
      <c r="AO101" s="89"/>
      <c r="AP101" s="112" t="str">
        <f t="shared" si="13"/>
        <v>5M_UP</v>
      </c>
      <c r="AQ101" s="89">
        <v>1521.0</v>
      </c>
      <c r="AR101" s="89"/>
      <c r="AS101" s="113"/>
      <c r="AT101" s="113"/>
    </row>
    <row r="102" ht="15.0" customHeight="1">
      <c r="A102" s="83">
        <f t="shared" si="1"/>
        <v>98</v>
      </c>
      <c r="B102" s="122" t="str">
        <f t="shared" si="2"/>
        <v>ARM-0098</v>
      </c>
      <c r="C102" s="123" t="s">
        <v>953</v>
      </c>
      <c r="D102" s="83" t="s">
        <v>954</v>
      </c>
      <c r="E102" s="83" t="s">
        <v>955</v>
      </c>
      <c r="F102" s="83" t="s">
        <v>956</v>
      </c>
      <c r="G102" s="83" t="s">
        <v>193</v>
      </c>
      <c r="H102" s="73" t="s">
        <v>327</v>
      </c>
      <c r="I102" s="73">
        <v>1.0</v>
      </c>
      <c r="J102" s="73">
        <v>4.0</v>
      </c>
      <c r="K102" s="73" t="s">
        <v>194</v>
      </c>
      <c r="L102" s="73" t="s">
        <v>202</v>
      </c>
      <c r="M102" s="73">
        <f>IFERROR(VLOOKUP(L103, '4_Produk'!C:E, 2, FALSE()), "")</f>
        <v>75</v>
      </c>
      <c r="N102" s="73">
        <f>IFERROR(VLOOKUP(L103, '4_Produk'!C:E, 3, FALSE()), "")</f>
        <v>260000</v>
      </c>
      <c r="O102" s="73" t="s">
        <v>633</v>
      </c>
      <c r="P102" s="73" t="s">
        <v>957</v>
      </c>
      <c r="Q102" s="73" t="s">
        <v>958</v>
      </c>
      <c r="R102" s="73"/>
      <c r="S102" s="124">
        <v>46181.0</v>
      </c>
      <c r="T102" s="73">
        <v>50.0</v>
      </c>
      <c r="U102" s="73" t="s">
        <v>959</v>
      </c>
      <c r="V102" s="73"/>
      <c r="W102" s="114" t="s">
        <v>199</v>
      </c>
      <c r="X102" s="121"/>
      <c r="Y102" s="121"/>
      <c r="Z102" s="107" t="str">
        <f t="shared" si="3"/>
        <v>Chat WA</v>
      </c>
      <c r="AA102" s="107" t="str">
        <f t="shared" si="4"/>
        <v>Chat WA</v>
      </c>
      <c r="AB102" s="107" t="str">
        <f t="shared" si="5"/>
        <v>Kirim Invoice</v>
      </c>
      <c r="AC102" s="107" t="str">
        <f t="shared" si="6"/>
        <v>Chat WA</v>
      </c>
      <c r="AD102" s="108" t="str">
        <f>IFERROR(VLOOKUP($Q102,'12_ONT_NEW'!$D:$G,4,FALSE()),"")</f>
        <v/>
      </c>
      <c r="AE102" s="108"/>
      <c r="AF102" s="109"/>
      <c r="AG102" s="109"/>
      <c r="AH102" s="110">
        <f t="shared" si="7"/>
        <v>46211</v>
      </c>
      <c r="AI102" s="107" t="str">
        <f t="shared" si="8"/>
        <v>Kirim WA</v>
      </c>
      <c r="AJ102" s="107" t="str">
        <f t="shared" si="9"/>
        <v>Kirim WA</v>
      </c>
      <c r="AK102" s="107" t="str">
        <f t="shared" si="10"/>
        <v>Kirim WA</v>
      </c>
      <c r="AL102" s="111">
        <f t="shared" si="11"/>
        <v>190667</v>
      </c>
      <c r="AM102" s="107" t="str">
        <f t="shared" si="12"/>
        <v>Kirim Invoice</v>
      </c>
      <c r="AN102" s="89"/>
      <c r="AO102" s="89"/>
      <c r="AP102" s="112" t="str">
        <f t="shared" si="13"/>
        <v>7M_UP</v>
      </c>
      <c r="AQ102" s="89">
        <v>1521.0</v>
      </c>
      <c r="AR102" s="89"/>
      <c r="AS102" s="113"/>
      <c r="AT102" s="113"/>
    </row>
    <row r="103" ht="15.0" customHeight="1">
      <c r="A103" s="83">
        <f t="shared" si="1"/>
        <v>99</v>
      </c>
      <c r="B103" s="117" t="str">
        <f t="shared" si="2"/>
        <v>ARM-0099</v>
      </c>
      <c r="C103" s="118" t="s">
        <v>960</v>
      </c>
      <c r="D103" s="79" t="s">
        <v>961</v>
      </c>
      <c r="E103" s="79" t="s">
        <v>962</v>
      </c>
      <c r="F103" s="79" t="s">
        <v>963</v>
      </c>
      <c r="G103" s="79" t="s">
        <v>193</v>
      </c>
      <c r="H103" s="119" t="s">
        <v>327</v>
      </c>
      <c r="I103" s="119">
        <v>2.0</v>
      </c>
      <c r="J103" s="119">
        <v>6.0</v>
      </c>
      <c r="K103" s="119" t="s">
        <v>194</v>
      </c>
      <c r="L103" s="119" t="s">
        <v>846</v>
      </c>
      <c r="M103" s="119">
        <f>IFERROR(VLOOKUP(L104, '4_Produk'!C:E, 2, FALSE()), "")</f>
        <v>20</v>
      </c>
      <c r="N103" s="119">
        <f>IFERROR(VLOOKUP(L104, '4_Produk'!C:E, 3, FALSE()), "")</f>
        <v>115000</v>
      </c>
      <c r="O103" s="119" t="s">
        <v>964</v>
      </c>
      <c r="P103" s="119" t="s">
        <v>965</v>
      </c>
      <c r="Q103" s="119" t="s">
        <v>966</v>
      </c>
      <c r="R103" s="119"/>
      <c r="S103" s="120">
        <v>46183.0</v>
      </c>
      <c r="T103" s="119">
        <v>50.0</v>
      </c>
      <c r="U103" s="119" t="s">
        <v>967</v>
      </c>
      <c r="V103" s="119"/>
      <c r="W103" s="114" t="s">
        <v>199</v>
      </c>
      <c r="X103" s="121"/>
      <c r="Y103" s="121"/>
      <c r="Z103" s="107" t="str">
        <f t="shared" si="3"/>
        <v>Chat WA</v>
      </c>
      <c r="AA103" s="107" t="str">
        <f t="shared" si="4"/>
        <v>Chat WA</v>
      </c>
      <c r="AB103" s="107" t="str">
        <f t="shared" si="5"/>
        <v>Kirim Invoice</v>
      </c>
      <c r="AC103" s="107" t="str">
        <f t="shared" si="6"/>
        <v>Chat WA</v>
      </c>
      <c r="AD103" s="108" t="str">
        <f>IFERROR(VLOOKUP($Q103,'12_ONT_NEW'!$D:$G,4,FALSE()),"")</f>
        <v/>
      </c>
      <c r="AE103" s="108"/>
      <c r="AF103" s="109"/>
      <c r="AG103" s="109"/>
      <c r="AH103" s="110">
        <f t="shared" si="7"/>
        <v>46213</v>
      </c>
      <c r="AI103" s="107" t="str">
        <f t="shared" si="8"/>
        <v>Kirim WA</v>
      </c>
      <c r="AJ103" s="107" t="str">
        <f t="shared" si="9"/>
        <v>Kirim WA</v>
      </c>
      <c r="AK103" s="107" t="str">
        <f t="shared" si="10"/>
        <v>Kirim WA</v>
      </c>
      <c r="AL103" s="111">
        <f t="shared" si="11"/>
        <v>76667</v>
      </c>
      <c r="AM103" s="107" t="str">
        <f t="shared" si="12"/>
        <v>Kirim Invoice</v>
      </c>
      <c r="AN103" s="89"/>
      <c r="AO103" s="89"/>
      <c r="AP103" s="112" t="str">
        <f t="shared" si="13"/>
        <v>2M_UP</v>
      </c>
      <c r="AQ103" s="89">
        <v>1521.0</v>
      </c>
      <c r="AR103" s="89"/>
      <c r="AS103" s="113"/>
      <c r="AT103" s="113"/>
    </row>
    <row r="104" ht="15.0" customHeight="1">
      <c r="A104" s="79">
        <f t="shared" si="1"/>
        <v>100</v>
      </c>
      <c r="B104" s="122" t="str">
        <f t="shared" si="2"/>
        <v>ARM-0100</v>
      </c>
      <c r="C104" s="123" t="s">
        <v>968</v>
      </c>
      <c r="D104" s="83" t="s">
        <v>969</v>
      </c>
      <c r="E104" s="83" t="s">
        <v>970</v>
      </c>
      <c r="F104" s="83" t="s">
        <v>971</v>
      </c>
      <c r="G104" s="83" t="s">
        <v>193</v>
      </c>
      <c r="H104" s="73" t="s">
        <v>327</v>
      </c>
      <c r="I104" s="73">
        <v>1.0</v>
      </c>
      <c r="J104" s="73">
        <v>4.0</v>
      </c>
      <c r="K104" s="73" t="s">
        <v>194</v>
      </c>
      <c r="L104" s="73" t="s">
        <v>221</v>
      </c>
      <c r="M104" s="73">
        <f>IFERROR(VLOOKUP(L105, '4_Produk'!C:E, 2, FALSE()), "")</f>
        <v>20</v>
      </c>
      <c r="N104" s="73">
        <f>IFERROR(VLOOKUP(L105, '4_Produk'!C:E, 3, FALSE()), "")</f>
        <v>115000</v>
      </c>
      <c r="O104" s="73" t="s">
        <v>972</v>
      </c>
      <c r="P104" s="73" t="s">
        <v>973</v>
      </c>
      <c r="Q104" s="73" t="s">
        <v>974</v>
      </c>
      <c r="R104" s="73"/>
      <c r="S104" s="124">
        <v>46186.0</v>
      </c>
      <c r="T104" s="73">
        <v>50.0</v>
      </c>
      <c r="U104" s="73" t="s">
        <v>975</v>
      </c>
      <c r="V104" s="73"/>
      <c r="W104" s="114" t="s">
        <v>199</v>
      </c>
      <c r="X104" s="121"/>
      <c r="Y104" s="121"/>
      <c r="Z104" s="107" t="str">
        <f t="shared" si="3"/>
        <v>Chat WA</v>
      </c>
      <c r="AA104" s="107" t="str">
        <f t="shared" si="4"/>
        <v>Chat WA</v>
      </c>
      <c r="AB104" s="107" t="str">
        <f t="shared" si="5"/>
        <v>Kirim Invoice</v>
      </c>
      <c r="AC104" s="107" t="str">
        <f t="shared" si="6"/>
        <v>Chat WA</v>
      </c>
      <c r="AD104" s="108" t="str">
        <f>IFERROR(VLOOKUP($Q104,'12_ONT_NEW'!$D:$G,4,FALSE()),"")</f>
        <v/>
      </c>
      <c r="AE104" s="108"/>
      <c r="AF104" s="109"/>
      <c r="AG104" s="109"/>
      <c r="AH104" s="110">
        <f t="shared" si="7"/>
        <v>46216</v>
      </c>
      <c r="AI104" s="107" t="str">
        <f t="shared" si="8"/>
        <v>Kirim WA</v>
      </c>
      <c r="AJ104" s="107" t="str">
        <f t="shared" si="9"/>
        <v>Kirim WA</v>
      </c>
      <c r="AK104" s="107" t="str">
        <f t="shared" si="10"/>
        <v>Kirim WA</v>
      </c>
      <c r="AL104" s="111">
        <f t="shared" si="11"/>
        <v>65167</v>
      </c>
      <c r="AM104" s="107" t="str">
        <f t="shared" si="12"/>
        <v>Kirim Invoice</v>
      </c>
      <c r="AN104" s="89"/>
      <c r="AO104" s="89"/>
      <c r="AP104" s="112" t="str">
        <f t="shared" si="13"/>
        <v>2M_UP</v>
      </c>
      <c r="AQ104" s="89">
        <v>1521.0</v>
      </c>
      <c r="AR104" s="89"/>
      <c r="AS104" s="113"/>
      <c r="AT104" s="113"/>
    </row>
    <row r="105" ht="15.0" customHeight="1">
      <c r="A105" s="83">
        <f t="shared" si="1"/>
        <v>101</v>
      </c>
      <c r="B105" s="117" t="str">
        <f t="shared" si="2"/>
        <v>ARM-0101</v>
      </c>
      <c r="C105" s="118" t="s">
        <v>976</v>
      </c>
      <c r="D105" s="79" t="s">
        <v>977</v>
      </c>
      <c r="E105" s="79" t="s">
        <v>978</v>
      </c>
      <c r="F105" s="79" t="s">
        <v>979</v>
      </c>
      <c r="G105" s="79" t="s">
        <v>193</v>
      </c>
      <c r="H105" s="119" t="s">
        <v>327</v>
      </c>
      <c r="I105" s="119">
        <v>11.0</v>
      </c>
      <c r="J105" s="119">
        <v>3.0</v>
      </c>
      <c r="K105" s="119" t="s">
        <v>194</v>
      </c>
      <c r="L105" s="119" t="s">
        <v>221</v>
      </c>
      <c r="M105" s="119">
        <f>IFERROR(VLOOKUP(L106, '4_Produk'!C:E, 2, FALSE()), "")</f>
        <v>20</v>
      </c>
      <c r="N105" s="119">
        <f>IFERROR(VLOOKUP(L106, '4_Produk'!C:E, 3, FALSE()), "")</f>
        <v>115000</v>
      </c>
      <c r="O105" s="119" t="s">
        <v>980</v>
      </c>
      <c r="P105" s="119" t="s">
        <v>981</v>
      </c>
      <c r="Q105" s="119" t="s">
        <v>982</v>
      </c>
      <c r="R105" s="119"/>
      <c r="S105" s="120">
        <v>46187.0</v>
      </c>
      <c r="T105" s="119">
        <v>100.0</v>
      </c>
      <c r="U105" s="119" t="s">
        <v>983</v>
      </c>
      <c r="V105" s="119"/>
      <c r="W105" s="114" t="s">
        <v>199</v>
      </c>
      <c r="X105" s="121"/>
      <c r="Y105" s="121"/>
      <c r="Z105" s="107" t="str">
        <f t="shared" si="3"/>
        <v>Chat WA</v>
      </c>
      <c r="AA105" s="107" t="str">
        <f t="shared" si="4"/>
        <v>Chat WA</v>
      </c>
      <c r="AB105" s="107" t="str">
        <f t="shared" si="5"/>
        <v>Kirim Invoice</v>
      </c>
      <c r="AC105" s="107" t="str">
        <f t="shared" si="6"/>
        <v>Chat WA</v>
      </c>
      <c r="AD105" s="108" t="str">
        <f>IFERROR(VLOOKUP($Q105,'12_ONT_NEW'!$D:$G,4,FALSE()),"")</f>
        <v/>
      </c>
      <c r="AE105" s="108"/>
      <c r="AF105" s="109"/>
      <c r="AG105" s="109"/>
      <c r="AH105" s="110">
        <f t="shared" si="7"/>
        <v>46217</v>
      </c>
      <c r="AI105" s="107" t="str">
        <f t="shared" si="8"/>
        <v>Kirim WA</v>
      </c>
      <c r="AJ105" s="107" t="str">
        <f t="shared" si="9"/>
        <v>Kirim WA</v>
      </c>
      <c r="AK105" s="107" t="str">
        <f t="shared" si="10"/>
        <v>Kirim WA</v>
      </c>
      <c r="AL105" s="111">
        <f t="shared" si="11"/>
        <v>61333</v>
      </c>
      <c r="AM105" s="107" t="str">
        <f t="shared" si="12"/>
        <v>Kirim Invoice</v>
      </c>
      <c r="AN105" s="89"/>
      <c r="AO105" s="89"/>
      <c r="AP105" s="112" t="str">
        <f t="shared" si="13"/>
        <v>2M_UP</v>
      </c>
      <c r="AQ105" s="89">
        <v>1521.0</v>
      </c>
      <c r="AR105" s="89"/>
      <c r="AS105" s="113"/>
      <c r="AT105" s="113"/>
    </row>
    <row r="106" ht="15.0" customHeight="1">
      <c r="A106" s="83">
        <f t="shared" si="1"/>
        <v>102</v>
      </c>
      <c r="B106" s="122" t="str">
        <f t="shared" si="2"/>
        <v>ARM-0102</v>
      </c>
      <c r="C106" s="123" t="s">
        <v>984</v>
      </c>
      <c r="D106" s="83" t="s">
        <v>985</v>
      </c>
      <c r="E106" s="83" t="s">
        <v>986</v>
      </c>
      <c r="F106" s="83" t="s">
        <v>987</v>
      </c>
      <c r="G106" s="83" t="s">
        <v>193</v>
      </c>
      <c r="H106" s="73" t="s">
        <v>327</v>
      </c>
      <c r="I106" s="73">
        <v>1.0</v>
      </c>
      <c r="J106" s="73">
        <v>2.0</v>
      </c>
      <c r="K106" s="73" t="s">
        <v>194</v>
      </c>
      <c r="L106" s="73" t="s">
        <v>221</v>
      </c>
      <c r="M106" s="73">
        <f>IFERROR(VLOOKUP(L107, '4_Produk'!C:E, 2, FALSE()), "")</f>
        <v>30</v>
      </c>
      <c r="N106" s="73">
        <f>IFERROR(VLOOKUP(L107, '4_Produk'!C:E, 3, FALSE()), "")</f>
        <v>142000</v>
      </c>
      <c r="O106" s="73" t="s">
        <v>988</v>
      </c>
      <c r="P106" s="73" t="s">
        <v>989</v>
      </c>
      <c r="Q106" s="73" t="s">
        <v>990</v>
      </c>
      <c r="R106" s="73"/>
      <c r="S106" s="124">
        <v>46187.0</v>
      </c>
      <c r="T106" s="73">
        <v>120.0</v>
      </c>
      <c r="U106" s="73" t="s">
        <v>991</v>
      </c>
      <c r="V106" s="73"/>
      <c r="W106" s="114" t="s">
        <v>199</v>
      </c>
      <c r="X106" s="121"/>
      <c r="Y106" s="121"/>
      <c r="Z106" s="107" t="str">
        <f t="shared" si="3"/>
        <v>Chat WA</v>
      </c>
      <c r="AA106" s="107" t="str">
        <f t="shared" si="4"/>
        <v>Chat WA</v>
      </c>
      <c r="AB106" s="107" t="str">
        <f t="shared" si="5"/>
        <v>Kirim Invoice</v>
      </c>
      <c r="AC106" s="107" t="str">
        <f t="shared" si="6"/>
        <v>Chat WA</v>
      </c>
      <c r="AD106" s="108" t="str">
        <f>IFERROR(VLOOKUP($Q106,'12_ONT_NEW'!$D:$G,4,FALSE()),"")</f>
        <v/>
      </c>
      <c r="AE106" s="108"/>
      <c r="AF106" s="109"/>
      <c r="AG106" s="109"/>
      <c r="AH106" s="110">
        <f t="shared" si="7"/>
        <v>46217</v>
      </c>
      <c r="AI106" s="107" t="str">
        <f t="shared" si="8"/>
        <v>Kirim WA</v>
      </c>
      <c r="AJ106" s="107" t="str">
        <f t="shared" si="9"/>
        <v>Kirim WA</v>
      </c>
      <c r="AK106" s="107" t="str">
        <f t="shared" si="10"/>
        <v>Kirim WA</v>
      </c>
      <c r="AL106" s="111">
        <f t="shared" si="11"/>
        <v>75733</v>
      </c>
      <c r="AM106" s="107" t="str">
        <f t="shared" si="12"/>
        <v>Kirim Invoice</v>
      </c>
      <c r="AN106" s="89"/>
      <c r="AO106" s="89"/>
      <c r="AP106" s="112" t="str">
        <f t="shared" si="13"/>
        <v>3M_UP</v>
      </c>
      <c r="AQ106" s="89">
        <v>1521.0</v>
      </c>
      <c r="AR106" s="89"/>
      <c r="AS106" s="113"/>
      <c r="AT106" s="113"/>
    </row>
    <row r="107" ht="15.0" customHeight="1">
      <c r="A107" s="79">
        <f t="shared" si="1"/>
        <v>103</v>
      </c>
      <c r="B107" s="117" t="str">
        <f t="shared" si="2"/>
        <v>ARM-0103</v>
      </c>
      <c r="C107" s="118" t="s">
        <v>992</v>
      </c>
      <c r="D107" s="79" t="s">
        <v>993</v>
      </c>
      <c r="E107" s="79" t="s">
        <v>994</v>
      </c>
      <c r="F107" s="79" t="s">
        <v>995</v>
      </c>
      <c r="G107" s="79" t="s">
        <v>193</v>
      </c>
      <c r="H107" s="119" t="s">
        <v>327</v>
      </c>
      <c r="I107" s="119">
        <v>10.0</v>
      </c>
      <c r="J107" s="119">
        <v>4.0</v>
      </c>
      <c r="K107" s="119" t="s">
        <v>194</v>
      </c>
      <c r="L107" s="119" t="s">
        <v>212</v>
      </c>
      <c r="M107" s="119">
        <f>IFERROR(VLOOKUP(L108, '4_Produk'!C:E, 2, FALSE()), "")</f>
        <v>20</v>
      </c>
      <c r="N107" s="119">
        <f>IFERROR(VLOOKUP(L108, '4_Produk'!C:E, 3, FALSE()), "")</f>
        <v>115000</v>
      </c>
      <c r="O107" s="119" t="s">
        <v>996</v>
      </c>
      <c r="P107" s="119" t="s">
        <v>997</v>
      </c>
      <c r="Q107" s="119" t="s">
        <v>998</v>
      </c>
      <c r="R107" s="119"/>
      <c r="S107" s="120">
        <v>46188.0</v>
      </c>
      <c r="T107" s="119">
        <v>120.0</v>
      </c>
      <c r="U107" s="119" t="s">
        <v>999</v>
      </c>
      <c r="V107" s="119"/>
      <c r="W107" s="114" t="s">
        <v>199</v>
      </c>
      <c r="X107" s="121"/>
      <c r="Y107" s="121"/>
      <c r="Z107" s="107" t="str">
        <f t="shared" si="3"/>
        <v>Chat WA</v>
      </c>
      <c r="AA107" s="107" t="str">
        <f t="shared" si="4"/>
        <v>Chat WA</v>
      </c>
      <c r="AB107" s="107" t="str">
        <f t="shared" si="5"/>
        <v>Kirim Invoice</v>
      </c>
      <c r="AC107" s="107" t="str">
        <f t="shared" si="6"/>
        <v>Chat WA</v>
      </c>
      <c r="AD107" s="108" t="str">
        <f>IFERROR(VLOOKUP($Q107,'12_ONT_NEW'!$D:$G,4,FALSE()),"")</f>
        <v/>
      </c>
      <c r="AE107" s="108"/>
      <c r="AF107" s="109"/>
      <c r="AG107" s="109"/>
      <c r="AH107" s="110">
        <f t="shared" si="7"/>
        <v>46218</v>
      </c>
      <c r="AI107" s="107" t="str">
        <f t="shared" si="8"/>
        <v>Kirim WA</v>
      </c>
      <c r="AJ107" s="107" t="str">
        <f t="shared" si="9"/>
        <v>Kirim WA</v>
      </c>
      <c r="AK107" s="107" t="str">
        <f t="shared" si="10"/>
        <v>Kirim WA</v>
      </c>
      <c r="AL107" s="111">
        <f t="shared" si="11"/>
        <v>57500</v>
      </c>
      <c r="AM107" s="107" t="str">
        <f t="shared" si="12"/>
        <v>Kirim Invoice</v>
      </c>
      <c r="AN107" s="89"/>
      <c r="AO107" s="89"/>
      <c r="AP107" s="112" t="str">
        <f t="shared" si="13"/>
        <v>2M_UP</v>
      </c>
      <c r="AQ107" s="89">
        <v>1521.0</v>
      </c>
      <c r="AR107" s="89"/>
      <c r="AS107" s="113"/>
      <c r="AT107" s="113"/>
    </row>
    <row r="108" ht="15.0" customHeight="1">
      <c r="A108" s="83">
        <f t="shared" si="1"/>
        <v>104</v>
      </c>
      <c r="B108" s="122" t="str">
        <f t="shared" si="2"/>
        <v>ARM-0104</v>
      </c>
      <c r="C108" s="123" t="s">
        <v>1000</v>
      </c>
      <c r="D108" s="83" t="s">
        <v>1001</v>
      </c>
      <c r="E108" s="83" t="s">
        <v>1002</v>
      </c>
      <c r="F108" s="83" t="s">
        <v>1003</v>
      </c>
      <c r="G108" s="83" t="s">
        <v>193</v>
      </c>
      <c r="H108" s="73" t="s">
        <v>327</v>
      </c>
      <c r="I108" s="73">
        <v>10.0</v>
      </c>
      <c r="J108" s="73">
        <v>4.0</v>
      </c>
      <c r="K108" s="73" t="s">
        <v>194</v>
      </c>
      <c r="L108" s="73" t="s">
        <v>221</v>
      </c>
      <c r="M108" s="73">
        <f>IFERROR(VLOOKUP(L109, '4_Produk'!C:E, 2, FALSE()), "")</f>
        <v>30</v>
      </c>
      <c r="N108" s="73">
        <f>IFERROR(VLOOKUP(L109, '4_Produk'!C:E, 3, FALSE()), "")</f>
        <v>142000</v>
      </c>
      <c r="O108" s="73" t="s">
        <v>1004</v>
      </c>
      <c r="P108" s="73" t="s">
        <v>1005</v>
      </c>
      <c r="Q108" s="73" t="s">
        <v>1006</v>
      </c>
      <c r="R108" s="73"/>
      <c r="S108" s="124">
        <v>46188.0</v>
      </c>
      <c r="T108" s="73">
        <v>150.0</v>
      </c>
      <c r="U108" s="73" t="s">
        <v>1007</v>
      </c>
      <c r="V108" s="73"/>
      <c r="W108" s="114" t="s">
        <v>199</v>
      </c>
      <c r="X108" s="121"/>
      <c r="Y108" s="121"/>
      <c r="Z108" s="107" t="str">
        <f t="shared" si="3"/>
        <v>Chat WA</v>
      </c>
      <c r="AA108" s="107" t="str">
        <f t="shared" si="4"/>
        <v>Chat WA</v>
      </c>
      <c r="AB108" s="107" t="str">
        <f t="shared" si="5"/>
        <v>Kirim Invoice</v>
      </c>
      <c r="AC108" s="107" t="str">
        <f t="shared" si="6"/>
        <v>Chat WA</v>
      </c>
      <c r="AD108" s="108" t="str">
        <f>IFERROR(VLOOKUP($Q108,'12_ONT_NEW'!$D:$G,4,FALSE()),"")</f>
        <v/>
      </c>
      <c r="AE108" s="108"/>
      <c r="AF108" s="109"/>
      <c r="AG108" s="109"/>
      <c r="AH108" s="110">
        <f t="shared" si="7"/>
        <v>46218</v>
      </c>
      <c r="AI108" s="107" t="str">
        <f t="shared" si="8"/>
        <v>Kirim WA</v>
      </c>
      <c r="AJ108" s="107" t="str">
        <f t="shared" si="9"/>
        <v>Kirim WA</v>
      </c>
      <c r="AK108" s="107" t="str">
        <f t="shared" si="10"/>
        <v>Kirim WA</v>
      </c>
      <c r="AL108" s="111">
        <f t="shared" si="11"/>
        <v>71000</v>
      </c>
      <c r="AM108" s="107" t="str">
        <f t="shared" si="12"/>
        <v>Kirim Invoice</v>
      </c>
      <c r="AN108" s="89"/>
      <c r="AO108" s="89"/>
      <c r="AP108" s="112" t="str">
        <f t="shared" si="13"/>
        <v>3M_UP</v>
      </c>
      <c r="AQ108" s="89">
        <v>1521.0</v>
      </c>
      <c r="AR108" s="89"/>
      <c r="AS108" s="113"/>
      <c r="AT108" s="113"/>
    </row>
    <row r="109" ht="15.0" customHeight="1">
      <c r="A109" s="83">
        <f t="shared" si="1"/>
        <v>105</v>
      </c>
      <c r="B109" s="117" t="str">
        <f t="shared" si="2"/>
        <v>ARM-0105</v>
      </c>
      <c r="C109" s="118" t="s">
        <v>1008</v>
      </c>
      <c r="D109" s="79" t="s">
        <v>1009</v>
      </c>
      <c r="E109" s="79" t="s">
        <v>1010</v>
      </c>
      <c r="F109" s="79" t="s">
        <v>1011</v>
      </c>
      <c r="G109" s="79" t="s">
        <v>193</v>
      </c>
      <c r="H109" s="119" t="s">
        <v>327</v>
      </c>
      <c r="I109" s="119">
        <v>10.0</v>
      </c>
      <c r="J109" s="119">
        <v>4.0</v>
      </c>
      <c r="K109" s="119" t="s">
        <v>194</v>
      </c>
      <c r="L109" s="119" t="s">
        <v>212</v>
      </c>
      <c r="M109" s="119">
        <f>IFERROR(VLOOKUP(L110, '4_Produk'!C:E, 2, FALSE()), "")</f>
        <v>50</v>
      </c>
      <c r="N109" s="119">
        <f>IFERROR(VLOOKUP(L110, '4_Produk'!C:E, 3, FALSE()), "")</f>
        <v>182000</v>
      </c>
      <c r="O109" s="119" t="s">
        <v>1012</v>
      </c>
      <c r="P109" s="119" t="s">
        <v>1013</v>
      </c>
      <c r="Q109" s="119" t="s">
        <v>1014</v>
      </c>
      <c r="R109" s="119"/>
      <c r="S109" s="120">
        <v>46188.0</v>
      </c>
      <c r="T109" s="119">
        <v>170.0</v>
      </c>
      <c r="U109" s="119" t="s">
        <v>1015</v>
      </c>
      <c r="V109" s="119"/>
      <c r="W109" s="114" t="s">
        <v>199</v>
      </c>
      <c r="X109" s="121"/>
      <c r="Y109" s="121"/>
      <c r="Z109" s="107" t="str">
        <f t="shared" si="3"/>
        <v>Chat WA</v>
      </c>
      <c r="AA109" s="107" t="str">
        <f t="shared" si="4"/>
        <v>Chat WA</v>
      </c>
      <c r="AB109" s="107" t="str">
        <f t="shared" si="5"/>
        <v>Kirim Invoice</v>
      </c>
      <c r="AC109" s="107" t="str">
        <f t="shared" si="6"/>
        <v>Chat WA</v>
      </c>
      <c r="AD109" s="108" t="str">
        <f>IFERROR(VLOOKUP($Q109,'12_ONT_NEW'!$D:$G,4,FALSE()),"")</f>
        <v/>
      </c>
      <c r="AE109" s="108"/>
      <c r="AF109" s="109"/>
      <c r="AG109" s="109"/>
      <c r="AH109" s="110">
        <f t="shared" si="7"/>
        <v>46218</v>
      </c>
      <c r="AI109" s="107" t="str">
        <f t="shared" si="8"/>
        <v>Kirim WA</v>
      </c>
      <c r="AJ109" s="107" t="str">
        <f t="shared" si="9"/>
        <v>Kirim WA</v>
      </c>
      <c r="AK109" s="107" t="str">
        <f t="shared" si="10"/>
        <v>Kirim WA</v>
      </c>
      <c r="AL109" s="111">
        <f t="shared" si="11"/>
        <v>91000</v>
      </c>
      <c r="AM109" s="107" t="str">
        <f t="shared" si="12"/>
        <v>Kirim Invoice</v>
      </c>
      <c r="AN109" s="89"/>
      <c r="AO109" s="89"/>
      <c r="AP109" s="112" t="str">
        <f t="shared" si="13"/>
        <v>5M_UP</v>
      </c>
      <c r="AQ109" s="89">
        <v>1521.0</v>
      </c>
      <c r="AR109" s="89"/>
      <c r="AS109" s="113"/>
      <c r="AT109" s="113"/>
    </row>
    <row r="110" ht="15.0" customHeight="1">
      <c r="A110" s="79">
        <f t="shared" si="1"/>
        <v>106</v>
      </c>
      <c r="B110" s="122" t="str">
        <f t="shared" si="2"/>
        <v>ARM-0106</v>
      </c>
      <c r="C110" s="123" t="s">
        <v>1016</v>
      </c>
      <c r="D110" s="83" t="s">
        <v>1017</v>
      </c>
      <c r="E110" s="83" t="s">
        <v>1018</v>
      </c>
      <c r="F110" s="83" t="s">
        <v>1019</v>
      </c>
      <c r="G110" s="83" t="s">
        <v>193</v>
      </c>
      <c r="H110" s="73" t="s">
        <v>327</v>
      </c>
      <c r="I110" s="73">
        <v>10.0</v>
      </c>
      <c r="J110" s="73">
        <v>4.0</v>
      </c>
      <c r="K110" s="73" t="s">
        <v>194</v>
      </c>
      <c r="L110" s="73" t="s">
        <v>202</v>
      </c>
      <c r="M110" s="73">
        <f>IFERROR(VLOOKUP(L111, '4_Produk'!C:E, 2, FALSE()), "")</f>
        <v>20</v>
      </c>
      <c r="N110" s="73">
        <f>IFERROR(VLOOKUP(L111, '4_Produk'!C:E, 3, FALSE()), "")</f>
        <v>115000</v>
      </c>
      <c r="O110" s="73" t="s">
        <v>1020</v>
      </c>
      <c r="P110" s="73" t="s">
        <v>1021</v>
      </c>
      <c r="Q110" s="73" t="s">
        <v>1022</v>
      </c>
      <c r="R110" s="73"/>
      <c r="S110" s="124">
        <v>46188.0</v>
      </c>
      <c r="T110" s="73">
        <v>100.0</v>
      </c>
      <c r="U110" s="73" t="s">
        <v>1023</v>
      </c>
      <c r="V110" s="73"/>
      <c r="W110" s="114" t="s">
        <v>199</v>
      </c>
      <c r="X110" s="121"/>
      <c r="Y110" s="121"/>
      <c r="Z110" s="107" t="str">
        <f t="shared" si="3"/>
        <v>Chat WA</v>
      </c>
      <c r="AA110" s="107" t="str">
        <f t="shared" si="4"/>
        <v>Chat WA</v>
      </c>
      <c r="AB110" s="107" t="str">
        <f t="shared" si="5"/>
        <v>Kirim Invoice</v>
      </c>
      <c r="AC110" s="107" t="str">
        <f t="shared" si="6"/>
        <v>Chat WA</v>
      </c>
      <c r="AD110" s="108" t="str">
        <f>IFERROR(VLOOKUP($Q110,'12_ONT_NEW'!$D:$G,4,FALSE()),"")</f>
        <v/>
      </c>
      <c r="AE110" s="108"/>
      <c r="AF110" s="109"/>
      <c r="AG110" s="109"/>
      <c r="AH110" s="110">
        <f t="shared" si="7"/>
        <v>46218</v>
      </c>
      <c r="AI110" s="107" t="str">
        <f t="shared" si="8"/>
        <v>Kirim WA</v>
      </c>
      <c r="AJ110" s="107" t="str">
        <f t="shared" si="9"/>
        <v>Kirim WA</v>
      </c>
      <c r="AK110" s="107" t="str">
        <f t="shared" si="10"/>
        <v>Kirim WA</v>
      </c>
      <c r="AL110" s="111">
        <f t="shared" si="11"/>
        <v>57500</v>
      </c>
      <c r="AM110" s="107" t="str">
        <f t="shared" si="12"/>
        <v>Kirim Invoice</v>
      </c>
      <c r="AN110" s="89"/>
      <c r="AO110" s="89"/>
      <c r="AP110" s="112" t="str">
        <f t="shared" si="13"/>
        <v>2M_UP</v>
      </c>
      <c r="AQ110" s="89">
        <v>1521.0</v>
      </c>
      <c r="AR110" s="89"/>
      <c r="AS110" s="113"/>
      <c r="AT110" s="113"/>
    </row>
    <row r="111" ht="15.0" customHeight="1">
      <c r="A111" s="83">
        <f t="shared" si="1"/>
        <v>107</v>
      </c>
      <c r="B111" s="117" t="str">
        <f t="shared" si="2"/>
        <v>ARM-0107</v>
      </c>
      <c r="C111" s="118" t="s">
        <v>1024</v>
      </c>
      <c r="D111" s="79" t="s">
        <v>1025</v>
      </c>
      <c r="E111" s="79" t="s">
        <v>1026</v>
      </c>
      <c r="F111" s="79" t="s">
        <v>1027</v>
      </c>
      <c r="G111" s="79" t="s">
        <v>193</v>
      </c>
      <c r="H111" s="119" t="s">
        <v>327</v>
      </c>
      <c r="I111" s="119">
        <v>10.0</v>
      </c>
      <c r="J111" s="119">
        <v>1.0</v>
      </c>
      <c r="K111" s="119" t="s">
        <v>194</v>
      </c>
      <c r="L111" s="119" t="s">
        <v>221</v>
      </c>
      <c r="M111" s="119">
        <f>IFERROR(VLOOKUP(L112, '4_Produk'!C:E, 2, FALSE()), "")</f>
        <v>20</v>
      </c>
      <c r="N111" s="119">
        <f>IFERROR(VLOOKUP(L112, '4_Produk'!C:E, 3, FALSE()), "")</f>
        <v>115000</v>
      </c>
      <c r="O111" s="119" t="s">
        <v>1028</v>
      </c>
      <c r="P111" s="119" t="s">
        <v>1029</v>
      </c>
      <c r="Q111" s="119" t="s">
        <v>1030</v>
      </c>
      <c r="R111" s="119"/>
      <c r="S111" s="120">
        <v>46188.0</v>
      </c>
      <c r="T111" s="119">
        <v>60.0</v>
      </c>
      <c r="U111" s="119" t="s">
        <v>1031</v>
      </c>
      <c r="V111" s="119"/>
      <c r="W111" s="114" t="s">
        <v>199</v>
      </c>
      <c r="X111" s="121"/>
      <c r="Y111" s="121"/>
      <c r="Z111" s="107" t="str">
        <f t="shared" si="3"/>
        <v>Chat WA</v>
      </c>
      <c r="AA111" s="107" t="str">
        <f t="shared" si="4"/>
        <v>Chat WA</v>
      </c>
      <c r="AB111" s="107" t="str">
        <f t="shared" si="5"/>
        <v>Kirim Invoice</v>
      </c>
      <c r="AC111" s="107" t="str">
        <f t="shared" si="6"/>
        <v>Chat WA</v>
      </c>
      <c r="AD111" s="108" t="str">
        <f>IFERROR(VLOOKUP($Q111,'12_ONT_NEW'!$D:$G,4,FALSE()),"")</f>
        <v/>
      </c>
      <c r="AE111" s="108"/>
      <c r="AF111" s="109"/>
      <c r="AG111" s="109"/>
      <c r="AH111" s="110">
        <f t="shared" si="7"/>
        <v>46218</v>
      </c>
      <c r="AI111" s="107" t="str">
        <f t="shared" si="8"/>
        <v>Kirim WA</v>
      </c>
      <c r="AJ111" s="107" t="str">
        <f t="shared" si="9"/>
        <v>Kirim WA</v>
      </c>
      <c r="AK111" s="107" t="str">
        <f t="shared" si="10"/>
        <v>Kirim WA</v>
      </c>
      <c r="AL111" s="111">
        <f t="shared" si="11"/>
        <v>57500</v>
      </c>
      <c r="AM111" s="107" t="str">
        <f t="shared" si="12"/>
        <v>Kirim Invoice</v>
      </c>
      <c r="AN111" s="89"/>
      <c r="AO111" s="89"/>
      <c r="AP111" s="112" t="str">
        <f t="shared" si="13"/>
        <v>2M_UP</v>
      </c>
      <c r="AQ111" s="89">
        <v>1521.0</v>
      </c>
      <c r="AR111" s="89"/>
      <c r="AS111" s="113"/>
      <c r="AT111" s="113"/>
    </row>
    <row r="112" ht="15.0" customHeight="1">
      <c r="A112" s="83">
        <f t="shared" si="1"/>
        <v>108</v>
      </c>
      <c r="B112" s="122" t="str">
        <f t="shared" si="2"/>
        <v>ARM-0108</v>
      </c>
      <c r="C112" s="123" t="s">
        <v>1032</v>
      </c>
      <c r="D112" s="83" t="s">
        <v>1033</v>
      </c>
      <c r="E112" s="83" t="s">
        <v>1034</v>
      </c>
      <c r="F112" s="83" t="s">
        <v>1035</v>
      </c>
      <c r="G112" s="83" t="s">
        <v>193</v>
      </c>
      <c r="H112" s="73" t="s">
        <v>327</v>
      </c>
      <c r="I112" s="73">
        <v>9.0</v>
      </c>
      <c r="J112" s="73">
        <v>3.0</v>
      </c>
      <c r="K112" s="73" t="s">
        <v>194</v>
      </c>
      <c r="L112" s="73" t="s">
        <v>221</v>
      </c>
      <c r="M112" s="73">
        <f>IFERROR(VLOOKUP(L113, '4_Produk'!C:E, 2, FALSE()), "")</f>
        <v>20</v>
      </c>
      <c r="N112" s="73">
        <f>IFERROR(VLOOKUP(L113, '4_Produk'!C:E, 3, FALSE()), "")</f>
        <v>115000</v>
      </c>
      <c r="O112" s="73" t="s">
        <v>1036</v>
      </c>
      <c r="P112" s="73" t="s">
        <v>1037</v>
      </c>
      <c r="Q112" s="73" t="s">
        <v>1038</v>
      </c>
      <c r="R112" s="73"/>
      <c r="S112" s="124">
        <v>46189.0</v>
      </c>
      <c r="T112" s="73">
        <v>50.0</v>
      </c>
      <c r="U112" s="73" t="s">
        <v>1039</v>
      </c>
      <c r="V112" s="73"/>
      <c r="W112" s="114" t="s">
        <v>199</v>
      </c>
      <c r="X112" s="121"/>
      <c r="Y112" s="121"/>
      <c r="Z112" s="107" t="str">
        <f t="shared" si="3"/>
        <v>Chat WA</v>
      </c>
      <c r="AA112" s="107" t="str">
        <f t="shared" si="4"/>
        <v>Chat WA</v>
      </c>
      <c r="AB112" s="107" t="str">
        <f t="shared" si="5"/>
        <v>Kirim Invoice</v>
      </c>
      <c r="AC112" s="107" t="str">
        <f t="shared" si="6"/>
        <v>Chat WA</v>
      </c>
      <c r="AD112" s="108" t="str">
        <f>IFERROR(VLOOKUP($Q112,'12_ONT_NEW'!$D:$G,4,FALSE()),"")</f>
        <v/>
      </c>
      <c r="AE112" s="108"/>
      <c r="AF112" s="109"/>
      <c r="AG112" s="109"/>
      <c r="AH112" s="110">
        <f t="shared" si="7"/>
        <v>46219</v>
      </c>
      <c r="AI112" s="107" t="str">
        <f t="shared" si="8"/>
        <v>Kirim WA</v>
      </c>
      <c r="AJ112" s="107" t="str">
        <f t="shared" si="9"/>
        <v>Kirim WA</v>
      </c>
      <c r="AK112" s="107" t="str">
        <f t="shared" si="10"/>
        <v>Kirim WA</v>
      </c>
      <c r="AL112" s="111">
        <f t="shared" si="11"/>
        <v>53667</v>
      </c>
      <c r="AM112" s="107" t="str">
        <f t="shared" si="12"/>
        <v>Kirim Invoice</v>
      </c>
      <c r="AN112" s="89"/>
      <c r="AO112" s="89"/>
      <c r="AP112" s="112" t="str">
        <f t="shared" si="13"/>
        <v>2M_UP</v>
      </c>
      <c r="AQ112" s="89">
        <v>1521.0</v>
      </c>
      <c r="AR112" s="89"/>
      <c r="AS112" s="113"/>
      <c r="AT112" s="113"/>
    </row>
    <row r="113" ht="15.0" customHeight="1">
      <c r="A113" s="79">
        <f t="shared" si="1"/>
        <v>109</v>
      </c>
      <c r="B113" s="117" t="str">
        <f t="shared" si="2"/>
        <v>ARM-0109</v>
      </c>
      <c r="C113" s="118" t="s">
        <v>1040</v>
      </c>
      <c r="D113" s="79" t="s">
        <v>1041</v>
      </c>
      <c r="E113" s="79" t="s">
        <v>1042</v>
      </c>
      <c r="F113" s="79" t="s">
        <v>1043</v>
      </c>
      <c r="G113" s="79" t="s">
        <v>193</v>
      </c>
      <c r="H113" s="119" t="s">
        <v>327</v>
      </c>
      <c r="I113" s="119">
        <v>9.0</v>
      </c>
      <c r="J113" s="119">
        <v>3.0</v>
      </c>
      <c r="K113" s="119" t="s">
        <v>194</v>
      </c>
      <c r="L113" s="119" t="s">
        <v>221</v>
      </c>
      <c r="M113" s="119">
        <f>IFERROR(VLOOKUP(L114, '4_Produk'!C:E, 2, FALSE()), "")</f>
        <v>20</v>
      </c>
      <c r="N113" s="119">
        <f>IFERROR(VLOOKUP(L114, '4_Produk'!C:E, 3, FALSE()), "")</f>
        <v>115000</v>
      </c>
      <c r="O113" s="119" t="s">
        <v>1044</v>
      </c>
      <c r="P113" s="119" t="s">
        <v>1045</v>
      </c>
      <c r="Q113" s="119" t="s">
        <v>1046</v>
      </c>
      <c r="R113" s="119"/>
      <c r="S113" s="120">
        <v>46189.0</v>
      </c>
      <c r="T113" s="119">
        <v>50.0</v>
      </c>
      <c r="U113" s="119" t="s">
        <v>1047</v>
      </c>
      <c r="V113" s="119"/>
      <c r="W113" s="114" t="s">
        <v>199</v>
      </c>
      <c r="X113" s="121"/>
      <c r="Y113" s="121"/>
      <c r="Z113" s="107" t="str">
        <f t="shared" si="3"/>
        <v>Chat WA</v>
      </c>
      <c r="AA113" s="107" t="str">
        <f t="shared" si="4"/>
        <v>Chat WA</v>
      </c>
      <c r="AB113" s="107" t="str">
        <f t="shared" si="5"/>
        <v>Kirim Invoice</v>
      </c>
      <c r="AC113" s="107" t="str">
        <f t="shared" si="6"/>
        <v>Chat WA</v>
      </c>
      <c r="AD113" s="108" t="str">
        <f>IFERROR(VLOOKUP($Q113,'12_ONT_NEW'!$D:$G,4,FALSE()),"")</f>
        <v/>
      </c>
      <c r="AE113" s="108"/>
      <c r="AF113" s="109"/>
      <c r="AG113" s="109"/>
      <c r="AH113" s="110">
        <f t="shared" si="7"/>
        <v>46219</v>
      </c>
      <c r="AI113" s="107" t="str">
        <f t="shared" si="8"/>
        <v>Kirim WA</v>
      </c>
      <c r="AJ113" s="107" t="str">
        <f t="shared" si="9"/>
        <v>Kirim WA</v>
      </c>
      <c r="AK113" s="107" t="str">
        <f t="shared" si="10"/>
        <v>Kirim WA</v>
      </c>
      <c r="AL113" s="111">
        <f t="shared" si="11"/>
        <v>53667</v>
      </c>
      <c r="AM113" s="107" t="str">
        <f t="shared" si="12"/>
        <v>Kirim Invoice</v>
      </c>
      <c r="AN113" s="89"/>
      <c r="AO113" s="89"/>
      <c r="AP113" s="112" t="str">
        <f t="shared" si="13"/>
        <v>2M_UP</v>
      </c>
      <c r="AQ113" s="89">
        <v>1521.0</v>
      </c>
      <c r="AR113" s="89"/>
      <c r="AS113" s="113"/>
      <c r="AT113" s="113"/>
    </row>
    <row r="114" ht="15.0" customHeight="1">
      <c r="A114" s="83">
        <f t="shared" si="1"/>
        <v>110</v>
      </c>
      <c r="B114" s="122" t="str">
        <f t="shared" si="2"/>
        <v>ARM-0110</v>
      </c>
      <c r="C114" s="123" t="s">
        <v>1048</v>
      </c>
      <c r="D114" s="83" t="s">
        <v>1049</v>
      </c>
      <c r="E114" s="83"/>
      <c r="F114" s="83" t="s">
        <v>235</v>
      </c>
      <c r="G114" s="83" t="s">
        <v>193</v>
      </c>
      <c r="H114" s="73" t="s">
        <v>327</v>
      </c>
      <c r="I114" s="73">
        <v>4.0</v>
      </c>
      <c r="J114" s="73">
        <v>2.0</v>
      </c>
      <c r="K114" s="73" t="s">
        <v>194</v>
      </c>
      <c r="L114" s="73" t="s">
        <v>221</v>
      </c>
      <c r="M114" s="73">
        <f>IFERROR(VLOOKUP(L115, '4_Produk'!C:E, 2, FALSE()), "")</f>
        <v>30</v>
      </c>
      <c r="N114" s="73">
        <f>IFERROR(VLOOKUP(L115, '4_Produk'!C:E, 3, FALSE()), "")</f>
        <v>142000</v>
      </c>
      <c r="O114" s="73" t="s">
        <v>1050</v>
      </c>
      <c r="P114" s="73" t="s">
        <v>1051</v>
      </c>
      <c r="Q114" s="73" t="s">
        <v>1052</v>
      </c>
      <c r="R114" s="73"/>
      <c r="S114" s="124">
        <v>46189.0</v>
      </c>
      <c r="T114" s="73">
        <v>80.0</v>
      </c>
      <c r="U114" s="73" t="s">
        <v>959</v>
      </c>
      <c r="V114" s="73"/>
      <c r="W114" s="114" t="s">
        <v>199</v>
      </c>
      <c r="X114" s="121"/>
      <c r="Y114" s="121"/>
      <c r="Z114" s="107" t="str">
        <f t="shared" si="3"/>
        <v>Chat WA</v>
      </c>
      <c r="AA114" s="107" t="str">
        <f t="shared" si="4"/>
        <v>Chat WA</v>
      </c>
      <c r="AB114" s="107" t="str">
        <f t="shared" si="5"/>
        <v>Kirim Invoice</v>
      </c>
      <c r="AC114" s="107" t="str">
        <f t="shared" si="6"/>
        <v>Chat WA</v>
      </c>
      <c r="AD114" s="108" t="str">
        <f>IFERROR(VLOOKUP($Q114,'12_ONT_NEW'!$D:$G,4,FALSE()),"")</f>
        <v/>
      </c>
      <c r="AE114" s="108"/>
      <c r="AF114" s="109"/>
      <c r="AG114" s="109"/>
      <c r="AH114" s="110">
        <f t="shared" si="7"/>
        <v>46219</v>
      </c>
      <c r="AI114" s="107" t="str">
        <f t="shared" si="8"/>
        <v>Kirim WA</v>
      </c>
      <c r="AJ114" s="107" t="str">
        <f t="shared" si="9"/>
        <v>Kirim WA</v>
      </c>
      <c r="AK114" s="107" t="str">
        <f t="shared" si="10"/>
        <v>Kirim WA</v>
      </c>
      <c r="AL114" s="111">
        <f t="shared" si="11"/>
        <v>66267</v>
      </c>
      <c r="AM114" s="107" t="str">
        <f t="shared" si="12"/>
        <v>Kirim Invoice</v>
      </c>
      <c r="AN114" s="89"/>
      <c r="AO114" s="89"/>
      <c r="AP114" s="112" t="str">
        <f t="shared" si="13"/>
        <v>3M_UP</v>
      </c>
      <c r="AQ114" s="89">
        <v>1521.0</v>
      </c>
      <c r="AR114" s="89"/>
      <c r="AS114" s="113"/>
      <c r="AT114" s="113"/>
    </row>
    <row r="115" ht="15.0" customHeight="1">
      <c r="A115" s="83">
        <f t="shared" si="1"/>
        <v>111</v>
      </c>
      <c r="B115" s="117" t="str">
        <f t="shared" si="2"/>
        <v>ARM-0111</v>
      </c>
      <c r="C115" s="118" t="s">
        <v>1053</v>
      </c>
      <c r="D115" s="79" t="s">
        <v>1054</v>
      </c>
      <c r="E115" s="79" t="s">
        <v>1055</v>
      </c>
      <c r="F115" s="79" t="s">
        <v>1056</v>
      </c>
      <c r="G115" s="79" t="s">
        <v>193</v>
      </c>
      <c r="H115" s="119" t="s">
        <v>327</v>
      </c>
      <c r="I115" s="119">
        <v>4.0</v>
      </c>
      <c r="J115" s="119">
        <v>2.0</v>
      </c>
      <c r="K115" s="119" t="s">
        <v>194</v>
      </c>
      <c r="L115" s="119" t="s">
        <v>212</v>
      </c>
      <c r="M115" s="119">
        <f>IFERROR(VLOOKUP(L116, '4_Produk'!C:E, 2, FALSE()), "")</f>
        <v>20</v>
      </c>
      <c r="N115" s="119">
        <f>IFERROR(VLOOKUP(L116, '4_Produk'!C:E, 3, FALSE()), "")</f>
        <v>115000</v>
      </c>
      <c r="O115" s="119" t="s">
        <v>1057</v>
      </c>
      <c r="P115" s="119" t="s">
        <v>1058</v>
      </c>
      <c r="Q115" s="119" t="s">
        <v>1059</v>
      </c>
      <c r="R115" s="119"/>
      <c r="S115" s="120">
        <v>46189.0</v>
      </c>
      <c r="T115" s="119">
        <v>100.0</v>
      </c>
      <c r="U115" s="119" t="s">
        <v>1060</v>
      </c>
      <c r="V115" s="119"/>
      <c r="W115" s="114" t="s">
        <v>199</v>
      </c>
      <c r="X115" s="121"/>
      <c r="Y115" s="121"/>
      <c r="Z115" s="107" t="str">
        <f t="shared" si="3"/>
        <v>Chat WA</v>
      </c>
      <c r="AA115" s="107" t="str">
        <f t="shared" si="4"/>
        <v>Chat WA</v>
      </c>
      <c r="AB115" s="107" t="str">
        <f t="shared" si="5"/>
        <v>Kirim Invoice</v>
      </c>
      <c r="AC115" s="107" t="str">
        <f t="shared" si="6"/>
        <v>Chat WA</v>
      </c>
      <c r="AD115" s="108" t="str">
        <f>IFERROR(VLOOKUP($Q115,'12_ONT_NEW'!$D:$G,4,FALSE()),"")</f>
        <v/>
      </c>
      <c r="AE115" s="108"/>
      <c r="AF115" s="109"/>
      <c r="AG115" s="109"/>
      <c r="AH115" s="110">
        <f t="shared" si="7"/>
        <v>46219</v>
      </c>
      <c r="AI115" s="107" t="str">
        <f t="shared" si="8"/>
        <v>Kirim WA</v>
      </c>
      <c r="AJ115" s="107" t="str">
        <f t="shared" si="9"/>
        <v>Kirim WA</v>
      </c>
      <c r="AK115" s="107" t="str">
        <f t="shared" si="10"/>
        <v>Kirim WA</v>
      </c>
      <c r="AL115" s="111">
        <f t="shared" si="11"/>
        <v>53667</v>
      </c>
      <c r="AM115" s="107" t="str">
        <f t="shared" si="12"/>
        <v>Kirim Invoice</v>
      </c>
      <c r="AN115" s="89"/>
      <c r="AO115" s="89"/>
      <c r="AP115" s="112" t="str">
        <f t="shared" si="13"/>
        <v>2M_UP</v>
      </c>
      <c r="AQ115" s="89">
        <v>1521.0</v>
      </c>
      <c r="AR115" s="89"/>
      <c r="AS115" s="113"/>
      <c r="AT115" s="113"/>
    </row>
    <row r="116" ht="15.0" customHeight="1">
      <c r="A116" s="79">
        <f t="shared" si="1"/>
        <v>112</v>
      </c>
      <c r="B116" s="122" t="str">
        <f t="shared" si="2"/>
        <v>ARM-0112</v>
      </c>
      <c r="C116" s="123" t="s">
        <v>1061</v>
      </c>
      <c r="D116" s="83" t="s">
        <v>1062</v>
      </c>
      <c r="E116" s="83" t="s">
        <v>1063</v>
      </c>
      <c r="F116" s="83" t="s">
        <v>1064</v>
      </c>
      <c r="G116" s="83" t="s">
        <v>193</v>
      </c>
      <c r="H116" s="73" t="s">
        <v>327</v>
      </c>
      <c r="I116" s="73">
        <v>2.0</v>
      </c>
      <c r="J116" s="73">
        <v>3.0</v>
      </c>
      <c r="K116" s="73" t="s">
        <v>194</v>
      </c>
      <c r="L116" s="73" t="s">
        <v>221</v>
      </c>
      <c r="M116" s="73">
        <f>IFERROR(VLOOKUP(L117, '4_Produk'!C:E, 2, FALSE()), "")</f>
        <v>20</v>
      </c>
      <c r="N116" s="73">
        <f>IFERROR(VLOOKUP(L117, '4_Produk'!C:E, 3, FALSE()), "")</f>
        <v>115000</v>
      </c>
      <c r="O116" s="73" t="s">
        <v>1065</v>
      </c>
      <c r="P116" s="73" t="s">
        <v>1066</v>
      </c>
      <c r="Q116" s="73" t="s">
        <v>1067</v>
      </c>
      <c r="R116" s="73"/>
      <c r="S116" s="124">
        <v>46189.0</v>
      </c>
      <c r="T116" s="73">
        <v>70.0</v>
      </c>
      <c r="U116" s="73" t="s">
        <v>1068</v>
      </c>
      <c r="V116" s="73"/>
      <c r="W116" s="114" t="s">
        <v>199</v>
      </c>
      <c r="X116" s="121"/>
      <c r="Y116" s="121"/>
      <c r="Z116" s="107" t="str">
        <f t="shared" si="3"/>
        <v>Chat WA</v>
      </c>
      <c r="AA116" s="107" t="str">
        <f t="shared" si="4"/>
        <v>Chat WA</v>
      </c>
      <c r="AB116" s="107" t="str">
        <f t="shared" si="5"/>
        <v>Kirim Invoice</v>
      </c>
      <c r="AC116" s="107" t="str">
        <f t="shared" si="6"/>
        <v>Chat WA</v>
      </c>
      <c r="AD116" s="108" t="str">
        <f>IFERROR(VLOOKUP($Q116,'12_ONT_NEW'!$D:$G,4,FALSE()),"")</f>
        <v/>
      </c>
      <c r="AE116" s="108"/>
      <c r="AF116" s="109"/>
      <c r="AG116" s="109"/>
      <c r="AH116" s="110">
        <f t="shared" si="7"/>
        <v>46219</v>
      </c>
      <c r="AI116" s="107" t="str">
        <f t="shared" si="8"/>
        <v>Kirim WA</v>
      </c>
      <c r="AJ116" s="107" t="str">
        <f t="shared" si="9"/>
        <v>Kirim WA</v>
      </c>
      <c r="AK116" s="107" t="str">
        <f t="shared" si="10"/>
        <v>Kirim WA</v>
      </c>
      <c r="AL116" s="111">
        <f t="shared" si="11"/>
        <v>53667</v>
      </c>
      <c r="AM116" s="107" t="str">
        <f t="shared" si="12"/>
        <v>Kirim Invoice</v>
      </c>
      <c r="AN116" s="89"/>
      <c r="AO116" s="89"/>
      <c r="AP116" s="112" t="str">
        <f t="shared" si="13"/>
        <v>2M_UP</v>
      </c>
      <c r="AQ116" s="89">
        <v>1521.0</v>
      </c>
      <c r="AR116" s="89"/>
      <c r="AS116" s="113"/>
      <c r="AT116" s="113"/>
    </row>
    <row r="117" ht="15.0" customHeight="1">
      <c r="A117" s="83">
        <f t="shared" si="1"/>
        <v>113</v>
      </c>
      <c r="B117" s="117" t="str">
        <f t="shared" si="2"/>
        <v>ARM-0113</v>
      </c>
      <c r="C117" s="118" t="s">
        <v>1069</v>
      </c>
      <c r="D117" s="79" t="s">
        <v>1070</v>
      </c>
      <c r="E117" s="79" t="s">
        <v>1071</v>
      </c>
      <c r="F117" s="79" t="s">
        <v>1072</v>
      </c>
      <c r="G117" s="79" t="s">
        <v>193</v>
      </c>
      <c r="H117" s="119" t="s">
        <v>327</v>
      </c>
      <c r="I117" s="119">
        <v>5.0</v>
      </c>
      <c r="J117" s="119">
        <v>4.0</v>
      </c>
      <c r="K117" s="119" t="s">
        <v>194</v>
      </c>
      <c r="L117" s="119" t="s">
        <v>221</v>
      </c>
      <c r="M117" s="119">
        <f>IFERROR(VLOOKUP(L118, '4_Produk'!C:E, 2, FALSE()), "")</f>
        <v>20</v>
      </c>
      <c r="N117" s="119">
        <f>IFERROR(VLOOKUP(L118, '4_Produk'!C:E, 3, FALSE()), "")</f>
        <v>115000</v>
      </c>
      <c r="O117" s="119" t="s">
        <v>1073</v>
      </c>
      <c r="P117" s="119" t="s">
        <v>1074</v>
      </c>
      <c r="Q117" s="119" t="s">
        <v>1075</v>
      </c>
      <c r="R117" s="119"/>
      <c r="S117" s="120">
        <v>46189.0</v>
      </c>
      <c r="T117" s="119">
        <v>50.0</v>
      </c>
      <c r="U117" s="119" t="s">
        <v>1047</v>
      </c>
      <c r="V117" s="119"/>
      <c r="W117" s="114" t="s">
        <v>199</v>
      </c>
      <c r="X117" s="121"/>
      <c r="Y117" s="121"/>
      <c r="Z117" s="107" t="str">
        <f t="shared" si="3"/>
        <v>Chat WA</v>
      </c>
      <c r="AA117" s="107" t="str">
        <f t="shared" si="4"/>
        <v>Chat WA</v>
      </c>
      <c r="AB117" s="107" t="str">
        <f t="shared" si="5"/>
        <v>Kirim Invoice</v>
      </c>
      <c r="AC117" s="107" t="str">
        <f t="shared" si="6"/>
        <v>Chat WA</v>
      </c>
      <c r="AD117" s="108" t="str">
        <f>IFERROR(VLOOKUP($Q117,'12_ONT_NEW'!$D:$G,4,FALSE()),"")</f>
        <v/>
      </c>
      <c r="AE117" s="108"/>
      <c r="AF117" s="109"/>
      <c r="AG117" s="109"/>
      <c r="AH117" s="110">
        <f t="shared" si="7"/>
        <v>46219</v>
      </c>
      <c r="AI117" s="107" t="str">
        <f t="shared" si="8"/>
        <v>Kirim WA</v>
      </c>
      <c r="AJ117" s="107" t="str">
        <f t="shared" si="9"/>
        <v>Kirim WA</v>
      </c>
      <c r="AK117" s="107" t="str">
        <f t="shared" si="10"/>
        <v>Kirim WA</v>
      </c>
      <c r="AL117" s="111">
        <f t="shared" si="11"/>
        <v>53667</v>
      </c>
      <c r="AM117" s="107" t="str">
        <f t="shared" si="12"/>
        <v>Kirim Invoice</v>
      </c>
      <c r="AN117" s="89"/>
      <c r="AO117" s="89"/>
      <c r="AP117" s="112" t="str">
        <f t="shared" si="13"/>
        <v>2M_UP</v>
      </c>
      <c r="AQ117" s="89">
        <v>1521.0</v>
      </c>
      <c r="AR117" s="89"/>
      <c r="AS117" s="113"/>
      <c r="AT117" s="113"/>
    </row>
    <row r="118" ht="15.0" customHeight="1">
      <c r="A118" s="83">
        <f t="shared" si="1"/>
        <v>114</v>
      </c>
      <c r="B118" s="122" t="str">
        <f t="shared" si="2"/>
        <v>ARM-0114</v>
      </c>
      <c r="C118" s="123" t="s">
        <v>1076</v>
      </c>
      <c r="D118" s="83" t="s">
        <v>1077</v>
      </c>
      <c r="E118" s="83" t="s">
        <v>1078</v>
      </c>
      <c r="F118" s="83" t="s">
        <v>1079</v>
      </c>
      <c r="G118" s="83" t="s">
        <v>193</v>
      </c>
      <c r="H118" s="73" t="s">
        <v>327</v>
      </c>
      <c r="I118" s="73">
        <v>9.0</v>
      </c>
      <c r="J118" s="73">
        <v>5.0</v>
      </c>
      <c r="K118" s="73" t="s">
        <v>194</v>
      </c>
      <c r="L118" s="73" t="s">
        <v>221</v>
      </c>
      <c r="M118" s="73">
        <f>IFERROR(VLOOKUP(L119, '4_Produk'!C:E, 2, FALSE()), "")</f>
        <v>20</v>
      </c>
      <c r="N118" s="73">
        <f>IFERROR(VLOOKUP(L119, '4_Produk'!C:E, 3, FALSE()), "")</f>
        <v>115000</v>
      </c>
      <c r="O118" s="73" t="s">
        <v>1080</v>
      </c>
      <c r="P118" s="73" t="s">
        <v>1081</v>
      </c>
      <c r="Q118" s="73" t="s">
        <v>1082</v>
      </c>
      <c r="R118" s="73"/>
      <c r="S118" s="124">
        <v>46189.0</v>
      </c>
      <c r="T118" s="73">
        <v>50.0</v>
      </c>
      <c r="U118" s="73" t="s">
        <v>1083</v>
      </c>
      <c r="V118" s="73"/>
      <c r="W118" s="114" t="s">
        <v>199</v>
      </c>
      <c r="X118" s="121"/>
      <c r="Y118" s="121"/>
      <c r="Z118" s="107" t="str">
        <f t="shared" si="3"/>
        <v>Chat WA</v>
      </c>
      <c r="AA118" s="107" t="str">
        <f t="shared" si="4"/>
        <v>Chat WA</v>
      </c>
      <c r="AB118" s="107" t="str">
        <f t="shared" si="5"/>
        <v>Kirim Invoice</v>
      </c>
      <c r="AC118" s="107" t="str">
        <f t="shared" si="6"/>
        <v>Chat WA</v>
      </c>
      <c r="AD118" s="108" t="str">
        <f>IFERROR(VLOOKUP($Q118,'12_ONT_NEW'!$D:$G,4,FALSE()),"")</f>
        <v/>
      </c>
      <c r="AE118" s="108"/>
      <c r="AF118" s="109"/>
      <c r="AG118" s="109"/>
      <c r="AH118" s="110">
        <f t="shared" si="7"/>
        <v>46219</v>
      </c>
      <c r="AI118" s="107" t="str">
        <f t="shared" si="8"/>
        <v>Kirim WA</v>
      </c>
      <c r="AJ118" s="107" t="str">
        <f t="shared" si="9"/>
        <v>Kirim WA</v>
      </c>
      <c r="AK118" s="107" t="str">
        <f t="shared" si="10"/>
        <v>Kirim WA</v>
      </c>
      <c r="AL118" s="111">
        <f t="shared" si="11"/>
        <v>53667</v>
      </c>
      <c r="AM118" s="107" t="str">
        <f t="shared" si="12"/>
        <v>Kirim Invoice</v>
      </c>
      <c r="AN118" s="89"/>
      <c r="AO118" s="89"/>
      <c r="AP118" s="112" t="str">
        <f t="shared" si="13"/>
        <v>2M_UP</v>
      </c>
      <c r="AQ118" s="89">
        <v>1521.0</v>
      </c>
      <c r="AR118" s="89"/>
      <c r="AS118" s="113"/>
      <c r="AT118" s="113"/>
    </row>
    <row r="119" ht="15.0" customHeight="1">
      <c r="A119" s="79">
        <f t="shared" si="1"/>
        <v>115</v>
      </c>
      <c r="B119" s="117" t="str">
        <f t="shared" si="2"/>
        <v>ARM-0115</v>
      </c>
      <c r="C119" s="118" t="s">
        <v>1084</v>
      </c>
      <c r="D119" s="79" t="s">
        <v>1085</v>
      </c>
      <c r="E119" s="79" t="s">
        <v>1086</v>
      </c>
      <c r="F119" s="79" t="s">
        <v>1087</v>
      </c>
      <c r="G119" s="79" t="s">
        <v>193</v>
      </c>
      <c r="H119" s="119" t="s">
        <v>327</v>
      </c>
      <c r="I119" s="119">
        <v>4.0</v>
      </c>
      <c r="J119" s="119">
        <v>2.0</v>
      </c>
      <c r="K119" s="119" t="s">
        <v>194</v>
      </c>
      <c r="L119" s="119" t="s">
        <v>221</v>
      </c>
      <c r="M119" s="119">
        <f>IFERROR(VLOOKUP(L120, '4_Produk'!C:E, 2, FALSE()), "")</f>
        <v>20</v>
      </c>
      <c r="N119" s="119">
        <f>IFERROR(VLOOKUP(L120, '4_Produk'!C:E, 3, FALSE()), "")</f>
        <v>115000</v>
      </c>
      <c r="O119" s="119" t="s">
        <v>1088</v>
      </c>
      <c r="P119" s="119" t="s">
        <v>1089</v>
      </c>
      <c r="Q119" s="119" t="s">
        <v>1090</v>
      </c>
      <c r="R119" s="119"/>
      <c r="S119" s="120">
        <v>46190.0</v>
      </c>
      <c r="T119" s="119">
        <v>50.0</v>
      </c>
      <c r="U119" s="119" t="s">
        <v>1091</v>
      </c>
      <c r="V119" s="119"/>
      <c r="W119" s="114" t="s">
        <v>199</v>
      </c>
      <c r="X119" s="121"/>
      <c r="Y119" s="121"/>
      <c r="Z119" s="107" t="str">
        <f t="shared" si="3"/>
        <v>Chat WA</v>
      </c>
      <c r="AA119" s="107" t="str">
        <f t="shared" si="4"/>
        <v>Chat WA</v>
      </c>
      <c r="AB119" s="107" t="str">
        <f t="shared" si="5"/>
        <v>Kirim Invoice</v>
      </c>
      <c r="AC119" s="107" t="str">
        <f t="shared" si="6"/>
        <v>Chat WA</v>
      </c>
      <c r="AD119" s="108" t="str">
        <f>IFERROR(VLOOKUP($Q119,'12_ONT_NEW'!$D:$G,4,FALSE()),"")</f>
        <v/>
      </c>
      <c r="AE119" s="108"/>
      <c r="AF119" s="109"/>
      <c r="AG119" s="109"/>
      <c r="AH119" s="110">
        <f t="shared" si="7"/>
        <v>46220</v>
      </c>
      <c r="AI119" s="107" t="str">
        <f t="shared" si="8"/>
        <v>Kirim WA</v>
      </c>
      <c r="AJ119" s="107" t="str">
        <f t="shared" si="9"/>
        <v>Kirim WA</v>
      </c>
      <c r="AK119" s="107" t="str">
        <f t="shared" si="10"/>
        <v>Kirim WA</v>
      </c>
      <c r="AL119" s="111">
        <f t="shared" si="11"/>
        <v>49833</v>
      </c>
      <c r="AM119" s="107" t="str">
        <f t="shared" si="12"/>
        <v>Kirim Invoice</v>
      </c>
      <c r="AN119" s="89"/>
      <c r="AO119" s="89"/>
      <c r="AP119" s="112" t="str">
        <f t="shared" si="13"/>
        <v>2M_UP</v>
      </c>
      <c r="AQ119" s="89">
        <v>1521.0</v>
      </c>
      <c r="AR119" s="89"/>
      <c r="AS119" s="113"/>
      <c r="AT119" s="113"/>
    </row>
    <row r="120" ht="15.0" customHeight="1">
      <c r="A120" s="83">
        <f t="shared" si="1"/>
        <v>116</v>
      </c>
      <c r="B120" s="122" t="str">
        <f t="shared" si="2"/>
        <v>ARM-0116</v>
      </c>
      <c r="C120" s="123" t="s">
        <v>1092</v>
      </c>
      <c r="D120" s="83" t="s">
        <v>1093</v>
      </c>
      <c r="E120" s="83" t="s">
        <v>1094</v>
      </c>
      <c r="F120" s="83" t="s">
        <v>1095</v>
      </c>
      <c r="G120" s="83" t="s">
        <v>193</v>
      </c>
      <c r="H120" s="73" t="s">
        <v>327</v>
      </c>
      <c r="I120" s="73">
        <v>4.0</v>
      </c>
      <c r="J120" s="73">
        <v>2.0</v>
      </c>
      <c r="K120" s="73" t="s">
        <v>194</v>
      </c>
      <c r="L120" s="73" t="s">
        <v>221</v>
      </c>
      <c r="M120" s="73">
        <f>IFERROR(VLOOKUP(L121, '4_Produk'!C:E, 2, FALSE()), "")</f>
        <v>20</v>
      </c>
      <c r="N120" s="73">
        <f>IFERROR(VLOOKUP(L121, '4_Produk'!C:E, 3, FALSE()), "")</f>
        <v>115000</v>
      </c>
      <c r="O120" s="73" t="s">
        <v>1096</v>
      </c>
      <c r="P120" s="73" t="s">
        <v>1097</v>
      </c>
      <c r="Q120" s="73" t="s">
        <v>1098</v>
      </c>
      <c r="R120" s="73"/>
      <c r="S120" s="124">
        <v>46190.0</v>
      </c>
      <c r="T120" s="73">
        <v>50.0</v>
      </c>
      <c r="U120" s="73" t="s">
        <v>1099</v>
      </c>
      <c r="V120" s="73"/>
      <c r="W120" s="114" t="s">
        <v>199</v>
      </c>
      <c r="X120" s="121"/>
      <c r="Y120" s="121"/>
      <c r="Z120" s="107" t="str">
        <f t="shared" si="3"/>
        <v>Chat WA</v>
      </c>
      <c r="AA120" s="107" t="str">
        <f t="shared" si="4"/>
        <v>Chat WA</v>
      </c>
      <c r="AB120" s="107" t="str">
        <f t="shared" si="5"/>
        <v>Kirim Invoice</v>
      </c>
      <c r="AC120" s="107" t="str">
        <f t="shared" si="6"/>
        <v>Chat WA</v>
      </c>
      <c r="AD120" s="108" t="str">
        <f>IFERROR(VLOOKUP($Q120,'12_ONT_NEW'!$D:$G,4,FALSE()),"")</f>
        <v/>
      </c>
      <c r="AE120" s="108"/>
      <c r="AF120" s="109"/>
      <c r="AG120" s="109"/>
      <c r="AH120" s="110">
        <f t="shared" si="7"/>
        <v>46220</v>
      </c>
      <c r="AI120" s="107" t="str">
        <f t="shared" si="8"/>
        <v>Kirim WA</v>
      </c>
      <c r="AJ120" s="107" t="str">
        <f t="shared" si="9"/>
        <v>Kirim WA</v>
      </c>
      <c r="AK120" s="107" t="str">
        <f t="shared" si="10"/>
        <v>Kirim WA</v>
      </c>
      <c r="AL120" s="111">
        <f t="shared" si="11"/>
        <v>49833</v>
      </c>
      <c r="AM120" s="107" t="str">
        <f t="shared" si="12"/>
        <v>Kirim Invoice</v>
      </c>
      <c r="AN120" s="89"/>
      <c r="AO120" s="89"/>
      <c r="AP120" s="112" t="str">
        <f t="shared" si="13"/>
        <v>2M_UP</v>
      </c>
      <c r="AQ120" s="89">
        <v>1521.0</v>
      </c>
      <c r="AR120" s="89"/>
      <c r="AS120" s="113"/>
      <c r="AT120" s="113"/>
    </row>
    <row r="121" ht="15.0" customHeight="1">
      <c r="A121" s="83">
        <f t="shared" si="1"/>
        <v>117</v>
      </c>
      <c r="B121" s="117" t="str">
        <f t="shared" si="2"/>
        <v>ARM-0117</v>
      </c>
      <c r="C121" s="118" t="s">
        <v>1100</v>
      </c>
      <c r="D121" s="79" t="s">
        <v>1101</v>
      </c>
      <c r="E121" s="79" t="s">
        <v>1102</v>
      </c>
      <c r="F121" s="79" t="s">
        <v>1103</v>
      </c>
      <c r="G121" s="79" t="s">
        <v>193</v>
      </c>
      <c r="H121" s="119" t="s">
        <v>1104</v>
      </c>
      <c r="I121" s="119">
        <v>4.0</v>
      </c>
      <c r="J121" s="119">
        <v>1.0</v>
      </c>
      <c r="K121" s="119" t="s">
        <v>194</v>
      </c>
      <c r="L121" s="119" t="s">
        <v>221</v>
      </c>
      <c r="M121" s="119">
        <f>IFERROR(VLOOKUP(L122, '4_Produk'!C:E, 2, FALSE()), "")</f>
        <v>20</v>
      </c>
      <c r="N121" s="119">
        <f>IFERROR(VLOOKUP(L122, '4_Produk'!C:E, 3, FALSE()), "")</f>
        <v>115000</v>
      </c>
      <c r="O121" s="119" t="s">
        <v>1105</v>
      </c>
      <c r="P121" s="119" t="s">
        <v>1106</v>
      </c>
      <c r="Q121" s="119" t="s">
        <v>1107</v>
      </c>
      <c r="R121" s="119"/>
      <c r="S121" s="120">
        <v>46190.0</v>
      </c>
      <c r="T121" s="119">
        <v>150.0</v>
      </c>
      <c r="U121" s="119" t="s">
        <v>1108</v>
      </c>
      <c r="V121" s="119"/>
      <c r="W121" s="114" t="s">
        <v>199</v>
      </c>
      <c r="X121" s="121"/>
      <c r="Y121" s="121"/>
      <c r="Z121" s="107" t="str">
        <f t="shared" si="3"/>
        <v>Chat WA</v>
      </c>
      <c r="AA121" s="107" t="str">
        <f t="shared" si="4"/>
        <v>Chat WA</v>
      </c>
      <c r="AB121" s="107" t="str">
        <f t="shared" si="5"/>
        <v>Kirim Invoice</v>
      </c>
      <c r="AC121" s="107" t="str">
        <f t="shared" si="6"/>
        <v>Chat WA</v>
      </c>
      <c r="AD121" s="108" t="str">
        <f>IFERROR(VLOOKUP($Q121,'12_ONT_NEW'!$D:$G,4,FALSE()),"")</f>
        <v/>
      </c>
      <c r="AE121" s="108"/>
      <c r="AF121" s="109"/>
      <c r="AG121" s="109"/>
      <c r="AH121" s="110">
        <f t="shared" si="7"/>
        <v>46220</v>
      </c>
      <c r="AI121" s="107" t="str">
        <f t="shared" si="8"/>
        <v>Kirim WA</v>
      </c>
      <c r="AJ121" s="107" t="str">
        <f t="shared" si="9"/>
        <v>Kirim WA</v>
      </c>
      <c r="AK121" s="107" t="str">
        <f t="shared" si="10"/>
        <v>Kirim WA</v>
      </c>
      <c r="AL121" s="111">
        <f t="shared" si="11"/>
        <v>49833</v>
      </c>
      <c r="AM121" s="107" t="str">
        <f t="shared" si="12"/>
        <v>Kirim Invoice</v>
      </c>
      <c r="AN121" s="89"/>
      <c r="AO121" s="89"/>
      <c r="AP121" s="112" t="str">
        <f t="shared" si="13"/>
        <v>2M_UP</v>
      </c>
      <c r="AQ121" s="89">
        <v>1521.0</v>
      </c>
      <c r="AR121" s="89"/>
      <c r="AS121" s="113"/>
      <c r="AT121" s="113"/>
    </row>
    <row r="122" ht="15.0" customHeight="1">
      <c r="A122" s="79">
        <f t="shared" si="1"/>
        <v>118</v>
      </c>
      <c r="B122" s="122" t="str">
        <f t="shared" si="2"/>
        <v>ARM-0118</v>
      </c>
      <c r="C122" s="123" t="s">
        <v>1109</v>
      </c>
      <c r="D122" s="83" t="s">
        <v>1110</v>
      </c>
      <c r="E122" s="83" t="s">
        <v>1111</v>
      </c>
      <c r="F122" s="83" t="s">
        <v>1112</v>
      </c>
      <c r="G122" s="83" t="s">
        <v>193</v>
      </c>
      <c r="H122" s="73" t="s">
        <v>327</v>
      </c>
      <c r="I122" s="73">
        <v>9.0</v>
      </c>
      <c r="J122" s="73">
        <v>1.0</v>
      </c>
      <c r="K122" s="73" t="s">
        <v>194</v>
      </c>
      <c r="L122" s="73" t="s">
        <v>221</v>
      </c>
      <c r="M122" s="73">
        <f>IFERROR(VLOOKUP(L123, '4_Produk'!C:E, 2, FALSE()), "")</f>
        <v>75</v>
      </c>
      <c r="N122" s="73">
        <f>IFERROR(VLOOKUP(L123, '4_Produk'!C:E, 3, FALSE()), "")</f>
        <v>260000</v>
      </c>
      <c r="O122" s="73" t="s">
        <v>1113</v>
      </c>
      <c r="P122" s="73" t="s">
        <v>1114</v>
      </c>
      <c r="Q122" s="73" t="s">
        <v>1115</v>
      </c>
      <c r="R122" s="73"/>
      <c r="S122" s="124">
        <v>46190.0</v>
      </c>
      <c r="T122" s="73">
        <v>50.0</v>
      </c>
      <c r="U122" s="73" t="s">
        <v>1116</v>
      </c>
      <c r="V122" s="73"/>
      <c r="W122" s="114" t="s">
        <v>199</v>
      </c>
      <c r="X122" s="121"/>
      <c r="Y122" s="121"/>
      <c r="Z122" s="107" t="str">
        <f t="shared" si="3"/>
        <v>Chat WA</v>
      </c>
      <c r="AA122" s="107" t="str">
        <f t="shared" si="4"/>
        <v>Chat WA</v>
      </c>
      <c r="AB122" s="107" t="str">
        <f t="shared" si="5"/>
        <v>Kirim Invoice</v>
      </c>
      <c r="AC122" s="107" t="str">
        <f t="shared" si="6"/>
        <v>Chat WA</v>
      </c>
      <c r="AD122" s="108" t="str">
        <f>IFERROR(VLOOKUP($Q122,'12_ONT_NEW'!$D:$G,4,FALSE()),"")</f>
        <v/>
      </c>
      <c r="AE122" s="108"/>
      <c r="AF122" s="109"/>
      <c r="AG122" s="109"/>
      <c r="AH122" s="110">
        <f t="shared" si="7"/>
        <v>46220</v>
      </c>
      <c r="AI122" s="107" t="str">
        <f t="shared" si="8"/>
        <v>Kirim WA</v>
      </c>
      <c r="AJ122" s="107" t="str">
        <f t="shared" si="9"/>
        <v>Kirim WA</v>
      </c>
      <c r="AK122" s="107" t="str">
        <f t="shared" si="10"/>
        <v>Kirim WA</v>
      </c>
      <c r="AL122" s="111">
        <f t="shared" si="11"/>
        <v>112667</v>
      </c>
      <c r="AM122" s="107" t="str">
        <f t="shared" si="12"/>
        <v>Kirim Invoice</v>
      </c>
      <c r="AN122" s="89"/>
      <c r="AO122" s="89"/>
      <c r="AP122" s="112" t="str">
        <f t="shared" si="13"/>
        <v>7M_UP</v>
      </c>
      <c r="AQ122" s="89">
        <v>1521.0</v>
      </c>
      <c r="AR122" s="89"/>
      <c r="AS122" s="113"/>
      <c r="AT122" s="113"/>
    </row>
    <row r="123" ht="15.0" customHeight="1">
      <c r="A123" s="83">
        <f t="shared" si="1"/>
        <v>119</v>
      </c>
      <c r="B123" s="117" t="str">
        <f t="shared" si="2"/>
        <v>ARM-0119</v>
      </c>
      <c r="C123" s="118" t="s">
        <v>1117</v>
      </c>
      <c r="D123" s="79" t="s">
        <v>1118</v>
      </c>
      <c r="E123" s="79" t="s">
        <v>1119</v>
      </c>
      <c r="F123" s="79" t="s">
        <v>1120</v>
      </c>
      <c r="G123" s="79" t="s">
        <v>193</v>
      </c>
      <c r="H123" s="119" t="s">
        <v>211</v>
      </c>
      <c r="I123" s="119">
        <v>3.0</v>
      </c>
      <c r="J123" s="119">
        <v>1.0</v>
      </c>
      <c r="K123" s="119" t="s">
        <v>194</v>
      </c>
      <c r="L123" s="119" t="s">
        <v>846</v>
      </c>
      <c r="M123" s="119">
        <f>IFERROR(VLOOKUP(L124, '4_Produk'!C:E, 2, FALSE()), "")</f>
        <v>20</v>
      </c>
      <c r="N123" s="119">
        <f>IFERROR(VLOOKUP(L124, '4_Produk'!C:E, 3, FALSE()), "")</f>
        <v>115000</v>
      </c>
      <c r="O123" s="119" t="s">
        <v>1121</v>
      </c>
      <c r="P123" s="119" t="s">
        <v>1122</v>
      </c>
      <c r="Q123" s="119" t="s">
        <v>1123</v>
      </c>
      <c r="R123" s="119"/>
      <c r="S123" s="120">
        <v>46191.0</v>
      </c>
      <c r="T123" s="119">
        <v>130.0</v>
      </c>
      <c r="U123" s="119" t="s">
        <v>1124</v>
      </c>
      <c r="V123" s="119"/>
      <c r="W123" s="114" t="s">
        <v>199</v>
      </c>
      <c r="X123" s="121"/>
      <c r="Y123" s="121"/>
      <c r="Z123" s="107" t="str">
        <f t="shared" si="3"/>
        <v>Chat WA</v>
      </c>
      <c r="AA123" s="107" t="str">
        <f t="shared" si="4"/>
        <v>Chat WA</v>
      </c>
      <c r="AB123" s="107" t="str">
        <f t="shared" si="5"/>
        <v>Kirim Invoice</v>
      </c>
      <c r="AC123" s="107" t="str">
        <f t="shared" si="6"/>
        <v>Chat WA</v>
      </c>
      <c r="AD123" s="108" t="str">
        <f>IFERROR(VLOOKUP($Q123,'12_ONT_NEW'!$D:$G,4,FALSE()),"")</f>
        <v/>
      </c>
      <c r="AE123" s="108"/>
      <c r="AF123" s="109"/>
      <c r="AG123" s="109"/>
      <c r="AH123" s="110">
        <f t="shared" si="7"/>
        <v>46221</v>
      </c>
      <c r="AI123" s="107" t="str">
        <f t="shared" si="8"/>
        <v>Kirim WA</v>
      </c>
      <c r="AJ123" s="107" t="str">
        <f t="shared" si="9"/>
        <v>Kirim WA</v>
      </c>
      <c r="AK123" s="107" t="str">
        <f t="shared" si="10"/>
        <v>Kirim WA</v>
      </c>
      <c r="AL123" s="111">
        <f t="shared" si="11"/>
        <v>46000</v>
      </c>
      <c r="AM123" s="107" t="str">
        <f t="shared" si="12"/>
        <v>Kirim Invoice</v>
      </c>
      <c r="AN123" s="89"/>
      <c r="AO123" s="89"/>
      <c r="AP123" s="112" t="str">
        <f t="shared" si="13"/>
        <v>2M_UP</v>
      </c>
      <c r="AQ123" s="89">
        <v>1521.0</v>
      </c>
      <c r="AR123" s="89"/>
      <c r="AS123" s="113"/>
      <c r="AT123" s="113"/>
    </row>
    <row r="124" ht="15.0" customHeight="1">
      <c r="A124" s="83">
        <f t="shared" si="1"/>
        <v>120</v>
      </c>
      <c r="B124" s="122" t="str">
        <f t="shared" si="2"/>
        <v>ARM-0120</v>
      </c>
      <c r="C124" s="123" t="s">
        <v>1125</v>
      </c>
      <c r="D124" s="83" t="s">
        <v>1126</v>
      </c>
      <c r="E124" s="83" t="s">
        <v>1127</v>
      </c>
      <c r="F124" s="83" t="s">
        <v>1128</v>
      </c>
      <c r="G124" s="83" t="s">
        <v>193</v>
      </c>
      <c r="H124" s="73" t="s">
        <v>327</v>
      </c>
      <c r="I124" s="73">
        <v>10.0</v>
      </c>
      <c r="J124" s="73">
        <v>3.0</v>
      </c>
      <c r="K124" s="73" t="s">
        <v>194</v>
      </c>
      <c r="L124" s="73" t="s">
        <v>221</v>
      </c>
      <c r="M124" s="73">
        <f>IFERROR(VLOOKUP(L125, '4_Produk'!C:E, 2, FALSE()), "")</f>
        <v>20</v>
      </c>
      <c r="N124" s="73">
        <f>IFERROR(VLOOKUP(L125, '4_Produk'!C:E, 3, FALSE()), "")</f>
        <v>115000</v>
      </c>
      <c r="O124" s="73" t="s">
        <v>1129</v>
      </c>
      <c r="P124" s="73" t="s">
        <v>1130</v>
      </c>
      <c r="Q124" s="73" t="s">
        <v>1131</v>
      </c>
      <c r="R124" s="73"/>
      <c r="S124" s="124">
        <v>46191.0</v>
      </c>
      <c r="T124" s="73">
        <v>30.0</v>
      </c>
      <c r="U124" s="73" t="s">
        <v>1132</v>
      </c>
      <c r="V124" s="73"/>
      <c r="W124" s="114" t="s">
        <v>199</v>
      </c>
      <c r="X124" s="121"/>
      <c r="Y124" s="121"/>
      <c r="Z124" s="107" t="str">
        <f t="shared" si="3"/>
        <v>Chat WA</v>
      </c>
      <c r="AA124" s="107" t="str">
        <f t="shared" si="4"/>
        <v>Chat WA</v>
      </c>
      <c r="AB124" s="107" t="str">
        <f t="shared" si="5"/>
        <v>Kirim Invoice</v>
      </c>
      <c r="AC124" s="107" t="str">
        <f t="shared" si="6"/>
        <v>Chat WA</v>
      </c>
      <c r="AD124" s="108" t="str">
        <f>IFERROR(VLOOKUP($Q124,'12_ONT_NEW'!$D:$G,4,FALSE()),"")</f>
        <v/>
      </c>
      <c r="AE124" s="108"/>
      <c r="AF124" s="109"/>
      <c r="AG124" s="109"/>
      <c r="AH124" s="110">
        <f t="shared" si="7"/>
        <v>46221</v>
      </c>
      <c r="AI124" s="107" t="str">
        <f t="shared" si="8"/>
        <v>Kirim WA</v>
      </c>
      <c r="AJ124" s="107" t="str">
        <f t="shared" si="9"/>
        <v>Kirim WA</v>
      </c>
      <c r="AK124" s="107" t="str">
        <f t="shared" si="10"/>
        <v>Kirim WA</v>
      </c>
      <c r="AL124" s="111">
        <f t="shared" si="11"/>
        <v>46000</v>
      </c>
      <c r="AM124" s="107" t="str">
        <f t="shared" si="12"/>
        <v>Kirim Invoice</v>
      </c>
      <c r="AN124" s="89"/>
      <c r="AO124" s="89"/>
      <c r="AP124" s="112" t="str">
        <f t="shared" si="13"/>
        <v>2M_UP</v>
      </c>
      <c r="AQ124" s="89">
        <v>1521.0</v>
      </c>
      <c r="AR124" s="89"/>
      <c r="AS124" s="113"/>
      <c r="AT124" s="113"/>
    </row>
    <row r="125" ht="15.0" customHeight="1">
      <c r="A125" s="79">
        <f t="shared" si="1"/>
        <v>121</v>
      </c>
      <c r="B125" s="117" t="str">
        <f t="shared" si="2"/>
        <v>ARM-0121</v>
      </c>
      <c r="C125" s="118" t="s">
        <v>1133</v>
      </c>
      <c r="D125" s="79" t="s">
        <v>1134</v>
      </c>
      <c r="E125" s="79" t="s">
        <v>1135</v>
      </c>
      <c r="F125" s="79" t="s">
        <v>1136</v>
      </c>
      <c r="G125" s="79" t="s">
        <v>193</v>
      </c>
      <c r="H125" s="119" t="s">
        <v>327</v>
      </c>
      <c r="I125" s="119">
        <v>10.0</v>
      </c>
      <c r="J125" s="119">
        <v>3.0</v>
      </c>
      <c r="K125" s="119" t="s">
        <v>194</v>
      </c>
      <c r="L125" s="119" t="s">
        <v>221</v>
      </c>
      <c r="M125" s="119">
        <f>IFERROR(VLOOKUP(L126, '4_Produk'!C:E, 2, FALSE()), "")</f>
        <v>20</v>
      </c>
      <c r="N125" s="119">
        <f>IFERROR(VLOOKUP(L126, '4_Produk'!C:E, 3, FALSE()), "")</f>
        <v>115000</v>
      </c>
      <c r="O125" s="119" t="s">
        <v>1137</v>
      </c>
      <c r="P125" s="119" t="s">
        <v>1138</v>
      </c>
      <c r="Q125" s="119" t="s">
        <v>1139</v>
      </c>
      <c r="R125" s="119"/>
      <c r="S125" s="120">
        <v>46191.0</v>
      </c>
      <c r="T125" s="119">
        <v>120.0</v>
      </c>
      <c r="U125" s="119" t="s">
        <v>1140</v>
      </c>
      <c r="V125" s="119"/>
      <c r="W125" s="114" t="s">
        <v>199</v>
      </c>
      <c r="X125" s="121"/>
      <c r="Y125" s="121"/>
      <c r="Z125" s="107" t="str">
        <f t="shared" si="3"/>
        <v>Chat WA</v>
      </c>
      <c r="AA125" s="107" t="str">
        <f t="shared" si="4"/>
        <v>Chat WA</v>
      </c>
      <c r="AB125" s="107" t="str">
        <f t="shared" si="5"/>
        <v>Kirim Invoice</v>
      </c>
      <c r="AC125" s="107" t="str">
        <f t="shared" si="6"/>
        <v>Chat WA</v>
      </c>
      <c r="AD125" s="108" t="str">
        <f>IFERROR(VLOOKUP($Q125,'12_ONT_NEW'!$D:$G,4,FALSE()),"")</f>
        <v/>
      </c>
      <c r="AE125" s="108"/>
      <c r="AF125" s="109"/>
      <c r="AG125" s="109"/>
      <c r="AH125" s="110">
        <f t="shared" si="7"/>
        <v>46221</v>
      </c>
      <c r="AI125" s="107" t="str">
        <f t="shared" si="8"/>
        <v>Kirim WA</v>
      </c>
      <c r="AJ125" s="107" t="str">
        <f t="shared" si="9"/>
        <v>Kirim WA</v>
      </c>
      <c r="AK125" s="107" t="str">
        <f t="shared" si="10"/>
        <v>Kirim WA</v>
      </c>
      <c r="AL125" s="111">
        <f t="shared" si="11"/>
        <v>46000</v>
      </c>
      <c r="AM125" s="107" t="str">
        <f t="shared" si="12"/>
        <v>Kirim Invoice</v>
      </c>
      <c r="AN125" s="89"/>
      <c r="AO125" s="89"/>
      <c r="AP125" s="112" t="str">
        <f t="shared" si="13"/>
        <v>2M_UP</v>
      </c>
      <c r="AQ125" s="89">
        <v>1521.0</v>
      </c>
      <c r="AR125" s="89"/>
      <c r="AS125" s="113"/>
      <c r="AT125" s="113"/>
    </row>
    <row r="126" ht="15.0" customHeight="1">
      <c r="A126" s="83">
        <f t="shared" si="1"/>
        <v>122</v>
      </c>
      <c r="B126" s="122" t="str">
        <f t="shared" si="2"/>
        <v>ARM-0122</v>
      </c>
      <c r="C126" s="123" t="s">
        <v>1141</v>
      </c>
      <c r="D126" s="83" t="s">
        <v>1142</v>
      </c>
      <c r="E126" s="83" t="s">
        <v>1143</v>
      </c>
      <c r="F126" s="83" t="s">
        <v>1144</v>
      </c>
      <c r="G126" s="83" t="s">
        <v>193</v>
      </c>
      <c r="H126" s="73" t="s">
        <v>327</v>
      </c>
      <c r="I126" s="73">
        <v>2.0</v>
      </c>
      <c r="J126" s="73">
        <v>2.0</v>
      </c>
      <c r="K126" s="73" t="s">
        <v>194</v>
      </c>
      <c r="L126" s="73" t="s">
        <v>221</v>
      </c>
      <c r="M126" s="73">
        <f>IFERROR(VLOOKUP(L127, '4_Produk'!C:E, 2, FALSE()), "")</f>
        <v>20</v>
      </c>
      <c r="N126" s="73">
        <f>IFERROR(VLOOKUP(L127, '4_Produk'!C:E, 3, FALSE()), "")</f>
        <v>115000</v>
      </c>
      <c r="O126" s="73" t="s">
        <v>1145</v>
      </c>
      <c r="P126" s="73" t="s">
        <v>1146</v>
      </c>
      <c r="Q126" s="73" t="s">
        <v>1147</v>
      </c>
      <c r="R126" s="73"/>
      <c r="S126" s="124">
        <v>46191.0</v>
      </c>
      <c r="T126" s="73">
        <v>60.0</v>
      </c>
      <c r="U126" s="73" t="s">
        <v>1148</v>
      </c>
      <c r="V126" s="73"/>
      <c r="W126" s="114" t="s">
        <v>199</v>
      </c>
      <c r="X126" s="121"/>
      <c r="Y126" s="121"/>
      <c r="Z126" s="107" t="str">
        <f t="shared" si="3"/>
        <v>Chat WA</v>
      </c>
      <c r="AA126" s="107" t="str">
        <f t="shared" si="4"/>
        <v>Chat WA</v>
      </c>
      <c r="AB126" s="107" t="str">
        <f t="shared" si="5"/>
        <v>Kirim Invoice</v>
      </c>
      <c r="AC126" s="107" t="str">
        <f t="shared" si="6"/>
        <v>Chat WA</v>
      </c>
      <c r="AD126" s="108" t="str">
        <f>IFERROR(VLOOKUP($Q126,'12_ONT_NEW'!$D:$G,4,FALSE()),"")</f>
        <v/>
      </c>
      <c r="AE126" s="108"/>
      <c r="AF126" s="109"/>
      <c r="AG126" s="109"/>
      <c r="AH126" s="110">
        <f t="shared" si="7"/>
        <v>46221</v>
      </c>
      <c r="AI126" s="107" t="str">
        <f t="shared" si="8"/>
        <v>Kirim WA</v>
      </c>
      <c r="AJ126" s="107" t="str">
        <f t="shared" si="9"/>
        <v>Kirim WA</v>
      </c>
      <c r="AK126" s="107" t="str">
        <f t="shared" si="10"/>
        <v>Kirim WA</v>
      </c>
      <c r="AL126" s="111">
        <f t="shared" si="11"/>
        <v>46000</v>
      </c>
      <c r="AM126" s="107" t="str">
        <f t="shared" si="12"/>
        <v>Kirim Invoice</v>
      </c>
      <c r="AN126" s="89"/>
      <c r="AO126" s="89"/>
      <c r="AP126" s="112" t="str">
        <f t="shared" si="13"/>
        <v>2M_UP</v>
      </c>
      <c r="AQ126" s="89">
        <v>1521.0</v>
      </c>
      <c r="AR126" s="89"/>
      <c r="AS126" s="113"/>
      <c r="AT126" s="113"/>
    </row>
    <row r="127" ht="15.0" customHeight="1">
      <c r="A127" s="83">
        <f t="shared" si="1"/>
        <v>123</v>
      </c>
      <c r="B127" s="117" t="str">
        <f t="shared" si="2"/>
        <v>ARM-0123</v>
      </c>
      <c r="C127" s="118" t="s">
        <v>1149</v>
      </c>
      <c r="D127" s="79" t="s">
        <v>1150</v>
      </c>
      <c r="E127" s="79" t="s">
        <v>1151</v>
      </c>
      <c r="F127" s="79" t="s">
        <v>1152</v>
      </c>
      <c r="G127" s="79" t="s">
        <v>193</v>
      </c>
      <c r="H127" s="119" t="s">
        <v>327</v>
      </c>
      <c r="I127" s="119">
        <v>9.0</v>
      </c>
      <c r="J127" s="119">
        <v>5.0</v>
      </c>
      <c r="K127" s="119" t="s">
        <v>194</v>
      </c>
      <c r="L127" s="119" t="s">
        <v>221</v>
      </c>
      <c r="M127" s="119">
        <f>IFERROR(VLOOKUP(L128, '4_Produk'!C:E, 2, FALSE()), "")</f>
        <v>20</v>
      </c>
      <c r="N127" s="119">
        <f>IFERROR(VLOOKUP(L128, '4_Produk'!C:E, 3, FALSE()), "")</f>
        <v>115000</v>
      </c>
      <c r="O127" s="119" t="s">
        <v>1153</v>
      </c>
      <c r="P127" s="119" t="s">
        <v>1154</v>
      </c>
      <c r="Q127" s="115" t="s">
        <v>764</v>
      </c>
      <c r="R127" s="119"/>
      <c r="S127" s="120">
        <v>46191.0</v>
      </c>
      <c r="T127" s="119">
        <v>90.0</v>
      </c>
      <c r="U127" s="119" t="s">
        <v>1155</v>
      </c>
      <c r="V127" s="119"/>
      <c r="W127" s="114" t="s">
        <v>199</v>
      </c>
      <c r="X127" s="121"/>
      <c r="Y127" s="121"/>
      <c r="Z127" s="107" t="str">
        <f t="shared" si="3"/>
        <v>Chat WA</v>
      </c>
      <c r="AA127" s="107" t="str">
        <f t="shared" si="4"/>
        <v>Chat WA</v>
      </c>
      <c r="AB127" s="107" t="str">
        <f t="shared" si="5"/>
        <v>Kirim Invoice</v>
      </c>
      <c r="AC127" s="107" t="str">
        <f t="shared" si="6"/>
        <v>Chat WA</v>
      </c>
      <c r="AD127" s="108" t="str">
        <f>IFERROR(VLOOKUP($Q127,'12_ONT_NEW'!$D:$G,4,FALSE()),"")</f>
        <v/>
      </c>
      <c r="AE127" s="108"/>
      <c r="AF127" s="109"/>
      <c r="AG127" s="109"/>
      <c r="AH127" s="110">
        <f t="shared" si="7"/>
        <v>46221</v>
      </c>
      <c r="AI127" s="107" t="str">
        <f t="shared" si="8"/>
        <v>Kirim WA</v>
      </c>
      <c r="AJ127" s="107" t="str">
        <f t="shared" si="9"/>
        <v>Kirim WA</v>
      </c>
      <c r="AK127" s="107" t="str">
        <f t="shared" si="10"/>
        <v>Kirim WA</v>
      </c>
      <c r="AL127" s="111">
        <f t="shared" si="11"/>
        <v>46000</v>
      </c>
      <c r="AM127" s="107" t="str">
        <f t="shared" si="12"/>
        <v>Kirim Invoice</v>
      </c>
      <c r="AN127" s="89"/>
      <c r="AO127" s="89"/>
      <c r="AP127" s="112" t="str">
        <f t="shared" si="13"/>
        <v>2M_UP</v>
      </c>
      <c r="AQ127" s="89">
        <v>1521.0</v>
      </c>
      <c r="AR127" s="89"/>
      <c r="AS127" s="113"/>
      <c r="AT127" s="113"/>
    </row>
    <row r="128" ht="15.0" customHeight="1">
      <c r="A128" s="79">
        <f t="shared" si="1"/>
        <v>124</v>
      </c>
      <c r="B128" s="122" t="str">
        <f t="shared" si="2"/>
        <v>ARM-0124</v>
      </c>
      <c r="C128" s="123" t="s">
        <v>1156</v>
      </c>
      <c r="D128" s="83" t="s">
        <v>1157</v>
      </c>
      <c r="E128" s="83" t="s">
        <v>1158</v>
      </c>
      <c r="F128" s="83" t="s">
        <v>1159</v>
      </c>
      <c r="G128" s="83" t="s">
        <v>193</v>
      </c>
      <c r="H128" s="73" t="s">
        <v>327</v>
      </c>
      <c r="I128" s="73">
        <v>1.0</v>
      </c>
      <c r="J128" s="73">
        <v>2.0</v>
      </c>
      <c r="K128" s="73" t="s">
        <v>194</v>
      </c>
      <c r="L128" s="73" t="s">
        <v>221</v>
      </c>
      <c r="M128" s="73">
        <f>IFERROR(VLOOKUP(L129, '4_Produk'!C:E, 2, FALSE()), "")</f>
        <v>20</v>
      </c>
      <c r="N128" s="73">
        <f>IFERROR(VLOOKUP(L129, '4_Produk'!C:E, 3, FALSE()), "")</f>
        <v>115000</v>
      </c>
      <c r="O128" s="73" t="s">
        <v>1160</v>
      </c>
      <c r="P128" s="73" t="s">
        <v>1161</v>
      </c>
      <c r="Q128" s="73" t="s">
        <v>1162</v>
      </c>
      <c r="R128" s="73"/>
      <c r="S128" s="124">
        <v>46192.0</v>
      </c>
      <c r="T128" s="73">
        <v>100.0</v>
      </c>
      <c r="U128" s="73" t="s">
        <v>1163</v>
      </c>
      <c r="V128" s="73"/>
      <c r="W128" s="114" t="s">
        <v>199</v>
      </c>
      <c r="X128" s="121"/>
      <c r="Y128" s="121"/>
      <c r="Z128" s="107" t="str">
        <f t="shared" si="3"/>
        <v>Chat WA</v>
      </c>
      <c r="AA128" s="107" t="str">
        <f t="shared" si="4"/>
        <v>Chat WA</v>
      </c>
      <c r="AB128" s="107" t="str">
        <f t="shared" si="5"/>
        <v>Kirim Invoice</v>
      </c>
      <c r="AC128" s="107" t="str">
        <f t="shared" si="6"/>
        <v>Chat WA</v>
      </c>
      <c r="AD128" s="108" t="str">
        <f>IFERROR(VLOOKUP($Q128,'12_ONT_NEW'!$D:$G,4,FALSE()),"")</f>
        <v/>
      </c>
      <c r="AE128" s="108"/>
      <c r="AF128" s="109"/>
      <c r="AG128" s="109"/>
      <c r="AH128" s="110">
        <f t="shared" si="7"/>
        <v>46222</v>
      </c>
      <c r="AI128" s="107" t="str">
        <f t="shared" si="8"/>
        <v>Kirim WA</v>
      </c>
      <c r="AJ128" s="107" t="str">
        <f t="shared" si="9"/>
        <v>Kirim WA</v>
      </c>
      <c r="AK128" s="107" t="str">
        <f t="shared" si="10"/>
        <v>Kirim WA</v>
      </c>
      <c r="AL128" s="111">
        <f t="shared" si="11"/>
        <v>42167</v>
      </c>
      <c r="AM128" s="107" t="str">
        <f t="shared" si="12"/>
        <v>Kirim Invoice</v>
      </c>
      <c r="AN128" s="89"/>
      <c r="AO128" s="89"/>
      <c r="AP128" s="112" t="str">
        <f t="shared" si="13"/>
        <v>2M_UP</v>
      </c>
      <c r="AQ128" s="89">
        <v>1521.0</v>
      </c>
      <c r="AR128" s="89"/>
      <c r="AS128" s="113"/>
      <c r="AT128" s="113"/>
    </row>
    <row r="129" ht="15.0" customHeight="1">
      <c r="A129" s="83">
        <f t="shared" si="1"/>
        <v>125</v>
      </c>
      <c r="B129" s="117" t="str">
        <f t="shared" si="2"/>
        <v>ARM-0125</v>
      </c>
      <c r="C129" s="118" t="s">
        <v>1164</v>
      </c>
      <c r="D129" s="79" t="s">
        <v>1165</v>
      </c>
      <c r="E129" s="79" t="s">
        <v>1166</v>
      </c>
      <c r="F129" s="79" t="s">
        <v>1167</v>
      </c>
      <c r="G129" s="79" t="s">
        <v>193</v>
      </c>
      <c r="H129" s="119" t="s">
        <v>327</v>
      </c>
      <c r="I129" s="119">
        <v>10.0</v>
      </c>
      <c r="J129" s="119">
        <v>4.0</v>
      </c>
      <c r="K129" s="119" t="s">
        <v>194</v>
      </c>
      <c r="L129" s="119" t="s">
        <v>221</v>
      </c>
      <c r="M129" s="119">
        <f>IFERROR(VLOOKUP(L130, '4_Produk'!C:E, 2, FALSE()), "")</f>
        <v>30</v>
      </c>
      <c r="N129" s="119">
        <f>IFERROR(VLOOKUP(L130, '4_Produk'!C:E, 3, FALSE()), "")</f>
        <v>142000</v>
      </c>
      <c r="O129" s="119" t="s">
        <v>1168</v>
      </c>
      <c r="P129" s="119" t="s">
        <v>1169</v>
      </c>
      <c r="Q129" s="119" t="s">
        <v>1170</v>
      </c>
      <c r="R129" s="119"/>
      <c r="S129" s="119" t="s">
        <v>1171</v>
      </c>
      <c r="T129" s="119">
        <v>160.0</v>
      </c>
      <c r="U129" s="119" t="s">
        <v>1172</v>
      </c>
      <c r="V129" s="119"/>
      <c r="W129" s="114" t="s">
        <v>199</v>
      </c>
      <c r="X129" s="121"/>
      <c r="Y129" s="121"/>
      <c r="Z129" s="107" t="str">
        <f t="shared" si="3"/>
        <v>Chat WA</v>
      </c>
      <c r="AA129" s="107" t="str">
        <f t="shared" si="4"/>
        <v>Chat WA</v>
      </c>
      <c r="AB129" s="107" t="str">
        <f t="shared" si="5"/>
        <v>Kirim Invoice</v>
      </c>
      <c r="AC129" s="107" t="str">
        <f t="shared" si="6"/>
        <v>Chat WA</v>
      </c>
      <c r="AD129" s="108" t="str">
        <f>IFERROR(VLOOKUP($Q129,'12_ONT_NEW'!$D:$G,4,FALSE()),"")</f>
        <v/>
      </c>
      <c r="AE129" s="108"/>
      <c r="AF129" s="109"/>
      <c r="AG129" s="109"/>
      <c r="AH129" s="110">
        <f t="shared" si="7"/>
        <v>46222</v>
      </c>
      <c r="AI129" s="107" t="str">
        <f t="shared" si="8"/>
        <v>Kirim WA</v>
      </c>
      <c r="AJ129" s="107" t="str">
        <f t="shared" si="9"/>
        <v>Kirim WA</v>
      </c>
      <c r="AK129" s="107" t="str">
        <f t="shared" si="10"/>
        <v>Kirim WA</v>
      </c>
      <c r="AL129" s="111">
        <f t="shared" si="11"/>
        <v>52067</v>
      </c>
      <c r="AM129" s="107" t="str">
        <f t="shared" si="12"/>
        <v>Kirim Invoice</v>
      </c>
      <c r="AN129" s="89"/>
      <c r="AO129" s="89"/>
      <c r="AP129" s="112" t="str">
        <f t="shared" si="13"/>
        <v>3M_UP</v>
      </c>
      <c r="AQ129" s="89">
        <v>1521.0</v>
      </c>
      <c r="AR129" s="89"/>
      <c r="AS129" s="113"/>
      <c r="AT129" s="113"/>
    </row>
    <row r="130" ht="15.0" customHeight="1">
      <c r="A130" s="83">
        <f t="shared" si="1"/>
        <v>126</v>
      </c>
      <c r="B130" s="122" t="str">
        <f t="shared" si="2"/>
        <v>ARM-0126</v>
      </c>
      <c r="C130" s="123" t="s">
        <v>1173</v>
      </c>
      <c r="D130" s="83" t="s">
        <v>1174</v>
      </c>
      <c r="E130" s="83" t="s">
        <v>1175</v>
      </c>
      <c r="F130" s="83" t="s">
        <v>1176</v>
      </c>
      <c r="G130" s="83" t="s">
        <v>193</v>
      </c>
      <c r="H130" s="73" t="s">
        <v>327</v>
      </c>
      <c r="I130" s="73">
        <v>1.0</v>
      </c>
      <c r="J130" s="73">
        <v>5.0</v>
      </c>
      <c r="K130" s="73" t="s">
        <v>194</v>
      </c>
      <c r="L130" s="73" t="s">
        <v>212</v>
      </c>
      <c r="M130" s="73">
        <f>IFERROR(VLOOKUP(L131, '4_Produk'!C:E, 2, FALSE()), "")</f>
        <v>20</v>
      </c>
      <c r="N130" s="73">
        <f>IFERROR(VLOOKUP(L131, '4_Produk'!C:E, 3, FALSE()), "")</f>
        <v>115000</v>
      </c>
      <c r="O130" s="73" t="s">
        <v>1177</v>
      </c>
      <c r="P130" s="73" t="s">
        <v>1178</v>
      </c>
      <c r="Q130" s="73" t="s">
        <v>1179</v>
      </c>
      <c r="R130" s="73"/>
      <c r="S130" s="124">
        <v>46192.0</v>
      </c>
      <c r="T130" s="73"/>
      <c r="U130" s="73" t="s">
        <v>1180</v>
      </c>
      <c r="V130" s="73"/>
      <c r="W130" s="114" t="s">
        <v>199</v>
      </c>
      <c r="X130" s="121"/>
      <c r="Y130" s="121"/>
      <c r="Z130" s="107" t="str">
        <f t="shared" si="3"/>
        <v>Chat WA</v>
      </c>
      <c r="AA130" s="107" t="str">
        <f t="shared" si="4"/>
        <v>Chat WA</v>
      </c>
      <c r="AB130" s="107" t="str">
        <f t="shared" si="5"/>
        <v>Kirim Invoice</v>
      </c>
      <c r="AC130" s="107" t="str">
        <f t="shared" si="6"/>
        <v>Chat WA</v>
      </c>
      <c r="AD130" s="108" t="str">
        <f>IFERROR(VLOOKUP($Q130,'12_ONT_NEW'!$D:$G,4,FALSE()),"")</f>
        <v/>
      </c>
      <c r="AE130" s="108"/>
      <c r="AF130" s="109"/>
      <c r="AG130" s="109"/>
      <c r="AH130" s="110">
        <f t="shared" si="7"/>
        <v>46222</v>
      </c>
      <c r="AI130" s="107" t="str">
        <f t="shared" si="8"/>
        <v>Kirim WA</v>
      </c>
      <c r="AJ130" s="107" t="str">
        <f t="shared" si="9"/>
        <v>Kirim WA</v>
      </c>
      <c r="AK130" s="107" t="str">
        <f t="shared" si="10"/>
        <v>Kirim WA</v>
      </c>
      <c r="AL130" s="111">
        <f t="shared" si="11"/>
        <v>42167</v>
      </c>
      <c r="AM130" s="107" t="str">
        <f t="shared" si="12"/>
        <v>Kirim Invoice</v>
      </c>
      <c r="AN130" s="89"/>
      <c r="AO130" s="89"/>
      <c r="AP130" s="112" t="str">
        <f t="shared" si="13"/>
        <v>2M_UP</v>
      </c>
      <c r="AQ130" s="89">
        <v>1521.0</v>
      </c>
      <c r="AR130" s="89"/>
      <c r="AS130" s="113"/>
      <c r="AT130" s="113"/>
    </row>
    <row r="131" ht="15.0" customHeight="1">
      <c r="A131" s="79">
        <f t="shared" si="1"/>
        <v>127</v>
      </c>
      <c r="B131" s="117" t="str">
        <f t="shared" si="2"/>
        <v>ARM-0127</v>
      </c>
      <c r="C131" s="118" t="s">
        <v>1181</v>
      </c>
      <c r="D131" s="79" t="s">
        <v>1182</v>
      </c>
      <c r="E131" s="79" t="s">
        <v>1183</v>
      </c>
      <c r="F131" s="79" t="s">
        <v>1184</v>
      </c>
      <c r="G131" s="79" t="s">
        <v>193</v>
      </c>
      <c r="H131" s="119" t="s">
        <v>327</v>
      </c>
      <c r="I131" s="119">
        <v>1.0</v>
      </c>
      <c r="J131" s="119">
        <v>2.0</v>
      </c>
      <c r="K131" s="119" t="s">
        <v>194</v>
      </c>
      <c r="L131" s="119" t="s">
        <v>221</v>
      </c>
      <c r="M131" s="119">
        <f>IFERROR(VLOOKUP(L132, '4_Produk'!C:E, 2, FALSE()), "")</f>
        <v>20</v>
      </c>
      <c r="N131" s="119">
        <f>IFERROR(VLOOKUP(L132, '4_Produk'!C:E, 3, FALSE()), "")</f>
        <v>115000</v>
      </c>
      <c r="O131" s="119" t="s">
        <v>1185</v>
      </c>
      <c r="P131" s="119" t="s">
        <v>1186</v>
      </c>
      <c r="Q131" s="119" t="s">
        <v>1187</v>
      </c>
      <c r="R131" s="119"/>
      <c r="S131" s="120">
        <v>46192.0</v>
      </c>
      <c r="T131" s="119">
        <v>50.0</v>
      </c>
      <c r="U131" s="119" t="s">
        <v>1188</v>
      </c>
      <c r="V131" s="119"/>
      <c r="W131" s="114" t="s">
        <v>199</v>
      </c>
      <c r="X131" s="121"/>
      <c r="Y131" s="121"/>
      <c r="Z131" s="107" t="str">
        <f t="shared" si="3"/>
        <v>Chat WA</v>
      </c>
      <c r="AA131" s="107" t="str">
        <f t="shared" si="4"/>
        <v>Chat WA</v>
      </c>
      <c r="AB131" s="107" t="str">
        <f t="shared" si="5"/>
        <v>Kirim Invoice</v>
      </c>
      <c r="AC131" s="107" t="str">
        <f t="shared" si="6"/>
        <v>Chat WA</v>
      </c>
      <c r="AD131" s="108" t="str">
        <f>IFERROR(VLOOKUP($Q131,'12_ONT_NEW'!$D:$G,4,FALSE()),"")</f>
        <v/>
      </c>
      <c r="AE131" s="108"/>
      <c r="AF131" s="109"/>
      <c r="AG131" s="109"/>
      <c r="AH131" s="110">
        <f t="shared" si="7"/>
        <v>46222</v>
      </c>
      <c r="AI131" s="107" t="str">
        <f t="shared" si="8"/>
        <v>Kirim WA</v>
      </c>
      <c r="AJ131" s="107" t="str">
        <f t="shared" si="9"/>
        <v>Kirim WA</v>
      </c>
      <c r="AK131" s="107" t="str">
        <f t="shared" si="10"/>
        <v>Kirim WA</v>
      </c>
      <c r="AL131" s="111">
        <f t="shared" si="11"/>
        <v>42167</v>
      </c>
      <c r="AM131" s="107" t="str">
        <f t="shared" si="12"/>
        <v>Kirim Invoice</v>
      </c>
      <c r="AN131" s="89"/>
      <c r="AO131" s="89"/>
      <c r="AP131" s="112" t="str">
        <f t="shared" si="13"/>
        <v>2M_UP</v>
      </c>
      <c r="AQ131" s="89">
        <v>1521.0</v>
      </c>
      <c r="AR131" s="89"/>
      <c r="AS131" s="113"/>
      <c r="AT131" s="113"/>
    </row>
    <row r="132" ht="15.0" customHeight="1">
      <c r="A132" s="83">
        <f t="shared" si="1"/>
        <v>128</v>
      </c>
      <c r="B132" s="122" t="str">
        <f t="shared" si="2"/>
        <v>ARM-0128</v>
      </c>
      <c r="C132" s="123" t="s">
        <v>1189</v>
      </c>
      <c r="D132" s="83" t="s">
        <v>1190</v>
      </c>
      <c r="E132" s="83" t="s">
        <v>1191</v>
      </c>
      <c r="F132" s="83" t="s">
        <v>1192</v>
      </c>
      <c r="G132" s="83" t="s">
        <v>193</v>
      </c>
      <c r="H132" s="73" t="s">
        <v>211</v>
      </c>
      <c r="I132" s="73">
        <v>5.0</v>
      </c>
      <c r="J132" s="73">
        <v>1.0</v>
      </c>
      <c r="K132" s="73" t="s">
        <v>194</v>
      </c>
      <c r="L132" s="73" t="s">
        <v>221</v>
      </c>
      <c r="M132" s="73">
        <f>IFERROR(VLOOKUP(L133, '4_Produk'!C:E, 2, FALSE()), "")</f>
        <v>30</v>
      </c>
      <c r="N132" s="73">
        <f>IFERROR(VLOOKUP(L133, '4_Produk'!C:E, 3, FALSE()), "")</f>
        <v>142000</v>
      </c>
      <c r="O132" s="73" t="s">
        <v>1193</v>
      </c>
      <c r="P132" s="73" t="s">
        <v>1194</v>
      </c>
      <c r="Q132" s="73" t="s">
        <v>1195</v>
      </c>
      <c r="R132" s="73"/>
      <c r="S132" s="124">
        <v>46190.0</v>
      </c>
      <c r="T132" s="73">
        <v>60.0</v>
      </c>
      <c r="U132" s="73" t="s">
        <v>1196</v>
      </c>
      <c r="V132" s="73"/>
      <c r="W132" s="114" t="s">
        <v>199</v>
      </c>
      <c r="X132" s="121"/>
      <c r="Y132" s="121"/>
      <c r="Z132" s="107" t="str">
        <f t="shared" si="3"/>
        <v>Chat WA</v>
      </c>
      <c r="AA132" s="107" t="str">
        <f t="shared" si="4"/>
        <v>Chat WA</v>
      </c>
      <c r="AB132" s="107" t="str">
        <f t="shared" si="5"/>
        <v>Kirim Invoice</v>
      </c>
      <c r="AC132" s="107" t="str">
        <f t="shared" si="6"/>
        <v>Chat WA</v>
      </c>
      <c r="AD132" s="108" t="str">
        <f>IFERROR(VLOOKUP($Q132,'12_ONT_NEW'!$D:$G,4,FALSE()),"")</f>
        <v/>
      </c>
      <c r="AE132" s="108"/>
      <c r="AF132" s="109"/>
      <c r="AG132" s="109"/>
      <c r="AH132" s="110">
        <f t="shared" si="7"/>
        <v>46220</v>
      </c>
      <c r="AI132" s="107" t="str">
        <f t="shared" si="8"/>
        <v>Kirim WA</v>
      </c>
      <c r="AJ132" s="107" t="str">
        <f t="shared" si="9"/>
        <v>Kirim WA</v>
      </c>
      <c r="AK132" s="107" t="str">
        <f t="shared" si="10"/>
        <v>Kirim WA</v>
      </c>
      <c r="AL132" s="111">
        <f t="shared" si="11"/>
        <v>61533</v>
      </c>
      <c r="AM132" s="107" t="str">
        <f t="shared" si="12"/>
        <v>Kirim Invoice</v>
      </c>
      <c r="AN132" s="89"/>
      <c r="AO132" s="89"/>
      <c r="AP132" s="112" t="str">
        <f t="shared" si="13"/>
        <v>3M_UP</v>
      </c>
      <c r="AQ132" s="89">
        <v>1521.0</v>
      </c>
      <c r="AR132" s="89"/>
      <c r="AS132" s="113"/>
      <c r="AT132" s="113"/>
    </row>
    <row r="133" ht="15.0" customHeight="1">
      <c r="A133" s="83">
        <f t="shared" si="1"/>
        <v>129</v>
      </c>
      <c r="B133" s="117" t="str">
        <f t="shared" si="2"/>
        <v>ARM-0129</v>
      </c>
      <c r="C133" s="118" t="s">
        <v>1197</v>
      </c>
      <c r="D133" s="79" t="s">
        <v>1198</v>
      </c>
      <c r="E133" s="79"/>
      <c r="F133" s="79" t="s">
        <v>1199</v>
      </c>
      <c r="G133" s="79" t="s">
        <v>193</v>
      </c>
      <c r="H133" s="119" t="s">
        <v>327</v>
      </c>
      <c r="I133" s="119">
        <v>1.0</v>
      </c>
      <c r="J133" s="119">
        <v>3.0</v>
      </c>
      <c r="K133" s="119" t="s">
        <v>194</v>
      </c>
      <c r="L133" s="119" t="s">
        <v>212</v>
      </c>
      <c r="M133" s="119">
        <f>IFERROR(VLOOKUP(L134, '4_Produk'!C:E, 2, FALSE()), "")</f>
        <v>30</v>
      </c>
      <c r="N133" s="119">
        <f>IFERROR(VLOOKUP(L134, '4_Produk'!C:E, 3, FALSE()), "")</f>
        <v>142000</v>
      </c>
      <c r="O133" s="119" t="s">
        <v>1200</v>
      </c>
      <c r="P133" s="119" t="s">
        <v>1201</v>
      </c>
      <c r="Q133" s="119" t="s">
        <v>1202</v>
      </c>
      <c r="R133" s="119"/>
      <c r="S133" s="120">
        <v>46193.0</v>
      </c>
      <c r="T133" s="119">
        <v>70.0</v>
      </c>
      <c r="U133" s="119" t="s">
        <v>1203</v>
      </c>
      <c r="V133" s="119"/>
      <c r="W133" s="114" t="s">
        <v>199</v>
      </c>
      <c r="X133" s="121"/>
      <c r="Y133" s="121"/>
      <c r="Z133" s="107" t="str">
        <f t="shared" si="3"/>
        <v>Chat WA</v>
      </c>
      <c r="AA133" s="107" t="str">
        <f t="shared" si="4"/>
        <v>Chat WA</v>
      </c>
      <c r="AB133" s="107" t="str">
        <f t="shared" si="5"/>
        <v>Kirim Invoice</v>
      </c>
      <c r="AC133" s="107" t="str">
        <f t="shared" si="6"/>
        <v>Chat WA</v>
      </c>
      <c r="AD133" s="108" t="str">
        <f>IFERROR(VLOOKUP($Q133,'12_ONT_NEW'!$D:$G,4,FALSE()),"")</f>
        <v/>
      </c>
      <c r="AE133" s="108"/>
      <c r="AF133" s="109"/>
      <c r="AG133" s="109"/>
      <c r="AH133" s="110">
        <f t="shared" si="7"/>
        <v>46223</v>
      </c>
      <c r="AI133" s="107" t="str">
        <f t="shared" si="8"/>
        <v>Kirim WA</v>
      </c>
      <c r="AJ133" s="107" t="str">
        <f t="shared" si="9"/>
        <v>Kirim WA</v>
      </c>
      <c r="AK133" s="107" t="str">
        <f t="shared" si="10"/>
        <v>Kirim WA</v>
      </c>
      <c r="AL133" s="111">
        <f t="shared" si="11"/>
        <v>47333</v>
      </c>
      <c r="AM133" s="107" t="str">
        <f t="shared" si="12"/>
        <v>Kirim Invoice</v>
      </c>
      <c r="AN133" s="89"/>
      <c r="AO133" s="89"/>
      <c r="AP133" s="112" t="str">
        <f t="shared" si="13"/>
        <v>3M_UP</v>
      </c>
      <c r="AQ133" s="89">
        <v>1521.0</v>
      </c>
      <c r="AR133" s="89"/>
      <c r="AS133" s="113"/>
      <c r="AT133" s="113"/>
    </row>
    <row r="134" ht="15.0" customHeight="1">
      <c r="A134" s="79">
        <f t="shared" si="1"/>
        <v>130</v>
      </c>
      <c r="B134" s="122" t="str">
        <f t="shared" si="2"/>
        <v>ARM-0130</v>
      </c>
      <c r="C134" s="123" t="s">
        <v>1204</v>
      </c>
      <c r="D134" s="83" t="s">
        <v>1205</v>
      </c>
      <c r="E134" s="83" t="s">
        <v>1206</v>
      </c>
      <c r="F134" s="83" t="s">
        <v>1207</v>
      </c>
      <c r="G134" s="83" t="s">
        <v>193</v>
      </c>
      <c r="H134" s="73" t="s">
        <v>1208</v>
      </c>
      <c r="I134" s="73">
        <v>6.0</v>
      </c>
      <c r="J134" s="73">
        <v>3.0</v>
      </c>
      <c r="K134" s="73" t="s">
        <v>194</v>
      </c>
      <c r="L134" s="73" t="s">
        <v>212</v>
      </c>
      <c r="M134" s="73">
        <f>IFERROR(VLOOKUP(L135, '4_Produk'!C:E, 2, FALSE()), "")</f>
        <v>20</v>
      </c>
      <c r="N134" s="73">
        <f>IFERROR(VLOOKUP(L135, '4_Produk'!C:E, 3, FALSE()), "")</f>
        <v>115000</v>
      </c>
      <c r="O134" s="73" t="s">
        <v>1209</v>
      </c>
      <c r="P134" s="73" t="s">
        <v>1210</v>
      </c>
      <c r="Q134" s="73" t="s">
        <v>1211</v>
      </c>
      <c r="R134" s="73"/>
      <c r="S134" s="124">
        <v>46194.0</v>
      </c>
      <c r="T134" s="73">
        <v>40.0</v>
      </c>
      <c r="U134" s="73" t="s">
        <v>1212</v>
      </c>
      <c r="V134" s="73"/>
      <c r="W134" s="114" t="s">
        <v>199</v>
      </c>
      <c r="X134" s="121"/>
      <c r="Y134" s="121"/>
      <c r="Z134" s="107" t="str">
        <f t="shared" si="3"/>
        <v>Chat WA</v>
      </c>
      <c r="AA134" s="107" t="str">
        <f t="shared" si="4"/>
        <v>Chat WA</v>
      </c>
      <c r="AB134" s="107" t="str">
        <f t="shared" si="5"/>
        <v>Kirim Invoice</v>
      </c>
      <c r="AC134" s="107" t="str">
        <f t="shared" si="6"/>
        <v>Chat WA</v>
      </c>
      <c r="AD134" s="108" t="str">
        <f>IFERROR(VLOOKUP($Q134,'12_ONT_NEW'!$D:$G,4,FALSE()),"")</f>
        <v/>
      </c>
      <c r="AE134" s="108"/>
      <c r="AF134" s="109"/>
      <c r="AG134" s="109"/>
      <c r="AH134" s="110">
        <f t="shared" si="7"/>
        <v>46224</v>
      </c>
      <c r="AI134" s="107" t="str">
        <f t="shared" si="8"/>
        <v>Kirim WA</v>
      </c>
      <c r="AJ134" s="107" t="str">
        <f t="shared" si="9"/>
        <v>Kirim WA</v>
      </c>
      <c r="AK134" s="107" t="str">
        <f t="shared" si="10"/>
        <v>Kirim WA</v>
      </c>
      <c r="AL134" s="111">
        <f t="shared" si="11"/>
        <v>34500</v>
      </c>
      <c r="AM134" s="107" t="str">
        <f t="shared" si="12"/>
        <v>Kirim Invoice</v>
      </c>
      <c r="AN134" s="89"/>
      <c r="AO134" s="89"/>
      <c r="AP134" s="112" t="str">
        <f t="shared" si="13"/>
        <v>2M_UP</v>
      </c>
      <c r="AQ134" s="89">
        <v>1521.0</v>
      </c>
      <c r="AR134" s="89"/>
      <c r="AS134" s="113"/>
      <c r="AT134" s="113"/>
    </row>
    <row r="135" ht="15.0" customHeight="1">
      <c r="A135" s="83">
        <f t="shared" si="1"/>
        <v>131</v>
      </c>
      <c r="B135" s="117" t="str">
        <f t="shared" si="2"/>
        <v>ARM-0131</v>
      </c>
      <c r="C135" s="118" t="s">
        <v>1213</v>
      </c>
      <c r="D135" s="79" t="s">
        <v>1214</v>
      </c>
      <c r="E135" s="79" t="s">
        <v>1215</v>
      </c>
      <c r="F135" s="79" t="s">
        <v>1216</v>
      </c>
      <c r="G135" s="79" t="s">
        <v>193</v>
      </c>
      <c r="H135" s="119" t="s">
        <v>327</v>
      </c>
      <c r="I135" s="119">
        <v>3.0</v>
      </c>
      <c r="J135" s="119">
        <v>1.0</v>
      </c>
      <c r="K135" s="119" t="s">
        <v>194</v>
      </c>
      <c r="L135" s="119" t="s">
        <v>221</v>
      </c>
      <c r="M135" s="119">
        <f>IFERROR(VLOOKUP(L136, '4_Produk'!C:E, 2, FALSE()), "")</f>
        <v>20</v>
      </c>
      <c r="N135" s="119">
        <f>IFERROR(VLOOKUP(L136, '4_Produk'!C:E, 3, FALSE()), "")</f>
        <v>115000</v>
      </c>
      <c r="O135" s="119" t="s">
        <v>1217</v>
      </c>
      <c r="P135" s="119" t="s">
        <v>1218</v>
      </c>
      <c r="Q135" s="119" t="s">
        <v>1219</v>
      </c>
      <c r="R135" s="119"/>
      <c r="S135" s="120">
        <v>46194.0</v>
      </c>
      <c r="T135" s="119">
        <v>50.0</v>
      </c>
      <c r="U135" s="119" t="s">
        <v>1220</v>
      </c>
      <c r="V135" s="119"/>
      <c r="W135" s="114" t="s">
        <v>199</v>
      </c>
      <c r="X135" s="121"/>
      <c r="Y135" s="121"/>
      <c r="Z135" s="107" t="str">
        <f t="shared" si="3"/>
        <v>Chat WA</v>
      </c>
      <c r="AA135" s="107" t="str">
        <f t="shared" si="4"/>
        <v>Chat WA</v>
      </c>
      <c r="AB135" s="107" t="str">
        <f t="shared" si="5"/>
        <v>Kirim Invoice</v>
      </c>
      <c r="AC135" s="107" t="str">
        <f t="shared" si="6"/>
        <v>Chat WA</v>
      </c>
      <c r="AD135" s="108" t="str">
        <f>IFERROR(VLOOKUP($Q135,'12_ONT_NEW'!$D:$G,4,FALSE()),"")</f>
        <v/>
      </c>
      <c r="AE135" s="108"/>
      <c r="AF135" s="109"/>
      <c r="AG135" s="109"/>
      <c r="AH135" s="110">
        <f t="shared" si="7"/>
        <v>46224</v>
      </c>
      <c r="AI135" s="107" t="str">
        <f t="shared" si="8"/>
        <v>Kirim WA</v>
      </c>
      <c r="AJ135" s="107" t="str">
        <f t="shared" si="9"/>
        <v>Kirim WA</v>
      </c>
      <c r="AK135" s="107" t="str">
        <f t="shared" si="10"/>
        <v>Kirim WA</v>
      </c>
      <c r="AL135" s="111">
        <f t="shared" si="11"/>
        <v>34500</v>
      </c>
      <c r="AM135" s="107" t="str">
        <f t="shared" si="12"/>
        <v>Kirim Invoice</v>
      </c>
      <c r="AN135" s="89"/>
      <c r="AO135" s="89"/>
      <c r="AP135" s="112" t="str">
        <f t="shared" si="13"/>
        <v>2M_UP</v>
      </c>
      <c r="AQ135" s="89">
        <v>1521.0</v>
      </c>
      <c r="AR135" s="89"/>
      <c r="AS135" s="113"/>
      <c r="AT135" s="113"/>
    </row>
    <row r="136" ht="15.0" customHeight="1">
      <c r="A136" s="83">
        <f t="shared" si="1"/>
        <v>132</v>
      </c>
      <c r="B136" s="122" t="str">
        <f t="shared" si="2"/>
        <v>ARM-0132</v>
      </c>
      <c r="C136" s="123" t="s">
        <v>1221</v>
      </c>
      <c r="D136" s="83" t="s">
        <v>1222</v>
      </c>
      <c r="E136" s="83" t="s">
        <v>1223</v>
      </c>
      <c r="F136" s="83" t="s">
        <v>1224</v>
      </c>
      <c r="G136" s="83" t="s">
        <v>193</v>
      </c>
      <c r="H136" s="73" t="s">
        <v>327</v>
      </c>
      <c r="I136" s="73">
        <v>9.0</v>
      </c>
      <c r="J136" s="73">
        <v>1.0</v>
      </c>
      <c r="K136" s="73" t="s">
        <v>194</v>
      </c>
      <c r="L136" s="73" t="s">
        <v>221</v>
      </c>
      <c r="M136" s="73">
        <f>IFERROR(VLOOKUP(L137, '4_Produk'!C:E, 2, FALSE()), "")</f>
        <v>20</v>
      </c>
      <c r="N136" s="73">
        <f>IFERROR(VLOOKUP(L137, '4_Produk'!C:E, 3, FALSE()), "")</f>
        <v>115000</v>
      </c>
      <c r="O136" s="73" t="s">
        <v>1225</v>
      </c>
      <c r="P136" s="73" t="s">
        <v>1226</v>
      </c>
      <c r="Q136" s="73" t="s">
        <v>1227</v>
      </c>
      <c r="R136" s="73"/>
      <c r="S136" s="124">
        <v>46195.0</v>
      </c>
      <c r="T136" s="73">
        <v>30.0</v>
      </c>
      <c r="U136" s="73" t="s">
        <v>1228</v>
      </c>
      <c r="V136" s="73"/>
      <c r="W136" s="114" t="s">
        <v>199</v>
      </c>
      <c r="X136" s="121"/>
      <c r="Y136" s="121"/>
      <c r="Z136" s="107" t="str">
        <f t="shared" si="3"/>
        <v>Chat WA</v>
      </c>
      <c r="AA136" s="107" t="str">
        <f t="shared" si="4"/>
        <v>Chat WA</v>
      </c>
      <c r="AB136" s="107" t="str">
        <f t="shared" si="5"/>
        <v>Kirim Invoice</v>
      </c>
      <c r="AC136" s="107" t="str">
        <f t="shared" si="6"/>
        <v>Chat WA</v>
      </c>
      <c r="AD136" s="108" t="str">
        <f>IFERROR(VLOOKUP($Q136,'12_ONT_NEW'!$D:$G,4,FALSE()),"")</f>
        <v/>
      </c>
      <c r="AE136" s="108"/>
      <c r="AF136" s="109"/>
      <c r="AG136" s="109"/>
      <c r="AH136" s="110">
        <f t="shared" si="7"/>
        <v>46225</v>
      </c>
      <c r="AI136" s="107" t="str">
        <f t="shared" si="8"/>
        <v>Kirim WA</v>
      </c>
      <c r="AJ136" s="107" t="str">
        <f t="shared" si="9"/>
        <v>Kirim WA</v>
      </c>
      <c r="AK136" s="107" t="str">
        <f t="shared" si="10"/>
        <v>Kirim WA</v>
      </c>
      <c r="AL136" s="111">
        <f t="shared" si="11"/>
        <v>30667</v>
      </c>
      <c r="AM136" s="107" t="str">
        <f t="shared" si="12"/>
        <v>Kirim Invoice</v>
      </c>
      <c r="AN136" s="89"/>
      <c r="AO136" s="89"/>
      <c r="AP136" s="112" t="str">
        <f t="shared" si="13"/>
        <v>2M_UP</v>
      </c>
      <c r="AQ136" s="89">
        <v>1521.0</v>
      </c>
      <c r="AR136" s="89"/>
      <c r="AS136" s="113"/>
      <c r="AT136" s="113"/>
    </row>
    <row r="137" ht="15.0" customHeight="1">
      <c r="A137" s="79">
        <f t="shared" si="1"/>
        <v>133</v>
      </c>
      <c r="B137" s="117" t="str">
        <f t="shared" si="2"/>
        <v>ARM-0133</v>
      </c>
      <c r="C137" s="118" t="s">
        <v>1229</v>
      </c>
      <c r="D137" s="79" t="s">
        <v>1230</v>
      </c>
      <c r="E137" s="79" t="s">
        <v>1231</v>
      </c>
      <c r="F137" s="79" t="s">
        <v>1232</v>
      </c>
      <c r="G137" s="79" t="s">
        <v>193</v>
      </c>
      <c r="H137" s="119" t="s">
        <v>327</v>
      </c>
      <c r="I137" s="119">
        <v>1.0</v>
      </c>
      <c r="J137" s="119">
        <v>2.0</v>
      </c>
      <c r="K137" s="119" t="s">
        <v>194</v>
      </c>
      <c r="L137" s="119" t="s">
        <v>221</v>
      </c>
      <c r="M137" s="119">
        <f>IFERROR(VLOOKUP(L138, '4_Produk'!C:E, 2, FALSE()), "")</f>
        <v>20</v>
      </c>
      <c r="N137" s="119">
        <f>IFERROR(VLOOKUP(L138, '4_Produk'!C:E, 3, FALSE()), "")</f>
        <v>115000</v>
      </c>
      <c r="O137" s="119" t="s">
        <v>1233</v>
      </c>
      <c r="P137" s="119" t="s">
        <v>1234</v>
      </c>
      <c r="Q137" s="119" t="s">
        <v>1235</v>
      </c>
      <c r="R137" s="119"/>
      <c r="S137" s="120">
        <v>46196.0</v>
      </c>
      <c r="T137" s="119">
        <v>160.0</v>
      </c>
      <c r="U137" s="119" t="s">
        <v>1236</v>
      </c>
      <c r="V137" s="119"/>
      <c r="W137" s="114" t="s">
        <v>199</v>
      </c>
      <c r="X137" s="121"/>
      <c r="Y137" s="121"/>
      <c r="Z137" s="107" t="str">
        <f t="shared" si="3"/>
        <v>Chat WA</v>
      </c>
      <c r="AA137" s="107" t="str">
        <f t="shared" si="4"/>
        <v>Chat WA</v>
      </c>
      <c r="AB137" s="107" t="str">
        <f t="shared" si="5"/>
        <v>Kirim Invoice</v>
      </c>
      <c r="AC137" s="107" t="str">
        <f t="shared" si="6"/>
        <v>Chat WA</v>
      </c>
      <c r="AD137" s="108" t="str">
        <f>IFERROR(VLOOKUP($Q137,'12_ONT_NEW'!$D:$G,4,FALSE()),"")</f>
        <v/>
      </c>
      <c r="AE137" s="108"/>
      <c r="AF137" s="109"/>
      <c r="AG137" s="109"/>
      <c r="AH137" s="110">
        <f t="shared" si="7"/>
        <v>46226</v>
      </c>
      <c r="AI137" s="107" t="str">
        <f t="shared" si="8"/>
        <v>Kirim WA</v>
      </c>
      <c r="AJ137" s="107" t="str">
        <f t="shared" si="9"/>
        <v>Kirim WA</v>
      </c>
      <c r="AK137" s="107" t="str">
        <f t="shared" si="10"/>
        <v>Kirim WA</v>
      </c>
      <c r="AL137" s="111">
        <f t="shared" si="11"/>
        <v>26833</v>
      </c>
      <c r="AM137" s="107" t="str">
        <f t="shared" si="12"/>
        <v>Kirim Invoice</v>
      </c>
      <c r="AN137" s="89"/>
      <c r="AO137" s="89"/>
      <c r="AP137" s="112" t="str">
        <f t="shared" si="13"/>
        <v>2M_UP</v>
      </c>
      <c r="AQ137" s="89">
        <v>1521.0</v>
      </c>
      <c r="AR137" s="89"/>
      <c r="AS137" s="113"/>
      <c r="AT137" s="113"/>
    </row>
    <row r="138" ht="15.0" customHeight="1">
      <c r="A138" s="83">
        <f t="shared" si="1"/>
        <v>134</v>
      </c>
      <c r="B138" s="122" t="str">
        <f t="shared" si="2"/>
        <v>ARM-0134</v>
      </c>
      <c r="C138" s="123" t="s">
        <v>1237</v>
      </c>
      <c r="D138" s="83" t="s">
        <v>1238</v>
      </c>
      <c r="E138" s="83" t="s">
        <v>1239</v>
      </c>
      <c r="F138" s="83" t="s">
        <v>1240</v>
      </c>
      <c r="G138" s="83" t="s">
        <v>193</v>
      </c>
      <c r="H138" s="73" t="s">
        <v>327</v>
      </c>
      <c r="I138" s="73">
        <v>1.0</v>
      </c>
      <c r="J138" s="73">
        <v>2.0</v>
      </c>
      <c r="K138" s="73" t="s">
        <v>194</v>
      </c>
      <c r="L138" s="73" t="s">
        <v>221</v>
      </c>
      <c r="M138" s="73">
        <f>IFERROR(VLOOKUP(L139, '4_Produk'!C:E, 2, FALSE()), "")</f>
        <v>20</v>
      </c>
      <c r="N138" s="73">
        <f>IFERROR(VLOOKUP(L139, '4_Produk'!C:E, 3, FALSE()), "")</f>
        <v>115000</v>
      </c>
      <c r="O138" s="73" t="s">
        <v>1241</v>
      </c>
      <c r="P138" s="73" t="s">
        <v>1242</v>
      </c>
      <c r="Q138" s="73" t="s">
        <v>1243</v>
      </c>
      <c r="R138" s="73"/>
      <c r="S138" s="124">
        <v>46197.0</v>
      </c>
      <c r="T138" s="73">
        <v>50.0</v>
      </c>
      <c r="U138" s="73" t="s">
        <v>1244</v>
      </c>
      <c r="V138" s="73"/>
      <c r="W138" s="114" t="s">
        <v>199</v>
      </c>
      <c r="X138" s="121"/>
      <c r="Y138" s="121"/>
      <c r="Z138" s="107" t="str">
        <f t="shared" si="3"/>
        <v>Chat WA</v>
      </c>
      <c r="AA138" s="107" t="str">
        <f t="shared" si="4"/>
        <v>Chat WA</v>
      </c>
      <c r="AB138" s="107" t="str">
        <f t="shared" si="5"/>
        <v>Kirim Invoice</v>
      </c>
      <c r="AC138" s="107" t="str">
        <f t="shared" si="6"/>
        <v>Chat WA</v>
      </c>
      <c r="AD138" s="108" t="str">
        <f>IFERROR(VLOOKUP($Q138,'12_ONT_NEW'!$D:$G,4,FALSE()),"")</f>
        <v/>
      </c>
      <c r="AE138" s="108"/>
      <c r="AF138" s="109"/>
      <c r="AG138" s="109"/>
      <c r="AH138" s="110">
        <f t="shared" si="7"/>
        <v>46227</v>
      </c>
      <c r="AI138" s="107" t="str">
        <f t="shared" si="8"/>
        <v>Kirim WA</v>
      </c>
      <c r="AJ138" s="107" t="str">
        <f t="shared" si="9"/>
        <v>Kirim WA</v>
      </c>
      <c r="AK138" s="107" t="str">
        <f t="shared" si="10"/>
        <v>Kirim WA</v>
      </c>
      <c r="AL138" s="111">
        <f t="shared" si="11"/>
        <v>23000</v>
      </c>
      <c r="AM138" s="107" t="str">
        <f t="shared" si="12"/>
        <v>Kirim Invoice</v>
      </c>
      <c r="AN138" s="89"/>
      <c r="AO138" s="89"/>
      <c r="AP138" s="112" t="str">
        <f t="shared" si="13"/>
        <v>2M_UP</v>
      </c>
      <c r="AQ138" s="89">
        <v>1521.0</v>
      </c>
      <c r="AR138" s="89"/>
      <c r="AS138" s="113"/>
      <c r="AT138" s="113"/>
    </row>
    <row r="139" ht="15.0" customHeight="1">
      <c r="A139" s="83">
        <f t="shared" si="1"/>
        <v>135</v>
      </c>
      <c r="B139" s="117" t="str">
        <f t="shared" si="2"/>
        <v>ARM-0135</v>
      </c>
      <c r="C139" s="118" t="s">
        <v>1245</v>
      </c>
      <c r="D139" s="79" t="s">
        <v>1246</v>
      </c>
      <c r="E139" s="79" t="s">
        <v>1247</v>
      </c>
      <c r="F139" s="79" t="s">
        <v>1248</v>
      </c>
      <c r="G139" s="79" t="s">
        <v>193</v>
      </c>
      <c r="H139" s="119" t="s">
        <v>327</v>
      </c>
      <c r="I139" s="119">
        <v>11.0</v>
      </c>
      <c r="J139" s="119">
        <v>3.0</v>
      </c>
      <c r="K139" s="119" t="s">
        <v>194</v>
      </c>
      <c r="L139" s="119" t="s">
        <v>221</v>
      </c>
      <c r="M139" s="119">
        <f>IFERROR(VLOOKUP(L140, '4_Produk'!C:E, 2, FALSE()), "")</f>
        <v>20</v>
      </c>
      <c r="N139" s="119">
        <f>IFERROR(VLOOKUP(L140, '4_Produk'!C:E, 3, FALSE()), "")</f>
        <v>115000</v>
      </c>
      <c r="O139" s="119" t="s">
        <v>1249</v>
      </c>
      <c r="P139" s="119" t="s">
        <v>1250</v>
      </c>
      <c r="Q139" s="119" t="s">
        <v>1251</v>
      </c>
      <c r="R139" s="119"/>
      <c r="S139" s="120">
        <v>46198.0</v>
      </c>
      <c r="T139" s="119">
        <v>150.0</v>
      </c>
      <c r="U139" s="119" t="s">
        <v>1252</v>
      </c>
      <c r="V139" s="119"/>
      <c r="W139" s="114" t="s">
        <v>199</v>
      </c>
      <c r="X139" s="121"/>
      <c r="Y139" s="121"/>
      <c r="Z139" s="107" t="str">
        <f t="shared" si="3"/>
        <v>Chat WA</v>
      </c>
      <c r="AA139" s="107" t="str">
        <f t="shared" si="4"/>
        <v>Chat WA</v>
      </c>
      <c r="AB139" s="107" t="str">
        <f t="shared" si="5"/>
        <v>Kirim Invoice</v>
      </c>
      <c r="AC139" s="107" t="str">
        <f t="shared" si="6"/>
        <v>Chat WA</v>
      </c>
      <c r="AD139" s="108" t="str">
        <f>IFERROR(VLOOKUP($Q139,'12_ONT_NEW'!$D:$G,4,FALSE()),"")</f>
        <v/>
      </c>
      <c r="AE139" s="108"/>
      <c r="AF139" s="109"/>
      <c r="AG139" s="109"/>
      <c r="AH139" s="110">
        <f t="shared" si="7"/>
        <v>46228</v>
      </c>
      <c r="AI139" s="107" t="str">
        <f t="shared" si="8"/>
        <v>Kirim WA</v>
      </c>
      <c r="AJ139" s="107" t="str">
        <f t="shared" si="9"/>
        <v>Kirim WA</v>
      </c>
      <c r="AK139" s="107" t="str">
        <f t="shared" si="10"/>
        <v>Kirim WA</v>
      </c>
      <c r="AL139" s="111">
        <f t="shared" si="11"/>
        <v>19167</v>
      </c>
      <c r="AM139" s="107" t="str">
        <f t="shared" si="12"/>
        <v>Kirim Invoice</v>
      </c>
      <c r="AN139" s="89"/>
      <c r="AO139" s="89"/>
      <c r="AP139" s="112" t="str">
        <f t="shared" si="13"/>
        <v>2M_UP</v>
      </c>
      <c r="AQ139" s="89">
        <v>1521.0</v>
      </c>
      <c r="AR139" s="89"/>
      <c r="AS139" s="113"/>
      <c r="AT139" s="113"/>
    </row>
    <row r="140" ht="15.0" customHeight="1">
      <c r="A140" s="79">
        <f t="shared" si="1"/>
        <v>136</v>
      </c>
      <c r="B140" s="122" t="str">
        <f t="shared" si="2"/>
        <v>ARM-0136</v>
      </c>
      <c r="C140" s="123" t="s">
        <v>1253</v>
      </c>
      <c r="D140" s="83" t="s">
        <v>1254</v>
      </c>
      <c r="E140" s="83" t="s">
        <v>1255</v>
      </c>
      <c r="F140" s="83" t="s">
        <v>1256</v>
      </c>
      <c r="G140" s="83" t="s">
        <v>193</v>
      </c>
      <c r="H140" s="73" t="s">
        <v>327</v>
      </c>
      <c r="I140" s="73">
        <v>9.0</v>
      </c>
      <c r="J140" s="73">
        <v>2.0</v>
      </c>
      <c r="K140" s="73" t="s">
        <v>194</v>
      </c>
      <c r="L140" s="73" t="s">
        <v>221</v>
      </c>
      <c r="M140" s="73">
        <f>IFERROR(VLOOKUP(L141, '4_Produk'!C:E, 2, FALSE()), "")</f>
        <v>30</v>
      </c>
      <c r="N140" s="73">
        <f>IFERROR(VLOOKUP(L141, '4_Produk'!C:E, 3, FALSE()), "")</f>
        <v>142000</v>
      </c>
      <c r="O140" s="73" t="s">
        <v>1257</v>
      </c>
      <c r="P140" s="73" t="s">
        <v>1258</v>
      </c>
      <c r="Q140" s="73" t="s">
        <v>1259</v>
      </c>
      <c r="R140" s="73"/>
      <c r="S140" s="124">
        <v>46198.0</v>
      </c>
      <c r="T140" s="73">
        <v>120.0</v>
      </c>
      <c r="U140" s="73"/>
      <c r="V140" s="73"/>
      <c r="W140" s="114" t="s">
        <v>199</v>
      </c>
      <c r="X140" s="121"/>
      <c r="Y140" s="121"/>
      <c r="Z140" s="107" t="str">
        <f t="shared" si="3"/>
        <v>Chat WA</v>
      </c>
      <c r="AA140" s="107" t="str">
        <f t="shared" si="4"/>
        <v>Chat WA</v>
      </c>
      <c r="AB140" s="107" t="str">
        <f t="shared" si="5"/>
        <v>Kirim Invoice</v>
      </c>
      <c r="AC140" s="107" t="str">
        <f t="shared" si="6"/>
        <v>Chat WA</v>
      </c>
      <c r="AD140" s="108" t="str">
        <f>IFERROR(VLOOKUP($Q140,'12_ONT_NEW'!$D:$G,4,FALSE()),"")</f>
        <v/>
      </c>
      <c r="AE140" s="108"/>
      <c r="AF140" s="109"/>
      <c r="AG140" s="109"/>
      <c r="AH140" s="110">
        <f t="shared" si="7"/>
        <v>46228</v>
      </c>
      <c r="AI140" s="107" t="str">
        <f t="shared" si="8"/>
        <v>Kirim WA</v>
      </c>
      <c r="AJ140" s="107" t="str">
        <f t="shared" si="9"/>
        <v>Kirim WA</v>
      </c>
      <c r="AK140" s="107" t="str">
        <f t="shared" si="10"/>
        <v>Kirim WA</v>
      </c>
      <c r="AL140" s="111">
        <f t="shared" si="11"/>
        <v>23667</v>
      </c>
      <c r="AM140" s="107" t="str">
        <f t="shared" si="12"/>
        <v>Kirim Invoice</v>
      </c>
      <c r="AN140" s="89"/>
      <c r="AO140" s="89"/>
      <c r="AP140" s="112" t="str">
        <f t="shared" si="13"/>
        <v>3M_UP</v>
      </c>
      <c r="AQ140" s="89">
        <v>1521.0</v>
      </c>
      <c r="AR140" s="89"/>
      <c r="AS140" s="113"/>
      <c r="AT140" s="113"/>
    </row>
    <row r="141" ht="15.0" customHeight="1">
      <c r="A141" s="83">
        <f t="shared" si="1"/>
        <v>137</v>
      </c>
      <c r="B141" s="117" t="str">
        <f t="shared" si="2"/>
        <v>ARM-0137</v>
      </c>
      <c r="C141" s="118" t="s">
        <v>1260</v>
      </c>
      <c r="D141" s="79" t="s">
        <v>1261</v>
      </c>
      <c r="E141" s="79" t="s">
        <v>1262</v>
      </c>
      <c r="F141" s="79" t="s">
        <v>1263</v>
      </c>
      <c r="G141" s="79" t="s">
        <v>193</v>
      </c>
      <c r="H141" s="119" t="s">
        <v>327</v>
      </c>
      <c r="I141" s="119">
        <v>4.0</v>
      </c>
      <c r="J141" s="119">
        <v>3.0</v>
      </c>
      <c r="K141" s="119" t="s">
        <v>194</v>
      </c>
      <c r="L141" s="119" t="s">
        <v>212</v>
      </c>
      <c r="M141" s="119">
        <f>IFERROR(VLOOKUP(L142, '4_Produk'!C:E, 2, FALSE()), "")</f>
        <v>20</v>
      </c>
      <c r="N141" s="119">
        <f>IFERROR(VLOOKUP(L142, '4_Produk'!C:E, 3, FALSE()), "")</f>
        <v>115000</v>
      </c>
      <c r="O141" s="119" t="s">
        <v>1264</v>
      </c>
      <c r="P141" s="119" t="s">
        <v>1265</v>
      </c>
      <c r="Q141" s="119" t="s">
        <v>1266</v>
      </c>
      <c r="R141" s="119"/>
      <c r="S141" s="120">
        <v>46199.0</v>
      </c>
      <c r="T141" s="119">
        <v>50.0</v>
      </c>
      <c r="U141" s="119" t="s">
        <v>913</v>
      </c>
      <c r="V141" s="119"/>
      <c r="W141" s="114" t="s">
        <v>199</v>
      </c>
      <c r="X141" s="121"/>
      <c r="Y141" s="121"/>
      <c r="Z141" s="107" t="str">
        <f t="shared" si="3"/>
        <v>Chat WA</v>
      </c>
      <c r="AA141" s="107" t="str">
        <f t="shared" si="4"/>
        <v>Chat WA</v>
      </c>
      <c r="AB141" s="107" t="str">
        <f t="shared" si="5"/>
        <v>Kirim Invoice</v>
      </c>
      <c r="AC141" s="107" t="str">
        <f t="shared" si="6"/>
        <v>Chat WA</v>
      </c>
      <c r="AD141" s="108" t="str">
        <f>IFERROR(VLOOKUP($Q141,'12_ONT_NEW'!$D:$G,4,FALSE()),"")</f>
        <v/>
      </c>
      <c r="AE141" s="108"/>
      <c r="AF141" s="109"/>
      <c r="AG141" s="109"/>
      <c r="AH141" s="110">
        <f t="shared" si="7"/>
        <v>46229</v>
      </c>
      <c r="AI141" s="107" t="str">
        <f t="shared" si="8"/>
        <v>Kirim WA</v>
      </c>
      <c r="AJ141" s="107" t="str">
        <f t="shared" si="9"/>
        <v>Kirim WA</v>
      </c>
      <c r="AK141" s="107" t="str">
        <f t="shared" si="10"/>
        <v>Kirim WA</v>
      </c>
      <c r="AL141" s="111">
        <f t="shared" si="11"/>
        <v>15333</v>
      </c>
      <c r="AM141" s="107" t="str">
        <f t="shared" si="12"/>
        <v>Kirim Invoice</v>
      </c>
      <c r="AN141" s="89"/>
      <c r="AO141" s="89"/>
      <c r="AP141" s="112" t="str">
        <f t="shared" si="13"/>
        <v>2M_UP</v>
      </c>
      <c r="AQ141" s="89">
        <v>1521.0</v>
      </c>
      <c r="AR141" s="89"/>
      <c r="AS141" s="113"/>
      <c r="AT141" s="113"/>
    </row>
    <row r="142" ht="15.0" customHeight="1">
      <c r="A142" s="83">
        <f t="shared" si="1"/>
        <v>138</v>
      </c>
      <c r="B142" s="122" t="str">
        <f t="shared" si="2"/>
        <v>ARM-0138</v>
      </c>
      <c r="C142" s="123" t="s">
        <v>1267</v>
      </c>
      <c r="D142" s="83" t="s">
        <v>1268</v>
      </c>
      <c r="E142" s="83" t="s">
        <v>1269</v>
      </c>
      <c r="F142" s="83" t="s">
        <v>1270</v>
      </c>
      <c r="G142" s="83" t="s">
        <v>193</v>
      </c>
      <c r="H142" s="73" t="s">
        <v>327</v>
      </c>
      <c r="I142" s="73">
        <v>1.0</v>
      </c>
      <c r="J142" s="73">
        <v>8.0</v>
      </c>
      <c r="K142" s="73" t="s">
        <v>194</v>
      </c>
      <c r="L142" s="73" t="s">
        <v>221</v>
      </c>
      <c r="M142" s="73">
        <f>IFERROR(VLOOKUP(L143, '4_Produk'!C:E, 2, FALSE()), "")</f>
        <v>20</v>
      </c>
      <c r="N142" s="73">
        <f>IFERROR(VLOOKUP(L143, '4_Produk'!C:E, 3, FALSE()), "")</f>
        <v>115000</v>
      </c>
      <c r="O142" s="73" t="s">
        <v>1271</v>
      </c>
      <c r="P142" s="73" t="s">
        <v>1272</v>
      </c>
      <c r="Q142" s="73" t="s">
        <v>1273</v>
      </c>
      <c r="R142" s="73"/>
      <c r="S142" s="124">
        <v>46202.0</v>
      </c>
      <c r="T142" s="73">
        <v>80.0</v>
      </c>
      <c r="U142" s="73" t="s">
        <v>1274</v>
      </c>
      <c r="V142" s="73"/>
      <c r="W142" s="114" t="s">
        <v>199</v>
      </c>
      <c r="X142" s="121"/>
      <c r="Y142" s="121"/>
      <c r="Z142" s="107" t="str">
        <f t="shared" si="3"/>
        <v>Chat WA</v>
      </c>
      <c r="AA142" s="107" t="str">
        <f t="shared" si="4"/>
        <v>Chat WA</v>
      </c>
      <c r="AB142" s="107" t="str">
        <f t="shared" si="5"/>
        <v>Kirim Invoice</v>
      </c>
      <c r="AC142" s="107" t="str">
        <f t="shared" si="6"/>
        <v>Chat WA</v>
      </c>
      <c r="AD142" s="108" t="str">
        <f>IFERROR(VLOOKUP($Q142,'12_ONT_NEW'!$D:$G,4,FALSE()),"")</f>
        <v/>
      </c>
      <c r="AE142" s="108"/>
      <c r="AF142" s="109"/>
      <c r="AG142" s="109"/>
      <c r="AH142" s="110">
        <f t="shared" si="7"/>
        <v>46232</v>
      </c>
      <c r="AI142" s="107" t="str">
        <f t="shared" si="8"/>
        <v>Kirim WA</v>
      </c>
      <c r="AJ142" s="107" t="str">
        <f t="shared" si="9"/>
        <v>Kirim WA</v>
      </c>
      <c r="AK142" s="107" t="str">
        <f t="shared" si="10"/>
        <v>Kirim WA</v>
      </c>
      <c r="AL142" s="111">
        <f t="shared" si="11"/>
        <v>3833</v>
      </c>
      <c r="AM142" s="107" t="str">
        <f t="shared" si="12"/>
        <v>Kirim Invoice</v>
      </c>
      <c r="AN142" s="89"/>
      <c r="AO142" s="89"/>
      <c r="AP142" s="112" t="str">
        <f t="shared" si="13"/>
        <v>2M_UP</v>
      </c>
      <c r="AQ142" s="89">
        <v>1521.0</v>
      </c>
      <c r="AR142" s="89"/>
      <c r="AS142" s="113"/>
      <c r="AT142" s="113"/>
    </row>
    <row r="143" ht="15.0" customHeight="1">
      <c r="A143" s="79">
        <f t="shared" si="1"/>
        <v>139</v>
      </c>
      <c r="B143" s="117" t="str">
        <f t="shared" si="2"/>
        <v>ARM-0139</v>
      </c>
      <c r="C143" s="118" t="s">
        <v>1275</v>
      </c>
      <c r="D143" s="79" t="s">
        <v>1276</v>
      </c>
      <c r="E143" s="79" t="s">
        <v>1277</v>
      </c>
      <c r="F143" s="79" t="s">
        <v>1278</v>
      </c>
      <c r="G143" s="79" t="s">
        <v>193</v>
      </c>
      <c r="H143" s="119" t="s">
        <v>327</v>
      </c>
      <c r="I143" s="119">
        <v>1.0</v>
      </c>
      <c r="J143" s="119">
        <v>1.0</v>
      </c>
      <c r="K143" s="119" t="s">
        <v>194</v>
      </c>
      <c r="L143" s="119" t="s">
        <v>221</v>
      </c>
      <c r="M143" s="119">
        <f>IFERROR(VLOOKUP(L144, '4_Produk'!C:E, 2, FALSE()), "")</f>
        <v>30</v>
      </c>
      <c r="N143" s="119">
        <f>IFERROR(VLOOKUP(L144, '4_Produk'!C:E, 3, FALSE()), "")</f>
        <v>142000</v>
      </c>
      <c r="O143" s="119" t="s">
        <v>1279</v>
      </c>
      <c r="P143" s="119" t="s">
        <v>1280</v>
      </c>
      <c r="Q143" s="119" t="s">
        <v>1281</v>
      </c>
      <c r="R143" s="119"/>
      <c r="S143" s="120">
        <v>46202.0</v>
      </c>
      <c r="T143" s="119">
        <v>150.0</v>
      </c>
      <c r="U143" s="119" t="s">
        <v>1282</v>
      </c>
      <c r="V143" s="119"/>
      <c r="W143" s="114" t="s">
        <v>199</v>
      </c>
      <c r="X143" s="121"/>
      <c r="Y143" s="121"/>
      <c r="Z143" s="107" t="str">
        <f t="shared" si="3"/>
        <v>Chat WA</v>
      </c>
      <c r="AA143" s="107" t="str">
        <f t="shared" si="4"/>
        <v>Chat WA</v>
      </c>
      <c r="AB143" s="107" t="str">
        <f t="shared" si="5"/>
        <v>Kirim Invoice</v>
      </c>
      <c r="AC143" s="107" t="str">
        <f t="shared" si="6"/>
        <v>Chat WA</v>
      </c>
      <c r="AD143" s="108" t="str">
        <f>IFERROR(VLOOKUP($Q143,'12_ONT_NEW'!$D:$G,4,FALSE()),"")</f>
        <v/>
      </c>
      <c r="AE143" s="108"/>
      <c r="AF143" s="109"/>
      <c r="AG143" s="109"/>
      <c r="AH143" s="110">
        <f t="shared" si="7"/>
        <v>46232</v>
      </c>
      <c r="AI143" s="107" t="str">
        <f t="shared" si="8"/>
        <v>Kirim WA</v>
      </c>
      <c r="AJ143" s="107" t="str">
        <f t="shared" si="9"/>
        <v>Kirim WA</v>
      </c>
      <c r="AK143" s="107" t="str">
        <f t="shared" si="10"/>
        <v>Kirim WA</v>
      </c>
      <c r="AL143" s="111">
        <f t="shared" si="11"/>
        <v>4733</v>
      </c>
      <c r="AM143" s="107" t="str">
        <f t="shared" si="12"/>
        <v>Kirim Invoice</v>
      </c>
      <c r="AN143" s="89"/>
      <c r="AO143" s="89"/>
      <c r="AP143" s="112" t="str">
        <f t="shared" si="13"/>
        <v>3M_UP</v>
      </c>
      <c r="AQ143" s="89">
        <v>1521.0</v>
      </c>
      <c r="AR143" s="89"/>
      <c r="AS143" s="113"/>
      <c r="AT143" s="113"/>
    </row>
    <row r="144" ht="15.0" customHeight="1">
      <c r="A144" s="83">
        <f t="shared" si="1"/>
        <v>140</v>
      </c>
      <c r="B144" s="122" t="str">
        <f t="shared" si="2"/>
        <v>ARM-0140</v>
      </c>
      <c r="C144" s="123" t="s">
        <v>1283</v>
      </c>
      <c r="D144" s="83" t="s">
        <v>1284</v>
      </c>
      <c r="E144" s="83" t="s">
        <v>1285</v>
      </c>
      <c r="F144" s="83" t="s">
        <v>1286</v>
      </c>
      <c r="G144" s="83" t="s">
        <v>193</v>
      </c>
      <c r="H144" s="73" t="s">
        <v>327</v>
      </c>
      <c r="I144" s="73">
        <v>2.0</v>
      </c>
      <c r="J144" s="73">
        <v>11.0</v>
      </c>
      <c r="K144" s="73" t="s">
        <v>194</v>
      </c>
      <c r="L144" s="73" t="s">
        <v>212</v>
      </c>
      <c r="M144" s="73">
        <f>IFERROR(VLOOKUP(L145, '4_Produk'!C:E, 2, FALSE()), "")</f>
        <v>30</v>
      </c>
      <c r="N144" s="73">
        <f>IFERROR(VLOOKUP(L145, '4_Produk'!C:E, 3, FALSE()), "")</f>
        <v>142000</v>
      </c>
      <c r="O144" s="73" t="s">
        <v>1287</v>
      </c>
      <c r="P144" s="73" t="s">
        <v>1288</v>
      </c>
      <c r="Q144" s="73" t="s">
        <v>1289</v>
      </c>
      <c r="R144" s="73"/>
      <c r="S144" s="124">
        <v>46203.0</v>
      </c>
      <c r="T144" s="73">
        <v>130.0</v>
      </c>
      <c r="U144" s="73" t="s">
        <v>1290</v>
      </c>
      <c r="V144" s="73"/>
      <c r="W144" s="114" t="s">
        <v>199</v>
      </c>
      <c r="X144" s="121"/>
      <c r="Y144" s="121"/>
      <c r="Z144" s="107" t="str">
        <f t="shared" si="3"/>
        <v>Chat WA</v>
      </c>
      <c r="AA144" s="107" t="str">
        <f t="shared" si="4"/>
        <v>Chat WA</v>
      </c>
      <c r="AB144" s="107" t="str">
        <f t="shared" si="5"/>
        <v>Kirim Invoice</v>
      </c>
      <c r="AC144" s="107" t="str">
        <f t="shared" si="6"/>
        <v>Chat WA</v>
      </c>
      <c r="AD144" s="108" t="str">
        <f>IFERROR(VLOOKUP($Q144,'12_ONT_NEW'!$D:$G,4,FALSE()),"")</f>
        <v/>
      </c>
      <c r="AE144" s="108"/>
      <c r="AF144" s="109"/>
      <c r="AG144" s="109"/>
      <c r="AH144" s="110">
        <f t="shared" si="7"/>
        <v>46233</v>
      </c>
      <c r="AI144" s="107" t="str">
        <f t="shared" si="8"/>
        <v>Kirim WA</v>
      </c>
      <c r="AJ144" s="107" t="str">
        <f t="shared" si="9"/>
        <v>Kirim WA</v>
      </c>
      <c r="AK144" s="107" t="str">
        <f t="shared" si="10"/>
        <v>Kirim WA</v>
      </c>
      <c r="AL144" s="111">
        <f t="shared" si="11"/>
        <v>0</v>
      </c>
      <c r="AM144" s="107" t="str">
        <f t="shared" si="12"/>
        <v>Kirim Invoice</v>
      </c>
      <c r="AN144" s="89"/>
      <c r="AO144" s="89"/>
      <c r="AP144" s="112" t="str">
        <f t="shared" si="13"/>
        <v>3M_UP</v>
      </c>
      <c r="AQ144" s="89">
        <v>1521.0</v>
      </c>
      <c r="AR144" s="89"/>
      <c r="AS144" s="113"/>
      <c r="AT144" s="113"/>
    </row>
    <row r="145" ht="15.0" customHeight="1">
      <c r="A145" s="125">
        <f t="shared" si="1"/>
        <v>141</v>
      </c>
      <c r="B145" s="126" t="str">
        <f t="shared" si="2"/>
        <v>ARM-0141</v>
      </c>
      <c r="C145" s="127" t="s">
        <v>1291</v>
      </c>
      <c r="D145" s="125" t="s">
        <v>1292</v>
      </c>
      <c r="E145" s="125"/>
      <c r="F145" s="125" t="s">
        <v>1293</v>
      </c>
      <c r="G145" s="125" t="s">
        <v>193</v>
      </c>
      <c r="H145" s="128" t="s">
        <v>327</v>
      </c>
      <c r="I145" s="128">
        <v>2.0</v>
      </c>
      <c r="J145" s="128">
        <v>11.0</v>
      </c>
      <c r="K145" s="128" t="s">
        <v>194</v>
      </c>
      <c r="L145" s="128" t="s">
        <v>212</v>
      </c>
      <c r="M145" s="128">
        <f>IFERROR(VLOOKUP(L146, '4_Produk'!C:E, 2, FALSE()), "")</f>
        <v>20</v>
      </c>
      <c r="N145" s="128">
        <f>IFERROR(VLOOKUP(L146, '4_Produk'!C:E, 3, FALSE()), "")</f>
        <v>115000</v>
      </c>
      <c r="O145" s="128" t="s">
        <v>1294</v>
      </c>
      <c r="P145" s="128" t="s">
        <v>1295</v>
      </c>
      <c r="Q145" s="128" t="s">
        <v>1296</v>
      </c>
      <c r="R145" s="128"/>
      <c r="S145" s="129">
        <v>46203.0</v>
      </c>
      <c r="T145" s="128">
        <v>100.0</v>
      </c>
      <c r="U145" s="128"/>
      <c r="V145" s="128" t="s">
        <v>1297</v>
      </c>
      <c r="W145" s="134" t="s">
        <v>332</v>
      </c>
      <c r="X145" s="128"/>
      <c r="Y145" s="128"/>
      <c r="Z145" s="130" t="str">
        <f t="shared" si="3"/>
        <v>Chat WA</v>
      </c>
      <c r="AA145" s="107" t="str">
        <f t="shared" si="4"/>
        <v>Chat WA</v>
      </c>
      <c r="AB145" s="107" t="str">
        <f t="shared" si="5"/>
        <v>Kirim Invoice</v>
      </c>
      <c r="AC145" s="107" t="str">
        <f t="shared" si="6"/>
        <v>Chat WA</v>
      </c>
      <c r="AD145" s="108" t="str">
        <f>IFERROR(VLOOKUP($Q145,'12_ONT_NEW'!$D:$G,4,FALSE()),"")</f>
        <v/>
      </c>
      <c r="AE145" s="108"/>
      <c r="AF145" s="109"/>
      <c r="AG145" s="109"/>
      <c r="AH145" s="110">
        <f t="shared" si="7"/>
        <v>46233</v>
      </c>
      <c r="AI145" s="107" t="str">
        <f t="shared" si="8"/>
        <v>Kirim WA</v>
      </c>
      <c r="AJ145" s="107" t="str">
        <f t="shared" si="9"/>
        <v>Kirim WA</v>
      </c>
      <c r="AK145" s="107" t="str">
        <f t="shared" si="10"/>
        <v>Kirim WA</v>
      </c>
      <c r="AL145" s="111">
        <f t="shared" si="11"/>
        <v>0</v>
      </c>
      <c r="AM145" s="107" t="str">
        <f t="shared" si="12"/>
        <v>Kirim Invoice</v>
      </c>
      <c r="AN145" s="89"/>
      <c r="AO145" s="89"/>
      <c r="AP145" s="112" t="str">
        <f t="shared" si="13"/>
        <v>2M_UP</v>
      </c>
      <c r="AQ145" s="89">
        <v>1521.0</v>
      </c>
      <c r="AR145" s="89"/>
      <c r="AS145" s="113"/>
      <c r="AT145" s="113"/>
    </row>
    <row r="146" ht="15.0" customHeight="1">
      <c r="A146" s="79">
        <f t="shared" si="1"/>
        <v>142</v>
      </c>
      <c r="B146" s="122" t="str">
        <f t="shared" si="2"/>
        <v>ARM-0142</v>
      </c>
      <c r="C146" s="123" t="s">
        <v>1298</v>
      </c>
      <c r="D146" s="83" t="s">
        <v>1299</v>
      </c>
      <c r="E146" s="83" t="s">
        <v>1300</v>
      </c>
      <c r="F146" s="83" t="s">
        <v>1301</v>
      </c>
      <c r="G146" s="83" t="s">
        <v>193</v>
      </c>
      <c r="H146" s="73" t="s">
        <v>327</v>
      </c>
      <c r="I146" s="73">
        <v>11.0</v>
      </c>
      <c r="J146" s="73">
        <v>2.0</v>
      </c>
      <c r="K146" s="73" t="s">
        <v>194</v>
      </c>
      <c r="L146" s="73" t="s">
        <v>221</v>
      </c>
      <c r="M146" s="73">
        <f>IFERROR(VLOOKUP(L147, '4_Produk'!C:E, 2, FALSE()), "")</f>
        <v>20</v>
      </c>
      <c r="N146" s="73">
        <f>IFERROR(VLOOKUP(L147, '4_Produk'!C:E, 3, FALSE()), "")</f>
        <v>115000</v>
      </c>
      <c r="O146" s="73" t="s">
        <v>1302</v>
      </c>
      <c r="P146" s="73" t="s">
        <v>1303</v>
      </c>
      <c r="Q146" s="73" t="s">
        <v>1304</v>
      </c>
      <c r="R146" s="73"/>
      <c r="S146" s="124">
        <v>46203.0</v>
      </c>
      <c r="T146" s="73">
        <v>30.0</v>
      </c>
      <c r="U146" s="73" t="s">
        <v>1305</v>
      </c>
      <c r="V146" s="73"/>
      <c r="W146" s="114" t="s">
        <v>199</v>
      </c>
      <c r="X146" s="121"/>
      <c r="Y146" s="121"/>
      <c r="Z146" s="107" t="str">
        <f t="shared" si="3"/>
        <v>Chat WA</v>
      </c>
      <c r="AA146" s="107" t="str">
        <f t="shared" si="4"/>
        <v>Chat WA</v>
      </c>
      <c r="AB146" s="107" t="str">
        <f t="shared" si="5"/>
        <v>Kirim Invoice</v>
      </c>
      <c r="AC146" s="107" t="str">
        <f t="shared" si="6"/>
        <v>Chat WA</v>
      </c>
      <c r="AD146" s="108" t="str">
        <f>IFERROR(VLOOKUP($Q146,'12_ONT_NEW'!$D:$G,4,FALSE()),"")</f>
        <v/>
      </c>
      <c r="AE146" s="108"/>
      <c r="AF146" s="109"/>
      <c r="AG146" s="109"/>
      <c r="AH146" s="110">
        <f t="shared" si="7"/>
        <v>46233</v>
      </c>
      <c r="AI146" s="107" t="str">
        <f t="shared" si="8"/>
        <v>Kirim WA</v>
      </c>
      <c r="AJ146" s="107" t="str">
        <f t="shared" si="9"/>
        <v>Kirim WA</v>
      </c>
      <c r="AK146" s="107" t="str">
        <f t="shared" si="10"/>
        <v>Kirim WA</v>
      </c>
      <c r="AL146" s="111">
        <f t="shared" si="11"/>
        <v>0</v>
      </c>
      <c r="AM146" s="107" t="str">
        <f t="shared" si="12"/>
        <v>Kirim Invoice</v>
      </c>
      <c r="AN146" s="89"/>
      <c r="AO146" s="89"/>
      <c r="AP146" s="112" t="str">
        <f t="shared" si="13"/>
        <v>2M_UP</v>
      </c>
      <c r="AQ146" s="89">
        <v>1521.0</v>
      </c>
      <c r="AR146" s="89"/>
      <c r="AS146" s="113"/>
      <c r="AT146" s="113"/>
    </row>
    <row r="147" ht="15.0" customHeight="1">
      <c r="A147" s="83">
        <f t="shared" si="1"/>
        <v>143</v>
      </c>
      <c r="B147" s="117" t="str">
        <f t="shared" si="2"/>
        <v>ARM-0143</v>
      </c>
      <c r="C147" s="118" t="s">
        <v>1306</v>
      </c>
      <c r="D147" s="79" t="s">
        <v>1307</v>
      </c>
      <c r="E147" s="79" t="s">
        <v>1308</v>
      </c>
      <c r="F147" s="79" t="s">
        <v>1309</v>
      </c>
      <c r="G147" s="79" t="s">
        <v>193</v>
      </c>
      <c r="H147" s="119" t="s">
        <v>327</v>
      </c>
      <c r="I147" s="119">
        <v>4.0</v>
      </c>
      <c r="J147" s="119">
        <v>6.0</v>
      </c>
      <c r="K147" s="119" t="s">
        <v>194</v>
      </c>
      <c r="L147" s="119" t="s">
        <v>221</v>
      </c>
      <c r="M147" s="119">
        <f>IFERROR(VLOOKUP(L148, '4_Produk'!C:E, 2, FALSE()), "")</f>
        <v>20</v>
      </c>
      <c r="N147" s="119">
        <f>IFERROR(VLOOKUP(L148, '4_Produk'!C:E, 3, FALSE()), "")</f>
        <v>115000</v>
      </c>
      <c r="O147" s="119" t="s">
        <v>1310</v>
      </c>
      <c r="P147" s="119" t="s">
        <v>1311</v>
      </c>
      <c r="Q147" s="119" t="s">
        <v>1312</v>
      </c>
      <c r="R147" s="119"/>
      <c r="S147" s="120">
        <v>46204.0</v>
      </c>
      <c r="T147" s="119">
        <v>280.0</v>
      </c>
      <c r="U147" s="119" t="s">
        <v>1313</v>
      </c>
      <c r="V147" s="119"/>
      <c r="W147" s="114" t="s">
        <v>199</v>
      </c>
      <c r="X147" s="121"/>
      <c r="Y147" s="121"/>
      <c r="Z147" s="107" t="str">
        <f t="shared" si="3"/>
        <v>Chat WA</v>
      </c>
      <c r="AA147" s="107" t="str">
        <f t="shared" si="4"/>
        <v>Chat WA</v>
      </c>
      <c r="AB147" s="107" t="str">
        <f t="shared" si="5"/>
        <v>Kirim Invoice</v>
      </c>
      <c r="AC147" s="107" t="str">
        <f t="shared" si="6"/>
        <v>Chat WA</v>
      </c>
      <c r="AD147" s="108" t="str">
        <f>IFERROR(VLOOKUP($Q147,'12_ONT_NEW'!$D:$G,4,FALSE()),"")</f>
        <v/>
      </c>
      <c r="AE147" s="108"/>
      <c r="AF147" s="109"/>
      <c r="AG147" s="109"/>
      <c r="AH147" s="110">
        <f t="shared" si="7"/>
        <v>46204</v>
      </c>
      <c r="AI147" s="107" t="str">
        <f t="shared" si="8"/>
        <v>Kirim WA</v>
      </c>
      <c r="AJ147" s="107" t="str">
        <f t="shared" si="9"/>
        <v>Kirim WA</v>
      </c>
      <c r="AK147" s="107" t="str">
        <f t="shared" si="10"/>
        <v>Kirim WA</v>
      </c>
      <c r="AL147" s="111">
        <f t="shared" si="11"/>
        <v>111167</v>
      </c>
      <c r="AM147" s="107" t="str">
        <f t="shared" si="12"/>
        <v>Kirim Invoice</v>
      </c>
      <c r="AN147" s="89"/>
      <c r="AO147" s="89"/>
      <c r="AP147" s="112" t="str">
        <f t="shared" si="13"/>
        <v>2M_UP</v>
      </c>
      <c r="AQ147" s="89">
        <v>1521.0</v>
      </c>
      <c r="AR147" s="89"/>
      <c r="AS147" s="113"/>
      <c r="AT147" s="113"/>
    </row>
    <row r="148" ht="15.0" customHeight="1">
      <c r="A148" s="83">
        <f t="shared" si="1"/>
        <v>144</v>
      </c>
      <c r="B148" s="122" t="str">
        <f t="shared" si="2"/>
        <v>ARM-0144</v>
      </c>
      <c r="C148" s="123" t="s">
        <v>1314</v>
      </c>
      <c r="D148" s="83" t="s">
        <v>1315</v>
      </c>
      <c r="E148" s="83" t="s">
        <v>1316</v>
      </c>
      <c r="F148" s="83" t="s">
        <v>1317</v>
      </c>
      <c r="G148" s="83" t="s">
        <v>193</v>
      </c>
      <c r="H148" s="73" t="s">
        <v>327</v>
      </c>
      <c r="I148" s="73">
        <v>1.0</v>
      </c>
      <c r="J148" s="73">
        <v>1.0</v>
      </c>
      <c r="K148" s="73" t="s">
        <v>194</v>
      </c>
      <c r="L148" s="73" t="s">
        <v>221</v>
      </c>
      <c r="M148" s="73">
        <f>IFERROR(VLOOKUP(L149, '4_Produk'!C:E, 2, FALSE()), "")</f>
        <v>20</v>
      </c>
      <c r="N148" s="73">
        <f>IFERROR(VLOOKUP(L149, '4_Produk'!C:E, 3, FALSE()), "")</f>
        <v>115000</v>
      </c>
      <c r="O148" s="73" t="s">
        <v>1318</v>
      </c>
      <c r="P148" s="73" t="s">
        <v>1319</v>
      </c>
      <c r="Q148" s="73" t="s">
        <v>1320</v>
      </c>
      <c r="R148" s="73"/>
      <c r="S148" s="124">
        <v>46204.0</v>
      </c>
      <c r="T148" s="73">
        <v>90.0</v>
      </c>
      <c r="U148" s="73" t="s">
        <v>1321</v>
      </c>
      <c r="V148" s="73"/>
      <c r="W148" s="114" t="s">
        <v>199</v>
      </c>
      <c r="X148" s="121"/>
      <c r="Y148" s="121"/>
      <c r="Z148" s="107" t="str">
        <f t="shared" si="3"/>
        <v>Chat WA</v>
      </c>
      <c r="AA148" s="107" t="str">
        <f t="shared" si="4"/>
        <v>Chat WA</v>
      </c>
      <c r="AB148" s="107" t="str">
        <f t="shared" si="5"/>
        <v>Kirim Invoice</v>
      </c>
      <c r="AC148" s="107" t="str">
        <f t="shared" si="6"/>
        <v>Chat WA</v>
      </c>
      <c r="AD148" s="108" t="str">
        <f>IFERROR(VLOOKUP($Q148,'12_ONT_NEW'!$D:$G,4,FALSE()),"")</f>
        <v/>
      </c>
      <c r="AE148" s="108"/>
      <c r="AF148" s="109"/>
      <c r="AG148" s="109"/>
      <c r="AH148" s="110">
        <f t="shared" si="7"/>
        <v>46204</v>
      </c>
      <c r="AI148" s="107" t="str">
        <f t="shared" si="8"/>
        <v>Kirim WA</v>
      </c>
      <c r="AJ148" s="107" t="str">
        <f t="shared" si="9"/>
        <v>Kirim WA</v>
      </c>
      <c r="AK148" s="107" t="str">
        <f t="shared" si="10"/>
        <v>Kirim WA</v>
      </c>
      <c r="AL148" s="111">
        <f t="shared" si="11"/>
        <v>111167</v>
      </c>
      <c r="AM148" s="107" t="str">
        <f t="shared" si="12"/>
        <v>Kirim Invoice</v>
      </c>
      <c r="AN148" s="89"/>
      <c r="AO148" s="89"/>
      <c r="AP148" s="112" t="str">
        <f t="shared" si="13"/>
        <v>2M_UP</v>
      </c>
      <c r="AQ148" s="89">
        <v>1521.0</v>
      </c>
      <c r="AR148" s="89"/>
      <c r="AS148" s="113"/>
      <c r="AT148" s="113"/>
    </row>
    <row r="149" ht="15.0" customHeight="1">
      <c r="A149" s="79">
        <f t="shared" si="1"/>
        <v>145</v>
      </c>
      <c r="B149" s="117" t="str">
        <f t="shared" si="2"/>
        <v>ARM-0145</v>
      </c>
      <c r="C149" s="118" t="s">
        <v>1322</v>
      </c>
      <c r="D149" s="79" t="s">
        <v>679</v>
      </c>
      <c r="E149" s="79" t="s">
        <v>1323</v>
      </c>
      <c r="F149" s="79" t="s">
        <v>1324</v>
      </c>
      <c r="G149" s="79" t="s">
        <v>193</v>
      </c>
      <c r="H149" s="119" t="s">
        <v>327</v>
      </c>
      <c r="I149" s="119">
        <v>4.0</v>
      </c>
      <c r="J149" s="119">
        <v>7.0</v>
      </c>
      <c r="K149" s="119" t="s">
        <v>194</v>
      </c>
      <c r="L149" s="119" t="s">
        <v>221</v>
      </c>
      <c r="M149" s="119">
        <f>IFERROR(VLOOKUP(L150, '4_Produk'!C:E, 2, FALSE()), "")</f>
        <v>20</v>
      </c>
      <c r="N149" s="119">
        <f>IFERROR(VLOOKUP(L150, '4_Produk'!C:E, 3, FALSE()), "")</f>
        <v>115000</v>
      </c>
      <c r="O149" s="119" t="s">
        <v>1325</v>
      </c>
      <c r="P149" s="119" t="s">
        <v>1326</v>
      </c>
      <c r="Q149" s="119" t="s">
        <v>1327</v>
      </c>
      <c r="R149" s="119"/>
      <c r="S149" s="120">
        <v>46205.0</v>
      </c>
      <c r="T149" s="119">
        <v>85.0</v>
      </c>
      <c r="U149" s="119" t="s">
        <v>1328</v>
      </c>
      <c r="V149" s="119"/>
      <c r="W149" s="114" t="s">
        <v>199</v>
      </c>
      <c r="X149" s="121"/>
      <c r="Y149" s="121"/>
      <c r="Z149" s="107" t="str">
        <f t="shared" si="3"/>
        <v>Chat WA</v>
      </c>
      <c r="AA149" s="107" t="str">
        <f t="shared" si="4"/>
        <v>Chat WA</v>
      </c>
      <c r="AB149" s="107" t="str">
        <f t="shared" si="5"/>
        <v>Kirim Invoice</v>
      </c>
      <c r="AC149" s="107" t="str">
        <f t="shared" si="6"/>
        <v>Chat WA</v>
      </c>
      <c r="AD149" s="108" t="str">
        <f>IFERROR(VLOOKUP($Q149,'12_ONT_NEW'!$D:$G,4,FALSE()),"")</f>
        <v>5i95dg_2.4G</v>
      </c>
      <c r="AE149" s="108"/>
      <c r="AF149" s="109"/>
      <c r="AG149" s="109"/>
      <c r="AH149" s="110">
        <f t="shared" si="7"/>
        <v>46205</v>
      </c>
      <c r="AI149" s="107" t="str">
        <f t="shared" si="8"/>
        <v>Kirim WA</v>
      </c>
      <c r="AJ149" s="107" t="str">
        <f t="shared" si="9"/>
        <v>Kirim WA</v>
      </c>
      <c r="AK149" s="107" t="str">
        <f t="shared" si="10"/>
        <v>Kirim WA</v>
      </c>
      <c r="AL149" s="111">
        <f t="shared" si="11"/>
        <v>107333</v>
      </c>
      <c r="AM149" s="107" t="str">
        <f t="shared" si="12"/>
        <v>Kirim Invoice</v>
      </c>
      <c r="AN149" s="89"/>
      <c r="AO149" s="89"/>
      <c r="AP149" s="112" t="str">
        <f t="shared" si="13"/>
        <v>2M_UP</v>
      </c>
      <c r="AQ149" s="89">
        <v>1521.0</v>
      </c>
      <c r="AR149" s="89"/>
      <c r="AS149" s="113"/>
      <c r="AT149" s="113"/>
    </row>
    <row r="150" ht="15.0" customHeight="1">
      <c r="A150" s="83">
        <f t="shared" si="1"/>
        <v>146</v>
      </c>
      <c r="B150" s="122" t="str">
        <f t="shared" si="2"/>
        <v>ARM-0146</v>
      </c>
      <c r="C150" s="123" t="s">
        <v>1329</v>
      </c>
      <c r="D150" s="83" t="s">
        <v>1330</v>
      </c>
      <c r="E150" s="83" t="s">
        <v>1331</v>
      </c>
      <c r="F150" s="83" t="s">
        <v>1332</v>
      </c>
      <c r="G150" s="83" t="s">
        <v>193</v>
      </c>
      <c r="H150" s="73" t="s">
        <v>327</v>
      </c>
      <c r="I150" s="73">
        <v>1.0</v>
      </c>
      <c r="J150" s="73">
        <v>7.0</v>
      </c>
      <c r="K150" s="73" t="s">
        <v>194</v>
      </c>
      <c r="L150" s="73" t="s">
        <v>221</v>
      </c>
      <c r="M150" s="73">
        <f>IFERROR(VLOOKUP(L151, '4_Produk'!C:E, 2, FALSE()), "")</f>
        <v>20</v>
      </c>
      <c r="N150" s="73">
        <f>IFERROR(VLOOKUP(L151, '4_Produk'!C:E, 3, FALSE()), "")</f>
        <v>115000</v>
      </c>
      <c r="O150" s="73" t="s">
        <v>1333</v>
      </c>
      <c r="P150" s="73" t="s">
        <v>1334</v>
      </c>
      <c r="Q150" s="73" t="s">
        <v>1335</v>
      </c>
      <c r="R150" s="73"/>
      <c r="S150" s="124">
        <v>46204.0</v>
      </c>
      <c r="T150" s="73">
        <v>30.0</v>
      </c>
      <c r="U150" s="73"/>
      <c r="V150" s="73"/>
      <c r="W150" s="114" t="s">
        <v>199</v>
      </c>
      <c r="X150" s="121"/>
      <c r="Y150" s="121"/>
      <c r="Z150" s="107" t="str">
        <f t="shared" si="3"/>
        <v>Chat WA</v>
      </c>
      <c r="AA150" s="107" t="str">
        <f t="shared" si="4"/>
        <v>Chat WA</v>
      </c>
      <c r="AB150" s="107" t="str">
        <f t="shared" si="5"/>
        <v>Kirim Invoice</v>
      </c>
      <c r="AC150" s="107" t="str">
        <f t="shared" si="6"/>
        <v>Chat WA</v>
      </c>
      <c r="AD150" s="108" t="str">
        <f>IFERROR(VLOOKUP($Q150,'12_ONT_NEW'!$D:$G,4,FALSE()),"")</f>
        <v/>
      </c>
      <c r="AE150" s="108"/>
      <c r="AF150" s="109"/>
      <c r="AG150" s="109"/>
      <c r="AH150" s="110">
        <f t="shared" si="7"/>
        <v>46204</v>
      </c>
      <c r="AI150" s="107" t="str">
        <f t="shared" si="8"/>
        <v>Kirim WA</v>
      </c>
      <c r="AJ150" s="107" t="str">
        <f t="shared" si="9"/>
        <v>Kirim WA</v>
      </c>
      <c r="AK150" s="107" t="str">
        <f t="shared" si="10"/>
        <v>Kirim WA</v>
      </c>
      <c r="AL150" s="111">
        <f t="shared" si="11"/>
        <v>111167</v>
      </c>
      <c r="AM150" s="107" t="str">
        <f t="shared" si="12"/>
        <v>Kirim Invoice</v>
      </c>
      <c r="AN150" s="89"/>
      <c r="AO150" s="89"/>
      <c r="AP150" s="112" t="str">
        <f t="shared" si="13"/>
        <v>2M_UP</v>
      </c>
      <c r="AQ150" s="89">
        <v>1521.0</v>
      </c>
      <c r="AR150" s="89"/>
      <c r="AS150" s="113"/>
      <c r="AT150" s="113"/>
    </row>
    <row r="151" ht="15.0" customHeight="1">
      <c r="A151" s="83">
        <f t="shared" si="1"/>
        <v>147</v>
      </c>
      <c r="B151" s="117" t="str">
        <f t="shared" si="2"/>
        <v>ARM-0147</v>
      </c>
      <c r="C151" s="118" t="s">
        <v>1336</v>
      </c>
      <c r="D151" s="133" t="s">
        <v>679</v>
      </c>
      <c r="E151" s="79"/>
      <c r="F151" s="79" t="s">
        <v>1337</v>
      </c>
      <c r="G151" s="79" t="s">
        <v>193</v>
      </c>
      <c r="H151" s="119" t="s">
        <v>523</v>
      </c>
      <c r="I151" s="119">
        <v>2.0</v>
      </c>
      <c r="J151" s="119">
        <v>4.0</v>
      </c>
      <c r="K151" s="119" t="s">
        <v>194</v>
      </c>
      <c r="L151" s="119" t="s">
        <v>221</v>
      </c>
      <c r="M151" s="119">
        <f>IFERROR(VLOOKUP(L152, '4_Produk'!C:E, 2, FALSE()), "")</f>
        <v>20</v>
      </c>
      <c r="N151" s="119">
        <f>IFERROR(VLOOKUP(L152, '4_Produk'!C:E, 3, FALSE()), "")</f>
        <v>115000</v>
      </c>
      <c r="O151" s="115" t="s">
        <v>682</v>
      </c>
      <c r="P151" s="119" t="s">
        <v>1338</v>
      </c>
      <c r="Q151" s="119" t="s">
        <v>1339</v>
      </c>
      <c r="R151" s="119"/>
      <c r="S151" s="120">
        <v>46205.0</v>
      </c>
      <c r="T151" s="119">
        <v>85.0</v>
      </c>
      <c r="U151" s="119" t="s">
        <v>686</v>
      </c>
      <c r="V151" s="119"/>
      <c r="W151" s="114" t="s">
        <v>199</v>
      </c>
      <c r="X151" s="121"/>
      <c r="Y151" s="121"/>
      <c r="Z151" s="107" t="str">
        <f t="shared" si="3"/>
        <v>Chat WA</v>
      </c>
      <c r="AA151" s="107" t="str">
        <f t="shared" si="4"/>
        <v>Chat WA</v>
      </c>
      <c r="AB151" s="107" t="str">
        <f t="shared" si="5"/>
        <v>Kirim Invoice</v>
      </c>
      <c r="AC151" s="107" t="str">
        <f t="shared" si="6"/>
        <v>Chat WA</v>
      </c>
      <c r="AD151" s="108" t="str">
        <f>IFERROR(VLOOKUP($Q151,'12_ONT_NEW'!$D:$G,4,FALSE()),"")</f>
        <v/>
      </c>
      <c r="AE151" s="108"/>
      <c r="AF151" s="109"/>
      <c r="AG151" s="109"/>
      <c r="AH151" s="110">
        <f t="shared" si="7"/>
        <v>46205</v>
      </c>
      <c r="AI151" s="107" t="str">
        <f t="shared" si="8"/>
        <v>Kirim WA</v>
      </c>
      <c r="AJ151" s="107" t="str">
        <f t="shared" si="9"/>
        <v>Kirim WA</v>
      </c>
      <c r="AK151" s="107" t="str">
        <f t="shared" si="10"/>
        <v>Kirim WA</v>
      </c>
      <c r="AL151" s="111">
        <f t="shared" si="11"/>
        <v>107333</v>
      </c>
      <c r="AM151" s="107" t="str">
        <f t="shared" si="12"/>
        <v>Kirim Invoice</v>
      </c>
      <c r="AN151" s="89"/>
      <c r="AO151" s="89"/>
      <c r="AP151" s="112" t="str">
        <f t="shared" si="13"/>
        <v>2M_UP</v>
      </c>
      <c r="AQ151" s="89">
        <v>1521.0</v>
      </c>
      <c r="AR151" s="89"/>
      <c r="AS151" s="113"/>
      <c r="AT151" s="113"/>
    </row>
    <row r="152" ht="15.0" customHeight="1">
      <c r="A152" s="79">
        <f t="shared" si="1"/>
        <v>148</v>
      </c>
      <c r="B152" s="122" t="str">
        <f t="shared" si="2"/>
        <v>ARM-0148</v>
      </c>
      <c r="C152" s="123" t="s">
        <v>1340</v>
      </c>
      <c r="D152" s="83" t="s">
        <v>1341</v>
      </c>
      <c r="E152" s="83" t="s">
        <v>1342</v>
      </c>
      <c r="F152" s="83" t="s">
        <v>1343</v>
      </c>
      <c r="G152" s="83" t="s">
        <v>193</v>
      </c>
      <c r="H152" s="73" t="s">
        <v>327</v>
      </c>
      <c r="I152" s="73">
        <v>4.0</v>
      </c>
      <c r="J152" s="73">
        <v>2.0</v>
      </c>
      <c r="K152" s="73" t="s">
        <v>194</v>
      </c>
      <c r="L152" s="73" t="s">
        <v>221</v>
      </c>
      <c r="M152" s="73">
        <f>IFERROR(VLOOKUP(L153, '4_Produk'!C:E, 2, FALSE()), "")</f>
        <v>20</v>
      </c>
      <c r="N152" s="73">
        <f>IFERROR(VLOOKUP(L153, '4_Produk'!C:E, 3, FALSE()), "")</f>
        <v>115000</v>
      </c>
      <c r="O152" s="73" t="s">
        <v>1344</v>
      </c>
      <c r="P152" s="73" t="s">
        <v>1345</v>
      </c>
      <c r="Q152" s="73" t="s">
        <v>1346</v>
      </c>
      <c r="R152" s="73"/>
      <c r="S152" s="124">
        <v>46205.0</v>
      </c>
      <c r="T152" s="73">
        <v>85.0</v>
      </c>
      <c r="U152" s="73" t="s">
        <v>1347</v>
      </c>
      <c r="V152" s="73"/>
      <c r="W152" s="114" t="s">
        <v>199</v>
      </c>
      <c r="X152" s="121"/>
      <c r="Y152" s="121"/>
      <c r="Z152" s="107" t="str">
        <f t="shared" si="3"/>
        <v>Chat WA</v>
      </c>
      <c r="AA152" s="107" t="str">
        <f t="shared" si="4"/>
        <v>Chat WA</v>
      </c>
      <c r="AB152" s="107" t="str">
        <f t="shared" si="5"/>
        <v>Kirim Invoice</v>
      </c>
      <c r="AC152" s="107" t="str">
        <f t="shared" si="6"/>
        <v>Chat WA</v>
      </c>
      <c r="AD152" s="108" t="str">
        <f>IFERROR(VLOOKUP($Q152,'12_ONT_NEW'!$D:$G,4,FALSE()),"")</f>
        <v/>
      </c>
      <c r="AE152" s="108"/>
      <c r="AF152" s="109"/>
      <c r="AG152" s="109"/>
      <c r="AH152" s="110">
        <f t="shared" si="7"/>
        <v>46205</v>
      </c>
      <c r="AI152" s="107" t="str">
        <f t="shared" si="8"/>
        <v>Kirim WA</v>
      </c>
      <c r="AJ152" s="107" t="str">
        <f t="shared" si="9"/>
        <v>Kirim WA</v>
      </c>
      <c r="AK152" s="107" t="str">
        <f t="shared" si="10"/>
        <v>Kirim WA</v>
      </c>
      <c r="AL152" s="111">
        <f t="shared" si="11"/>
        <v>107333</v>
      </c>
      <c r="AM152" s="107" t="str">
        <f t="shared" si="12"/>
        <v>Kirim Invoice</v>
      </c>
      <c r="AN152" s="89"/>
      <c r="AO152" s="89"/>
      <c r="AP152" s="112" t="str">
        <f t="shared" si="13"/>
        <v>2M_UP</v>
      </c>
      <c r="AQ152" s="89">
        <v>1521.0</v>
      </c>
      <c r="AR152" s="89"/>
      <c r="AS152" s="113"/>
      <c r="AT152" s="113"/>
    </row>
    <row r="153" ht="15.0" customHeight="1">
      <c r="A153" s="83">
        <f t="shared" si="1"/>
        <v>149</v>
      </c>
      <c r="B153" s="117" t="str">
        <f t="shared" si="2"/>
        <v>ARM-0149</v>
      </c>
      <c r="C153" s="118" t="s">
        <v>1348</v>
      </c>
      <c r="D153" s="79" t="s">
        <v>1349</v>
      </c>
      <c r="E153" s="79"/>
      <c r="F153" s="79" t="s">
        <v>1350</v>
      </c>
      <c r="G153" s="79" t="s">
        <v>193</v>
      </c>
      <c r="H153" s="119" t="s">
        <v>327</v>
      </c>
      <c r="I153" s="73">
        <v>1.0</v>
      </c>
      <c r="J153" s="73">
        <v>8.0</v>
      </c>
      <c r="K153" s="119" t="s">
        <v>194</v>
      </c>
      <c r="L153" s="119" t="s">
        <v>221</v>
      </c>
      <c r="M153" s="119">
        <f>IFERROR(VLOOKUP(L154, '4_Produk'!C:E, 2, FALSE()), "")</f>
        <v>20</v>
      </c>
      <c r="N153" s="119">
        <f>IFERROR(VLOOKUP(L154, '4_Produk'!C:E, 3, FALSE()), "")</f>
        <v>115000</v>
      </c>
      <c r="O153" s="119" t="s">
        <v>1351</v>
      </c>
      <c r="P153" s="119" t="s">
        <v>1352</v>
      </c>
      <c r="Q153" s="119" t="s">
        <v>1353</v>
      </c>
      <c r="R153" s="119"/>
      <c r="S153" s="120">
        <v>46205.0</v>
      </c>
      <c r="T153" s="119">
        <v>100.0</v>
      </c>
      <c r="U153" s="119" t="s">
        <v>1354</v>
      </c>
      <c r="V153" s="119"/>
      <c r="W153" s="114" t="s">
        <v>199</v>
      </c>
      <c r="X153" s="121"/>
      <c r="Y153" s="121"/>
      <c r="Z153" s="107" t="str">
        <f t="shared" si="3"/>
        <v>Chat WA</v>
      </c>
      <c r="AA153" s="107" t="str">
        <f t="shared" si="4"/>
        <v>Chat WA</v>
      </c>
      <c r="AB153" s="107" t="str">
        <f t="shared" si="5"/>
        <v>Kirim Invoice</v>
      </c>
      <c r="AC153" s="107" t="str">
        <f t="shared" si="6"/>
        <v>Chat WA</v>
      </c>
      <c r="AD153" s="108" t="str">
        <f>IFERROR(VLOOKUP($Q153,'12_ONT_NEW'!$D:$G,4,FALSE()),"")</f>
        <v/>
      </c>
      <c r="AE153" s="108"/>
      <c r="AF153" s="109"/>
      <c r="AG153" s="109"/>
      <c r="AH153" s="110">
        <f t="shared" si="7"/>
        <v>46205</v>
      </c>
      <c r="AI153" s="107" t="str">
        <f t="shared" si="8"/>
        <v>Kirim WA</v>
      </c>
      <c r="AJ153" s="107" t="str">
        <f t="shared" si="9"/>
        <v>Kirim WA</v>
      </c>
      <c r="AK153" s="107" t="str">
        <f t="shared" si="10"/>
        <v>Kirim WA</v>
      </c>
      <c r="AL153" s="111">
        <f t="shared" si="11"/>
        <v>107333</v>
      </c>
      <c r="AM153" s="107" t="str">
        <f t="shared" si="12"/>
        <v>Kirim Invoice</v>
      </c>
      <c r="AN153" s="89"/>
      <c r="AO153" s="89"/>
      <c r="AP153" s="112" t="str">
        <f t="shared" si="13"/>
        <v>2M_UP</v>
      </c>
      <c r="AQ153" s="89">
        <v>1521.0</v>
      </c>
      <c r="AR153" s="89"/>
      <c r="AS153" s="113"/>
      <c r="AT153" s="113"/>
    </row>
    <row r="154" ht="15.0" customHeight="1">
      <c r="A154" s="83">
        <f t="shared" si="1"/>
        <v>150</v>
      </c>
      <c r="B154" s="122" t="str">
        <f t="shared" si="2"/>
        <v>ARM-0150</v>
      </c>
      <c r="C154" s="123" t="s">
        <v>1355</v>
      </c>
      <c r="D154" s="83" t="s">
        <v>1356</v>
      </c>
      <c r="E154" s="83" t="s">
        <v>1357</v>
      </c>
      <c r="F154" s="83" t="s">
        <v>1358</v>
      </c>
      <c r="G154" s="83" t="s">
        <v>193</v>
      </c>
      <c r="H154" s="73" t="s">
        <v>327</v>
      </c>
      <c r="I154" s="73">
        <v>1.0</v>
      </c>
      <c r="J154" s="73">
        <v>7.0</v>
      </c>
      <c r="K154" s="73" t="s">
        <v>194</v>
      </c>
      <c r="L154" s="73" t="s">
        <v>221</v>
      </c>
      <c r="M154" s="73">
        <f>IFERROR(VLOOKUP(L155, '4_Produk'!C:E, 2, FALSE()), "")</f>
        <v>20</v>
      </c>
      <c r="N154" s="73">
        <f>IFERROR(VLOOKUP(L155, '4_Produk'!C:E, 3, FALSE()), "")</f>
        <v>115000</v>
      </c>
      <c r="O154" s="73" t="s">
        <v>1359</v>
      </c>
      <c r="P154" s="73" t="s">
        <v>1360</v>
      </c>
      <c r="Q154" s="73" t="s">
        <v>1361</v>
      </c>
      <c r="R154" s="73"/>
      <c r="S154" s="124">
        <v>46206.0</v>
      </c>
      <c r="T154" s="73">
        <v>30.0</v>
      </c>
      <c r="U154" s="73" t="s">
        <v>1362</v>
      </c>
      <c r="V154" s="73"/>
      <c r="W154" s="114" t="s">
        <v>199</v>
      </c>
      <c r="X154" s="121"/>
      <c r="Y154" s="121"/>
      <c r="Z154" s="107" t="str">
        <f t="shared" si="3"/>
        <v>Chat WA</v>
      </c>
      <c r="AA154" s="107" t="str">
        <f t="shared" si="4"/>
        <v>Chat WA</v>
      </c>
      <c r="AB154" s="107" t="str">
        <f t="shared" si="5"/>
        <v>Kirim Invoice</v>
      </c>
      <c r="AC154" s="107" t="str">
        <f t="shared" si="6"/>
        <v>Chat WA</v>
      </c>
      <c r="AD154" s="108" t="str">
        <f>IFERROR(VLOOKUP($Q154,'12_ONT_NEW'!$D:$G,4,FALSE()),"")</f>
        <v/>
      </c>
      <c r="AE154" s="108"/>
      <c r="AF154" s="109"/>
      <c r="AG154" s="109"/>
      <c r="AH154" s="110">
        <f t="shared" si="7"/>
        <v>46206</v>
      </c>
      <c r="AI154" s="107" t="str">
        <f t="shared" si="8"/>
        <v>Kirim WA</v>
      </c>
      <c r="AJ154" s="107" t="str">
        <f t="shared" si="9"/>
        <v>Kirim WA</v>
      </c>
      <c r="AK154" s="107" t="str">
        <f t="shared" si="10"/>
        <v>Kirim WA</v>
      </c>
      <c r="AL154" s="111">
        <f t="shared" si="11"/>
        <v>103500</v>
      </c>
      <c r="AM154" s="107" t="str">
        <f t="shared" si="12"/>
        <v>Kirim Invoice</v>
      </c>
      <c r="AN154" s="89"/>
      <c r="AO154" s="89"/>
      <c r="AP154" s="112" t="str">
        <f t="shared" si="13"/>
        <v>2M_UP</v>
      </c>
      <c r="AQ154" s="89">
        <v>1521.0</v>
      </c>
      <c r="AR154" s="89"/>
      <c r="AS154" s="113"/>
      <c r="AT154" s="113"/>
    </row>
    <row r="155" ht="15.0" customHeight="1">
      <c r="A155" s="79">
        <f t="shared" si="1"/>
        <v>151</v>
      </c>
      <c r="B155" s="117" t="str">
        <f t="shared" si="2"/>
        <v>ARM-0151</v>
      </c>
      <c r="C155" s="118" t="s">
        <v>1363</v>
      </c>
      <c r="D155" s="79" t="s">
        <v>1364</v>
      </c>
      <c r="E155" s="79" t="s">
        <v>1365</v>
      </c>
      <c r="F155" s="79" t="s">
        <v>1366</v>
      </c>
      <c r="G155" s="79" t="s">
        <v>193</v>
      </c>
      <c r="H155" s="119" t="s">
        <v>327</v>
      </c>
      <c r="I155" s="119">
        <v>1.0</v>
      </c>
      <c r="J155" s="119">
        <v>7.0</v>
      </c>
      <c r="K155" s="119" t="s">
        <v>194</v>
      </c>
      <c r="L155" s="119" t="s">
        <v>221</v>
      </c>
      <c r="M155" s="119">
        <f>IFERROR(VLOOKUP(L156, '4_Produk'!C:E, 2, FALSE()), "")</f>
        <v>20</v>
      </c>
      <c r="N155" s="119">
        <f>IFERROR(VLOOKUP(L156, '4_Produk'!C:E, 3, FALSE()), "")</f>
        <v>115000</v>
      </c>
      <c r="O155" s="119" t="s">
        <v>1367</v>
      </c>
      <c r="P155" s="119" t="s">
        <v>1368</v>
      </c>
      <c r="Q155" s="119" t="s">
        <v>1369</v>
      </c>
      <c r="R155" s="119"/>
      <c r="S155" s="120">
        <v>46206.0</v>
      </c>
      <c r="T155" s="119">
        <v>30.0</v>
      </c>
      <c r="U155" s="119"/>
      <c r="V155" s="119"/>
      <c r="W155" s="114" t="s">
        <v>199</v>
      </c>
      <c r="X155" s="121"/>
      <c r="Y155" s="121"/>
      <c r="Z155" s="107" t="str">
        <f t="shared" si="3"/>
        <v>Chat WA</v>
      </c>
      <c r="AA155" s="107" t="str">
        <f t="shared" si="4"/>
        <v>Chat WA</v>
      </c>
      <c r="AB155" s="107" t="str">
        <f t="shared" si="5"/>
        <v>Kirim Invoice</v>
      </c>
      <c r="AC155" s="107" t="str">
        <f t="shared" si="6"/>
        <v>Chat WA</v>
      </c>
      <c r="AD155" s="108" t="str">
        <f>IFERROR(VLOOKUP($Q155,'12_ONT_NEW'!$D:$G,4,FALSE()),"")</f>
        <v/>
      </c>
      <c r="AE155" s="108"/>
      <c r="AF155" s="109"/>
      <c r="AG155" s="109"/>
      <c r="AH155" s="110">
        <f t="shared" si="7"/>
        <v>46206</v>
      </c>
      <c r="AI155" s="107" t="str">
        <f t="shared" si="8"/>
        <v>Kirim WA</v>
      </c>
      <c r="AJ155" s="107" t="str">
        <f t="shared" si="9"/>
        <v>Kirim WA</v>
      </c>
      <c r="AK155" s="107" t="str">
        <f t="shared" si="10"/>
        <v>Kirim WA</v>
      </c>
      <c r="AL155" s="111">
        <f t="shared" si="11"/>
        <v>103500</v>
      </c>
      <c r="AM155" s="107" t="str">
        <f t="shared" si="12"/>
        <v>Kirim Invoice</v>
      </c>
      <c r="AN155" s="89"/>
      <c r="AO155" s="89"/>
      <c r="AP155" s="112" t="str">
        <f t="shared" si="13"/>
        <v>2M_UP</v>
      </c>
      <c r="AQ155" s="89">
        <v>1521.0</v>
      </c>
      <c r="AR155" s="89"/>
      <c r="AS155" s="113"/>
      <c r="AT155" s="113"/>
    </row>
    <row r="156" ht="15.0" customHeight="1">
      <c r="A156" s="83">
        <f t="shared" si="1"/>
        <v>152</v>
      </c>
      <c r="B156" s="122" t="str">
        <f t="shared" si="2"/>
        <v>ARM-0152</v>
      </c>
      <c r="C156" s="123" t="s">
        <v>1370</v>
      </c>
      <c r="D156" s="83" t="s">
        <v>1371</v>
      </c>
      <c r="E156" s="83" t="s">
        <v>1372</v>
      </c>
      <c r="F156" s="83" t="s">
        <v>1373</v>
      </c>
      <c r="G156" s="83" t="s">
        <v>193</v>
      </c>
      <c r="H156" s="73" t="s">
        <v>327</v>
      </c>
      <c r="I156" s="73">
        <v>10.0</v>
      </c>
      <c r="J156" s="73">
        <v>1.0</v>
      </c>
      <c r="K156" s="73" t="s">
        <v>194</v>
      </c>
      <c r="L156" s="73" t="s">
        <v>221</v>
      </c>
      <c r="M156" s="73">
        <f>IFERROR(VLOOKUP(L157, '4_Produk'!C:E, 2, FALSE()), "")</f>
        <v>20</v>
      </c>
      <c r="N156" s="73">
        <f>IFERROR(VLOOKUP(L157, '4_Produk'!C:E, 3, FALSE()), "")</f>
        <v>115000</v>
      </c>
      <c r="O156" s="73" t="s">
        <v>1374</v>
      </c>
      <c r="P156" s="73" t="s">
        <v>1375</v>
      </c>
      <c r="Q156" s="73" t="s">
        <v>1376</v>
      </c>
      <c r="R156" s="73"/>
      <c r="S156" s="124">
        <v>46206.0</v>
      </c>
      <c r="T156" s="73">
        <v>30.0</v>
      </c>
      <c r="U156" s="73" t="s">
        <v>1377</v>
      </c>
      <c r="V156" s="73"/>
      <c r="W156" s="114" t="s">
        <v>199</v>
      </c>
      <c r="X156" s="121"/>
      <c r="Y156" s="121"/>
      <c r="Z156" s="107" t="str">
        <f t="shared" si="3"/>
        <v>Chat WA</v>
      </c>
      <c r="AA156" s="107" t="str">
        <f t="shared" si="4"/>
        <v>Chat WA</v>
      </c>
      <c r="AB156" s="107" t="str">
        <f t="shared" si="5"/>
        <v>Kirim Invoice</v>
      </c>
      <c r="AC156" s="107" t="str">
        <f t="shared" si="6"/>
        <v>Chat WA</v>
      </c>
      <c r="AD156" s="108" t="str">
        <f>IFERROR(VLOOKUP($Q156,'12_ONT_NEW'!$D:$G,4,FALSE()),"")</f>
        <v>5i95cg_2.4G</v>
      </c>
      <c r="AE156" s="108"/>
      <c r="AF156" s="109"/>
      <c r="AG156" s="109"/>
      <c r="AH156" s="110">
        <f t="shared" si="7"/>
        <v>46206</v>
      </c>
      <c r="AI156" s="107" t="str">
        <f t="shared" si="8"/>
        <v>Kirim WA</v>
      </c>
      <c r="AJ156" s="107" t="str">
        <f t="shared" si="9"/>
        <v>Kirim WA</v>
      </c>
      <c r="AK156" s="107" t="str">
        <f t="shared" si="10"/>
        <v>Kirim WA</v>
      </c>
      <c r="AL156" s="111">
        <f t="shared" si="11"/>
        <v>103500</v>
      </c>
      <c r="AM156" s="107" t="str">
        <f t="shared" si="12"/>
        <v>Kirim Invoice</v>
      </c>
      <c r="AN156" s="89"/>
      <c r="AO156" s="89"/>
      <c r="AP156" s="112" t="str">
        <f t="shared" si="13"/>
        <v>2M_UP</v>
      </c>
      <c r="AQ156" s="89">
        <v>1521.0</v>
      </c>
      <c r="AR156" s="89"/>
      <c r="AS156" s="113"/>
      <c r="AT156" s="113"/>
    </row>
    <row r="157" ht="15.0" customHeight="1">
      <c r="A157" s="83">
        <f t="shared" si="1"/>
        <v>153</v>
      </c>
      <c r="B157" s="117" t="str">
        <f t="shared" si="2"/>
        <v>ARM-0153</v>
      </c>
      <c r="C157" s="118" t="s">
        <v>1378</v>
      </c>
      <c r="D157" s="79" t="s">
        <v>1379</v>
      </c>
      <c r="E157" s="79" t="s">
        <v>1380</v>
      </c>
      <c r="F157" s="79" t="s">
        <v>1381</v>
      </c>
      <c r="G157" s="79" t="s">
        <v>193</v>
      </c>
      <c r="H157" s="119" t="s">
        <v>327</v>
      </c>
      <c r="I157" s="73">
        <v>10.0</v>
      </c>
      <c r="J157" s="73">
        <v>1.0</v>
      </c>
      <c r="K157" s="119" t="s">
        <v>194</v>
      </c>
      <c r="L157" s="119" t="s">
        <v>221</v>
      </c>
      <c r="M157" s="119">
        <f>IFERROR(VLOOKUP(L158, '4_Produk'!C:E, 2, FALSE()), "")</f>
        <v>20</v>
      </c>
      <c r="N157" s="119">
        <f>IFERROR(VLOOKUP(L158, '4_Produk'!C:E, 3, FALSE()), "")</f>
        <v>115000</v>
      </c>
      <c r="O157" s="119" t="s">
        <v>1382</v>
      </c>
      <c r="P157" s="119" t="s">
        <v>1383</v>
      </c>
      <c r="Q157" s="119" t="s">
        <v>1384</v>
      </c>
      <c r="R157" s="119"/>
      <c r="S157" s="120">
        <v>46206.0</v>
      </c>
      <c r="T157" s="119">
        <v>30.0</v>
      </c>
      <c r="U157" s="119" t="s">
        <v>1385</v>
      </c>
      <c r="V157" s="119"/>
      <c r="W157" s="114" t="s">
        <v>199</v>
      </c>
      <c r="X157" s="121"/>
      <c r="Y157" s="121"/>
      <c r="Z157" s="107" t="str">
        <f t="shared" si="3"/>
        <v>Chat WA</v>
      </c>
      <c r="AA157" s="107" t="str">
        <f t="shared" si="4"/>
        <v>Chat WA</v>
      </c>
      <c r="AB157" s="107" t="str">
        <f t="shared" si="5"/>
        <v>Kirim Invoice</v>
      </c>
      <c r="AC157" s="107" t="str">
        <f t="shared" si="6"/>
        <v>Chat WA</v>
      </c>
      <c r="AD157" s="108" t="str">
        <f>IFERROR(VLOOKUP($Q157,'12_ONT_NEW'!$D:$G,4,FALSE()),"")</f>
        <v>5i95eg_2.4G</v>
      </c>
      <c r="AE157" s="108"/>
      <c r="AF157" s="109"/>
      <c r="AG157" s="109"/>
      <c r="AH157" s="110">
        <f t="shared" si="7"/>
        <v>46206</v>
      </c>
      <c r="AI157" s="107" t="str">
        <f t="shared" si="8"/>
        <v>Kirim WA</v>
      </c>
      <c r="AJ157" s="107" t="str">
        <f t="shared" si="9"/>
        <v>Kirim WA</v>
      </c>
      <c r="AK157" s="107" t="str">
        <f t="shared" si="10"/>
        <v>Kirim WA</v>
      </c>
      <c r="AL157" s="111">
        <f t="shared" si="11"/>
        <v>103500</v>
      </c>
      <c r="AM157" s="107" t="str">
        <f t="shared" si="12"/>
        <v>Kirim Invoice</v>
      </c>
      <c r="AN157" s="89"/>
      <c r="AO157" s="89"/>
      <c r="AP157" s="112" t="str">
        <f t="shared" si="13"/>
        <v>2M_UP</v>
      </c>
      <c r="AQ157" s="89">
        <v>1521.0</v>
      </c>
      <c r="AR157" s="89"/>
      <c r="AS157" s="113"/>
      <c r="AT157" s="113"/>
    </row>
    <row r="158" ht="15.0" customHeight="1">
      <c r="A158" s="79">
        <f t="shared" si="1"/>
        <v>154</v>
      </c>
      <c r="B158" s="122" t="str">
        <f t="shared" si="2"/>
        <v>ARM-0154</v>
      </c>
      <c r="C158" s="123" t="s">
        <v>1386</v>
      </c>
      <c r="D158" s="83" t="s">
        <v>1387</v>
      </c>
      <c r="E158" s="83" t="s">
        <v>1388</v>
      </c>
      <c r="F158" s="83" t="s">
        <v>1389</v>
      </c>
      <c r="G158" s="83" t="s">
        <v>193</v>
      </c>
      <c r="H158" s="73" t="s">
        <v>327</v>
      </c>
      <c r="I158" s="73">
        <v>11.0</v>
      </c>
      <c r="J158" s="73">
        <v>5.0</v>
      </c>
      <c r="K158" s="73" t="s">
        <v>194</v>
      </c>
      <c r="L158" s="73" t="s">
        <v>221</v>
      </c>
      <c r="M158" s="73">
        <f>IFERROR(VLOOKUP(L159, '4_Produk'!C:E, 2, FALSE()), "")</f>
        <v>20</v>
      </c>
      <c r="N158" s="73">
        <f>IFERROR(VLOOKUP(L159, '4_Produk'!C:E, 3, FALSE()), "")</f>
        <v>115000</v>
      </c>
      <c r="O158" s="73" t="s">
        <v>1390</v>
      </c>
      <c r="P158" s="73" t="s">
        <v>1391</v>
      </c>
      <c r="Q158" s="73" t="s">
        <v>1392</v>
      </c>
      <c r="R158" s="73"/>
      <c r="S158" s="124">
        <v>46207.0</v>
      </c>
      <c r="T158" s="73">
        <v>200.0</v>
      </c>
      <c r="U158" s="73" t="s">
        <v>1393</v>
      </c>
      <c r="V158" s="73"/>
      <c r="W158" s="114" t="s">
        <v>199</v>
      </c>
      <c r="X158" s="121"/>
      <c r="Y158" s="121"/>
      <c r="Z158" s="107" t="str">
        <f t="shared" si="3"/>
        <v>Chat WA</v>
      </c>
      <c r="AA158" s="107" t="str">
        <f t="shared" si="4"/>
        <v>Chat WA</v>
      </c>
      <c r="AB158" s="107" t="str">
        <f t="shared" si="5"/>
        <v>Kirim Invoice</v>
      </c>
      <c r="AC158" s="107" t="str">
        <f t="shared" si="6"/>
        <v>Chat WA</v>
      </c>
      <c r="AD158" s="108" t="str">
        <f>IFERROR(VLOOKUP($Q158,'12_ONT_NEW'!$D:$G,4,FALSE()),"")</f>
        <v>5i957g_2.4G</v>
      </c>
      <c r="AE158" s="108"/>
      <c r="AF158" s="109"/>
      <c r="AG158" s="109"/>
      <c r="AH158" s="110">
        <f t="shared" si="7"/>
        <v>46207</v>
      </c>
      <c r="AI158" s="107" t="str">
        <f t="shared" si="8"/>
        <v>Kirim WA</v>
      </c>
      <c r="AJ158" s="107" t="str">
        <f t="shared" si="9"/>
        <v>Kirim WA</v>
      </c>
      <c r="AK158" s="107" t="str">
        <f t="shared" si="10"/>
        <v>Kirim WA</v>
      </c>
      <c r="AL158" s="111">
        <f t="shared" si="11"/>
        <v>99667</v>
      </c>
      <c r="AM158" s="107" t="str">
        <f t="shared" si="12"/>
        <v>Kirim Invoice</v>
      </c>
      <c r="AN158" s="89"/>
      <c r="AO158" s="89"/>
      <c r="AP158" s="112" t="str">
        <f t="shared" si="13"/>
        <v>2M_UP</v>
      </c>
      <c r="AQ158" s="89">
        <v>1521.0</v>
      </c>
      <c r="AR158" s="89"/>
      <c r="AS158" s="113"/>
      <c r="AT158" s="113"/>
    </row>
    <row r="159" ht="15.0" customHeight="1">
      <c r="A159" s="83">
        <f t="shared" si="1"/>
        <v>155</v>
      </c>
      <c r="B159" s="117" t="str">
        <f t="shared" si="2"/>
        <v>ARM-0155</v>
      </c>
      <c r="C159" s="118" t="s">
        <v>1394</v>
      </c>
      <c r="D159" s="79" t="s">
        <v>1395</v>
      </c>
      <c r="E159" s="79" t="s">
        <v>1396</v>
      </c>
      <c r="F159" s="79" t="s">
        <v>1397</v>
      </c>
      <c r="G159" s="79" t="s">
        <v>193</v>
      </c>
      <c r="H159" s="119" t="s">
        <v>327</v>
      </c>
      <c r="I159" s="73">
        <v>11.0</v>
      </c>
      <c r="J159" s="73">
        <v>5.0</v>
      </c>
      <c r="K159" s="119" t="s">
        <v>194</v>
      </c>
      <c r="L159" s="119" t="s">
        <v>221</v>
      </c>
      <c r="M159" s="119">
        <f>IFERROR(VLOOKUP(L160, '4_Produk'!C:E, 2, FALSE()), "")</f>
        <v>30</v>
      </c>
      <c r="N159" s="119">
        <f>IFERROR(VLOOKUP(L160, '4_Produk'!C:E, 3, FALSE()), "")</f>
        <v>142000</v>
      </c>
      <c r="O159" s="119" t="s">
        <v>1398</v>
      </c>
      <c r="P159" s="119" t="s">
        <v>1399</v>
      </c>
      <c r="Q159" s="119" t="s">
        <v>1400</v>
      </c>
      <c r="R159" s="119"/>
      <c r="S159" s="120">
        <v>46206.0</v>
      </c>
      <c r="T159" s="119">
        <v>230.0</v>
      </c>
      <c r="U159" s="119" t="s">
        <v>1401</v>
      </c>
      <c r="V159" s="119"/>
      <c r="W159" s="114" t="s">
        <v>199</v>
      </c>
      <c r="X159" s="121"/>
      <c r="Y159" s="121"/>
      <c r="Z159" s="107" t="str">
        <f t="shared" si="3"/>
        <v>Chat WA</v>
      </c>
      <c r="AA159" s="107" t="str">
        <f t="shared" si="4"/>
        <v>Chat WA</v>
      </c>
      <c r="AB159" s="107" t="str">
        <f t="shared" si="5"/>
        <v>Kirim Invoice</v>
      </c>
      <c r="AC159" s="107" t="str">
        <f t="shared" si="6"/>
        <v>Chat WA</v>
      </c>
      <c r="AD159" s="108" t="str">
        <f>IFERROR(VLOOKUP($Q159,'12_ONT_NEW'!$D:$G,4,FALSE()),"")</f>
        <v>5i959g_2.4G</v>
      </c>
      <c r="AE159" s="108"/>
      <c r="AF159" s="109"/>
      <c r="AG159" s="109"/>
      <c r="AH159" s="110">
        <f t="shared" si="7"/>
        <v>46206</v>
      </c>
      <c r="AI159" s="107" t="str">
        <f t="shared" si="8"/>
        <v>Kirim WA</v>
      </c>
      <c r="AJ159" s="107" t="str">
        <f t="shared" si="9"/>
        <v>Kirim WA</v>
      </c>
      <c r="AK159" s="107" t="str">
        <f t="shared" si="10"/>
        <v>Kirim WA</v>
      </c>
      <c r="AL159" s="111">
        <f t="shared" si="11"/>
        <v>127800</v>
      </c>
      <c r="AM159" s="107" t="str">
        <f t="shared" si="12"/>
        <v>Kirim Invoice</v>
      </c>
      <c r="AN159" s="89"/>
      <c r="AO159" s="89"/>
      <c r="AP159" s="112" t="str">
        <f t="shared" si="13"/>
        <v>3M_UP</v>
      </c>
      <c r="AQ159" s="89">
        <v>1521.0</v>
      </c>
      <c r="AR159" s="89"/>
      <c r="AS159" s="113"/>
      <c r="AT159" s="113"/>
    </row>
    <row r="160" ht="15.0" customHeight="1">
      <c r="A160" s="83">
        <f t="shared" si="1"/>
        <v>156</v>
      </c>
      <c r="B160" s="122" t="str">
        <f t="shared" si="2"/>
        <v>ARM-0156</v>
      </c>
      <c r="C160" s="123" t="s">
        <v>1402</v>
      </c>
      <c r="D160" s="83" t="s">
        <v>1403</v>
      </c>
      <c r="E160" s="83" t="s">
        <v>1404</v>
      </c>
      <c r="F160" s="83" t="s">
        <v>1405</v>
      </c>
      <c r="G160" s="83" t="s">
        <v>193</v>
      </c>
      <c r="H160" s="73" t="s">
        <v>327</v>
      </c>
      <c r="I160" s="73">
        <v>2.0</v>
      </c>
      <c r="J160" s="73">
        <v>2.0</v>
      </c>
      <c r="K160" s="73" t="s">
        <v>194</v>
      </c>
      <c r="L160" s="73" t="s">
        <v>212</v>
      </c>
      <c r="M160" s="73">
        <f>IFERROR(VLOOKUP(L161, '4_Produk'!C:E, 2, FALSE()), "")</f>
        <v>30</v>
      </c>
      <c r="N160" s="73">
        <f>IFERROR(VLOOKUP(L161, '4_Produk'!C:E, 3, FALSE()), "")</f>
        <v>142000</v>
      </c>
      <c r="O160" s="73" t="s">
        <v>1406</v>
      </c>
      <c r="P160" s="73" t="s">
        <v>1407</v>
      </c>
      <c r="Q160" s="73" t="s">
        <v>1408</v>
      </c>
      <c r="R160" s="73"/>
      <c r="S160" s="124">
        <v>46209.0</v>
      </c>
      <c r="T160" s="73">
        <v>50.0</v>
      </c>
      <c r="U160" s="73" t="s">
        <v>1409</v>
      </c>
      <c r="V160" s="73"/>
      <c r="W160" s="114" t="s">
        <v>199</v>
      </c>
      <c r="X160" s="121"/>
      <c r="Y160" s="121"/>
      <c r="Z160" s="107" t="str">
        <f t="shared" si="3"/>
        <v>Chat WA</v>
      </c>
      <c r="AA160" s="107" t="str">
        <f t="shared" si="4"/>
        <v>Chat WA</v>
      </c>
      <c r="AB160" s="107" t="str">
        <f t="shared" si="5"/>
        <v>Kirim Invoice</v>
      </c>
      <c r="AC160" s="107" t="str">
        <f t="shared" si="6"/>
        <v>Chat WA</v>
      </c>
      <c r="AD160" s="108" t="str">
        <f>IFERROR(VLOOKUP($Q160,'12_ONT_NEW'!$D:$G,4,FALSE()),"")</f>
        <v>5i95bg_2.4G</v>
      </c>
      <c r="AE160" s="108"/>
      <c r="AF160" s="109"/>
      <c r="AG160" s="109"/>
      <c r="AH160" s="110">
        <f t="shared" si="7"/>
        <v>46209</v>
      </c>
      <c r="AI160" s="107" t="str">
        <f t="shared" si="8"/>
        <v>Kirim WA</v>
      </c>
      <c r="AJ160" s="107" t="str">
        <f t="shared" si="9"/>
        <v>Kirim WA</v>
      </c>
      <c r="AK160" s="107" t="str">
        <f t="shared" si="10"/>
        <v>Kirim WA</v>
      </c>
      <c r="AL160" s="111">
        <f t="shared" si="11"/>
        <v>113600</v>
      </c>
      <c r="AM160" s="107" t="str">
        <f t="shared" si="12"/>
        <v>Kirim Invoice</v>
      </c>
      <c r="AN160" s="89"/>
      <c r="AO160" s="89"/>
      <c r="AP160" s="112" t="str">
        <f t="shared" si="13"/>
        <v>3M_UP</v>
      </c>
      <c r="AQ160" s="89">
        <v>1521.0</v>
      </c>
      <c r="AR160" s="89"/>
      <c r="AS160" s="113"/>
      <c r="AT160" s="113"/>
    </row>
    <row r="161" ht="15.0" customHeight="1">
      <c r="A161" s="79">
        <f t="shared" si="1"/>
        <v>157</v>
      </c>
      <c r="B161" s="117" t="str">
        <f t="shared" si="2"/>
        <v>ARM-0157</v>
      </c>
      <c r="C161" s="118" t="s">
        <v>1410</v>
      </c>
      <c r="D161" s="79" t="s">
        <v>1411</v>
      </c>
      <c r="E161" s="79" t="s">
        <v>1412</v>
      </c>
      <c r="F161" s="79" t="s">
        <v>1413</v>
      </c>
      <c r="G161" s="79" t="s">
        <v>193</v>
      </c>
      <c r="H161" s="119" t="s">
        <v>327</v>
      </c>
      <c r="I161" s="73">
        <v>2.0</v>
      </c>
      <c r="J161" s="73">
        <v>2.0</v>
      </c>
      <c r="K161" s="119" t="s">
        <v>194</v>
      </c>
      <c r="L161" s="119" t="s">
        <v>212</v>
      </c>
      <c r="M161" s="119">
        <f>IFERROR(VLOOKUP(L162, '4_Produk'!C:E, 2, FALSE()), "")</f>
        <v>20</v>
      </c>
      <c r="N161" s="119">
        <f>IFERROR(VLOOKUP(L162, '4_Produk'!C:E, 3, FALSE()), "")</f>
        <v>115000</v>
      </c>
      <c r="O161" s="115" t="s">
        <v>1414</v>
      </c>
      <c r="P161" s="119" t="s">
        <v>1415</v>
      </c>
      <c r="Q161" s="119" t="s">
        <v>1416</v>
      </c>
      <c r="R161" s="119"/>
      <c r="S161" s="120">
        <v>46206.0</v>
      </c>
      <c r="T161" s="119">
        <v>50.0</v>
      </c>
      <c r="U161" s="119" t="s">
        <v>1417</v>
      </c>
      <c r="V161" s="119"/>
      <c r="W161" s="114" t="s">
        <v>199</v>
      </c>
      <c r="X161" s="121"/>
      <c r="Y161" s="121"/>
      <c r="Z161" s="107" t="str">
        <f t="shared" si="3"/>
        <v>Chat WA</v>
      </c>
      <c r="AA161" s="107" t="str">
        <f t="shared" si="4"/>
        <v>Chat WA</v>
      </c>
      <c r="AB161" s="107" t="str">
        <f t="shared" si="5"/>
        <v>Kirim Invoice</v>
      </c>
      <c r="AC161" s="107" t="str">
        <f t="shared" si="6"/>
        <v>Chat WA</v>
      </c>
      <c r="AD161" s="108" t="str">
        <f>IFERROR(VLOOKUP($Q161,'12_ONT_NEW'!$D:$G,4,FALSE()),"")</f>
        <v>5i959g_2.4G</v>
      </c>
      <c r="AE161" s="108"/>
      <c r="AF161" s="109"/>
      <c r="AG161" s="109"/>
      <c r="AH161" s="110">
        <f t="shared" si="7"/>
        <v>46206</v>
      </c>
      <c r="AI161" s="107" t="str">
        <f t="shared" si="8"/>
        <v>Kirim WA</v>
      </c>
      <c r="AJ161" s="107" t="str">
        <f t="shared" si="9"/>
        <v>Kirim WA</v>
      </c>
      <c r="AK161" s="107" t="str">
        <f t="shared" si="10"/>
        <v>Kirim WA</v>
      </c>
      <c r="AL161" s="111">
        <f t="shared" si="11"/>
        <v>103500</v>
      </c>
      <c r="AM161" s="107" t="str">
        <f t="shared" si="12"/>
        <v>Kirim Invoice</v>
      </c>
      <c r="AN161" s="89"/>
      <c r="AO161" s="89"/>
      <c r="AP161" s="112" t="str">
        <f t="shared" si="13"/>
        <v>2M_UP</v>
      </c>
      <c r="AQ161" s="89">
        <v>1521.0</v>
      </c>
      <c r="AR161" s="89"/>
      <c r="AS161" s="113"/>
      <c r="AT161" s="113"/>
    </row>
    <row r="162" ht="15.0" customHeight="1">
      <c r="A162" s="83">
        <f t="shared" si="1"/>
        <v>158</v>
      </c>
      <c r="B162" s="122" t="str">
        <f t="shared" si="2"/>
        <v>ARM-0158</v>
      </c>
      <c r="C162" s="123" t="s">
        <v>1418</v>
      </c>
      <c r="D162" s="83" t="s">
        <v>1419</v>
      </c>
      <c r="E162" s="83" t="s">
        <v>1420</v>
      </c>
      <c r="F162" s="83" t="s">
        <v>1421</v>
      </c>
      <c r="G162" s="83" t="s">
        <v>193</v>
      </c>
      <c r="H162" s="73" t="s">
        <v>327</v>
      </c>
      <c r="I162" s="73">
        <v>2.0</v>
      </c>
      <c r="J162" s="73">
        <v>2.0</v>
      </c>
      <c r="K162" s="73" t="s">
        <v>194</v>
      </c>
      <c r="L162" s="73" t="s">
        <v>221</v>
      </c>
      <c r="M162" s="73">
        <f>IFERROR(VLOOKUP(L163, '4_Produk'!C:E, 2, FALSE()), "")</f>
        <v>20</v>
      </c>
      <c r="N162" s="73">
        <f>IFERROR(VLOOKUP(L163, '4_Produk'!C:E, 3, FALSE()), "")</f>
        <v>115000</v>
      </c>
      <c r="O162" s="73" t="s">
        <v>1422</v>
      </c>
      <c r="P162" s="73" t="s">
        <v>1423</v>
      </c>
      <c r="Q162" s="73" t="s">
        <v>1424</v>
      </c>
      <c r="R162" s="73"/>
      <c r="S162" s="124">
        <v>46209.0</v>
      </c>
      <c r="T162" s="73">
        <v>70.0</v>
      </c>
      <c r="U162" s="73" t="s">
        <v>1425</v>
      </c>
      <c r="V162" s="73"/>
      <c r="W162" s="114" t="s">
        <v>199</v>
      </c>
      <c r="X162" s="121"/>
      <c r="Y162" s="121"/>
      <c r="Z162" s="107" t="str">
        <f t="shared" si="3"/>
        <v>Chat WA</v>
      </c>
      <c r="AA162" s="107" t="str">
        <f t="shared" si="4"/>
        <v>Chat WA</v>
      </c>
      <c r="AB162" s="107" t="str">
        <f t="shared" si="5"/>
        <v>Kirim Invoice</v>
      </c>
      <c r="AC162" s="107" t="str">
        <f t="shared" si="6"/>
        <v>Chat WA</v>
      </c>
      <c r="AD162" s="108" t="str">
        <f>IFERROR(VLOOKUP($Q162,'12_ONT_NEW'!$D:$G,4,FALSE()),"")</f>
        <v>5i95dg_2.4G</v>
      </c>
      <c r="AE162" s="108"/>
      <c r="AF162" s="109"/>
      <c r="AG162" s="109"/>
      <c r="AH162" s="110">
        <f t="shared" si="7"/>
        <v>46209</v>
      </c>
      <c r="AI162" s="107" t="str">
        <f t="shared" si="8"/>
        <v>Kirim WA</v>
      </c>
      <c r="AJ162" s="107" t="str">
        <f t="shared" si="9"/>
        <v>Kirim WA</v>
      </c>
      <c r="AK162" s="107" t="str">
        <f t="shared" si="10"/>
        <v>Kirim WA</v>
      </c>
      <c r="AL162" s="111">
        <f t="shared" si="11"/>
        <v>92000</v>
      </c>
      <c r="AM162" s="107" t="str">
        <f t="shared" si="12"/>
        <v>Kirim Invoice</v>
      </c>
      <c r="AN162" s="89"/>
      <c r="AO162" s="89"/>
      <c r="AP162" s="112" t="str">
        <f t="shared" si="13"/>
        <v>2M_UP</v>
      </c>
      <c r="AQ162" s="89">
        <v>1521.0</v>
      </c>
      <c r="AR162" s="89"/>
      <c r="AS162" s="113"/>
      <c r="AT162" s="113"/>
    </row>
    <row r="163" ht="15.0" customHeight="1">
      <c r="A163" s="83">
        <f t="shared" si="1"/>
        <v>159</v>
      </c>
      <c r="B163" s="117" t="str">
        <f t="shared" si="2"/>
        <v>ARM-0159</v>
      </c>
      <c r="C163" s="118" t="s">
        <v>1426</v>
      </c>
      <c r="D163" s="79" t="s">
        <v>1427</v>
      </c>
      <c r="E163" s="79"/>
      <c r="F163" s="79" t="s">
        <v>85</v>
      </c>
      <c r="G163" s="79" t="s">
        <v>193</v>
      </c>
      <c r="H163" s="119" t="s">
        <v>327</v>
      </c>
      <c r="I163" s="73"/>
      <c r="J163" s="73"/>
      <c r="K163" s="119" t="s">
        <v>194</v>
      </c>
      <c r="L163" s="119" t="s">
        <v>221</v>
      </c>
      <c r="M163" s="119">
        <f>IFERROR(VLOOKUP(L164, '4_Produk'!C:E, 2, FALSE()), "")</f>
        <v>20</v>
      </c>
      <c r="N163" s="119">
        <f>IFERROR(VLOOKUP(L164, '4_Produk'!C:E, 3, FALSE()), "")</f>
        <v>115000</v>
      </c>
      <c r="O163" s="119" t="s">
        <v>1428</v>
      </c>
      <c r="P163" s="119" t="s">
        <v>1429</v>
      </c>
      <c r="Q163" s="119" t="s">
        <v>1430</v>
      </c>
      <c r="R163" s="119"/>
      <c r="S163" s="120">
        <v>46210.0</v>
      </c>
      <c r="T163" s="119">
        <v>80.0</v>
      </c>
      <c r="U163" s="119" t="s">
        <v>1431</v>
      </c>
      <c r="V163" s="119"/>
      <c r="W163" s="114" t="s">
        <v>199</v>
      </c>
      <c r="X163" s="121"/>
      <c r="Y163" s="121"/>
      <c r="Z163" s="107" t="str">
        <f t="shared" si="3"/>
        <v>Chat WA</v>
      </c>
      <c r="AA163" s="107" t="str">
        <f t="shared" si="4"/>
        <v>Chat WA</v>
      </c>
      <c r="AB163" s="107" t="str">
        <f t="shared" si="5"/>
        <v>Kirim Invoice</v>
      </c>
      <c r="AC163" s="107" t="str">
        <f t="shared" si="6"/>
        <v>Chat WA</v>
      </c>
      <c r="AD163" s="108" t="str">
        <f>IFERROR(VLOOKUP($Q163,'12_ONT_NEW'!$D:$G,4,FALSE()),"")</f>
        <v>5i953g_2.4G</v>
      </c>
      <c r="AE163" s="108"/>
      <c r="AF163" s="109"/>
      <c r="AG163" s="109"/>
      <c r="AH163" s="110">
        <f t="shared" si="7"/>
        <v>46210</v>
      </c>
      <c r="AI163" s="107" t="str">
        <f t="shared" si="8"/>
        <v>Kirim WA</v>
      </c>
      <c r="AJ163" s="107" t="str">
        <f t="shared" si="9"/>
        <v>Kirim WA</v>
      </c>
      <c r="AK163" s="107" t="str">
        <f t="shared" si="10"/>
        <v>Kirim WA</v>
      </c>
      <c r="AL163" s="111">
        <f t="shared" si="11"/>
        <v>88167</v>
      </c>
      <c r="AM163" s="107" t="str">
        <f t="shared" si="12"/>
        <v>Kirim Invoice</v>
      </c>
      <c r="AN163" s="89"/>
      <c r="AO163" s="89"/>
      <c r="AP163" s="112" t="str">
        <f t="shared" si="13"/>
        <v>2M_UP</v>
      </c>
      <c r="AQ163" s="89">
        <v>1521.0</v>
      </c>
      <c r="AR163" s="89"/>
      <c r="AS163" s="113"/>
      <c r="AT163" s="113"/>
    </row>
    <row r="164" ht="15.0" customHeight="1">
      <c r="A164" s="79">
        <f t="shared" si="1"/>
        <v>160</v>
      </c>
      <c r="B164" s="122" t="str">
        <f t="shared" si="2"/>
        <v>ARM-0160</v>
      </c>
      <c r="C164" s="123" t="s">
        <v>1432</v>
      </c>
      <c r="D164" s="83" t="s">
        <v>1433</v>
      </c>
      <c r="E164" s="83"/>
      <c r="F164" s="83" t="s">
        <v>1434</v>
      </c>
      <c r="G164" s="83" t="s">
        <v>193</v>
      </c>
      <c r="H164" s="73" t="s">
        <v>327</v>
      </c>
      <c r="I164" s="73" t="s">
        <v>1435</v>
      </c>
      <c r="J164" s="73" t="s">
        <v>1436</v>
      </c>
      <c r="K164" s="73" t="s">
        <v>194</v>
      </c>
      <c r="L164" s="73" t="s">
        <v>221</v>
      </c>
      <c r="M164" s="73">
        <f>IFERROR(VLOOKUP(L165, '4_Produk'!C:E, 2, FALSE()), "")</f>
        <v>30</v>
      </c>
      <c r="N164" s="73">
        <f>IFERROR(VLOOKUP(L165, '4_Produk'!C:E, 3, FALSE()), "")</f>
        <v>142000</v>
      </c>
      <c r="O164" s="73" t="s">
        <v>1437</v>
      </c>
      <c r="P164" s="73" t="s">
        <v>1438</v>
      </c>
      <c r="Q164" s="73" t="s">
        <v>1439</v>
      </c>
      <c r="R164" s="73"/>
      <c r="S164" s="124">
        <v>46210.0</v>
      </c>
      <c r="T164" s="73">
        <v>70.0</v>
      </c>
      <c r="U164" s="73"/>
      <c r="V164" s="73"/>
      <c r="W164" s="114" t="s">
        <v>199</v>
      </c>
      <c r="X164" s="121"/>
      <c r="Y164" s="121"/>
      <c r="Z164" s="107" t="str">
        <f t="shared" si="3"/>
        <v>Chat WA</v>
      </c>
      <c r="AA164" s="107" t="str">
        <f t="shared" si="4"/>
        <v>Chat WA</v>
      </c>
      <c r="AB164" s="107" t="str">
        <f t="shared" si="5"/>
        <v>Kirim Invoice</v>
      </c>
      <c r="AC164" s="107" t="str">
        <f t="shared" si="6"/>
        <v>Chat WA</v>
      </c>
      <c r="AD164" s="108" t="str">
        <f>IFERROR(VLOOKUP($Q164,'12_ONT_NEW'!$D:$G,4,FALSE()),"")</f>
        <v>5i95gg_2.4G</v>
      </c>
      <c r="AE164" s="108"/>
      <c r="AF164" s="109"/>
      <c r="AG164" s="109"/>
      <c r="AH164" s="110">
        <f t="shared" si="7"/>
        <v>46210</v>
      </c>
      <c r="AI164" s="107" t="str">
        <f t="shared" si="8"/>
        <v>Kirim WA</v>
      </c>
      <c r="AJ164" s="107" t="str">
        <f t="shared" si="9"/>
        <v>Kirim WA</v>
      </c>
      <c r="AK164" s="107" t="str">
        <f t="shared" si="10"/>
        <v>Kirim WA</v>
      </c>
      <c r="AL164" s="111">
        <f t="shared" si="11"/>
        <v>108867</v>
      </c>
      <c r="AM164" s="107" t="str">
        <f t="shared" si="12"/>
        <v>Kirim Invoice</v>
      </c>
      <c r="AN164" s="89"/>
      <c r="AO164" s="89"/>
      <c r="AP164" s="112" t="str">
        <f t="shared" si="13"/>
        <v>3M_UP</v>
      </c>
      <c r="AQ164" s="89">
        <v>1521.0</v>
      </c>
      <c r="AR164" s="89"/>
      <c r="AS164" s="113"/>
      <c r="AT164" s="113"/>
    </row>
    <row r="165" ht="15.0" customHeight="1">
      <c r="A165" s="83">
        <f t="shared" si="1"/>
        <v>161</v>
      </c>
      <c r="B165" s="117" t="str">
        <f t="shared" si="2"/>
        <v>ARM-0161</v>
      </c>
      <c r="C165" s="118" t="s">
        <v>1440</v>
      </c>
      <c r="D165" s="79" t="s">
        <v>1441</v>
      </c>
      <c r="E165" s="79" t="s">
        <v>1442</v>
      </c>
      <c r="F165" s="79" t="s">
        <v>1443</v>
      </c>
      <c r="G165" s="79" t="s">
        <v>193</v>
      </c>
      <c r="H165" s="119" t="s">
        <v>327</v>
      </c>
      <c r="I165" s="73">
        <v>9.0</v>
      </c>
      <c r="J165" s="73">
        <v>4.0</v>
      </c>
      <c r="K165" s="119" t="s">
        <v>194</v>
      </c>
      <c r="L165" s="119" t="s">
        <v>212</v>
      </c>
      <c r="M165" s="119">
        <f>IFERROR(VLOOKUP(L166, '4_Produk'!C:E, 2, FALSE()), "")</f>
        <v>20</v>
      </c>
      <c r="N165" s="119">
        <f>IFERROR(VLOOKUP(L166, '4_Produk'!C:E, 3, FALSE()), "")</f>
        <v>115000</v>
      </c>
      <c r="O165" s="115" t="s">
        <v>1414</v>
      </c>
      <c r="P165" s="119" t="s">
        <v>1444</v>
      </c>
      <c r="Q165" s="119" t="s">
        <v>1445</v>
      </c>
      <c r="R165" s="119"/>
      <c r="S165" s="120">
        <v>46211.63233796296</v>
      </c>
      <c r="T165" s="119">
        <v>130.0</v>
      </c>
      <c r="U165" s="119" t="s">
        <v>1446</v>
      </c>
      <c r="V165" s="119"/>
      <c r="W165" s="114" t="s">
        <v>199</v>
      </c>
      <c r="X165" s="135" t="s">
        <v>1447</v>
      </c>
      <c r="Y165" s="136" t="s">
        <v>122</v>
      </c>
      <c r="Z165" s="107" t="str">
        <f t="shared" si="3"/>
        <v>Chat WA</v>
      </c>
      <c r="AA165" s="107" t="str">
        <f t="shared" si="4"/>
        <v>Chat WA</v>
      </c>
      <c r="AB165" s="107" t="str">
        <f t="shared" si="5"/>
        <v>Kirim Invoice</v>
      </c>
      <c r="AC165" s="107" t="str">
        <f t="shared" si="6"/>
        <v>Chat WA</v>
      </c>
      <c r="AD165" s="108" t="str">
        <f>IFERROR(VLOOKUP($Q165,'12_ONT_NEW'!$D:$G,4,FALSE()),"")</f>
        <v>5i955g_2.4G</v>
      </c>
      <c r="AE165" s="108"/>
      <c r="AF165" s="109"/>
      <c r="AG165" s="109"/>
      <c r="AH165" s="110">
        <f t="shared" si="7"/>
        <v>46211</v>
      </c>
      <c r="AI165" s="107" t="str">
        <f t="shared" si="8"/>
        <v>Kirim WA</v>
      </c>
      <c r="AJ165" s="107" t="str">
        <f t="shared" si="9"/>
        <v>Kirim WA</v>
      </c>
      <c r="AK165" s="107" t="str">
        <f t="shared" si="10"/>
        <v>Kirim WA</v>
      </c>
      <c r="AL165" s="111">
        <f t="shared" si="11"/>
        <v>84333</v>
      </c>
      <c r="AM165" s="107" t="str">
        <f t="shared" si="12"/>
        <v>Kirim Invoice</v>
      </c>
      <c r="AN165" s="89"/>
      <c r="AO165" s="89"/>
      <c r="AP165" s="112" t="str">
        <f t="shared" si="13"/>
        <v>2M_UP</v>
      </c>
      <c r="AQ165" s="89">
        <v>1521.0</v>
      </c>
      <c r="AR165" s="89"/>
      <c r="AS165" s="113"/>
      <c r="AT165" s="113"/>
    </row>
    <row r="166" ht="15.0" customHeight="1">
      <c r="A166" s="79">
        <f t="shared" si="1"/>
        <v>162</v>
      </c>
      <c r="B166" s="137" t="str">
        <f t="shared" si="2"/>
        <v>ARM-0162</v>
      </c>
      <c r="C166" s="138" t="s">
        <v>1448</v>
      </c>
      <c r="D166" s="139" t="s">
        <v>1449</v>
      </c>
      <c r="E166" s="47"/>
      <c r="F166" s="139" t="s">
        <v>1450</v>
      </c>
      <c r="G166" s="139" t="s">
        <v>193</v>
      </c>
      <c r="H166" s="140" t="s">
        <v>327</v>
      </c>
      <c r="I166" s="140">
        <v>1.0</v>
      </c>
      <c r="J166" s="140">
        <v>8.0</v>
      </c>
      <c r="K166" s="140" t="s">
        <v>194</v>
      </c>
      <c r="L166" s="141" t="s">
        <v>221</v>
      </c>
      <c r="M166" s="140">
        <f>IFERROR(VLOOKUP(L167, '4_Produk'!C:E, 2, FALSE()), "")</f>
        <v>20</v>
      </c>
      <c r="N166" s="140">
        <f>IFERROR(VLOOKUP(L167, '4_Produk'!C:E, 3, FALSE()), "")</f>
        <v>115000</v>
      </c>
      <c r="O166" s="141" t="s">
        <v>1451</v>
      </c>
      <c r="P166" s="141" t="s">
        <v>1452</v>
      </c>
      <c r="Q166" s="141" t="s">
        <v>1453</v>
      </c>
      <c r="R166" s="141"/>
      <c r="S166" s="142">
        <v>46205.0</v>
      </c>
      <c r="T166" s="90">
        <v>100.0</v>
      </c>
      <c r="U166" s="90"/>
      <c r="V166" s="140"/>
      <c r="W166" s="114" t="s">
        <v>199</v>
      </c>
      <c r="X166" s="143" t="s">
        <v>1447</v>
      </c>
      <c r="Y166" s="143" t="s">
        <v>122</v>
      </c>
      <c r="Z166" s="107" t="str">
        <f t="shared" si="3"/>
        <v>Chat WA</v>
      </c>
      <c r="AA166" s="107" t="str">
        <f t="shared" si="4"/>
        <v>Chat WA</v>
      </c>
      <c r="AB166" s="107" t="str">
        <f t="shared" si="5"/>
        <v>Kirim Invoice</v>
      </c>
      <c r="AC166" s="107" t="str">
        <f t="shared" si="6"/>
        <v>Chat WA</v>
      </c>
      <c r="AD166" s="108" t="str">
        <f>IFERROR(VLOOKUP($Q166,'12_ONT_NEW'!$D:$G,4,FALSE()),"")</f>
        <v/>
      </c>
      <c r="AE166" s="108"/>
      <c r="AF166" s="109"/>
      <c r="AG166" s="109"/>
      <c r="AH166" s="110">
        <f t="shared" si="7"/>
        <v>46205</v>
      </c>
      <c r="AI166" s="107" t="str">
        <f t="shared" si="8"/>
        <v>Kirim WA</v>
      </c>
      <c r="AJ166" s="107" t="str">
        <f t="shared" si="9"/>
        <v>Kirim WA</v>
      </c>
      <c r="AK166" s="107" t="str">
        <f t="shared" si="10"/>
        <v>Kirim WA</v>
      </c>
      <c r="AL166" s="111">
        <f t="shared" si="11"/>
        <v>107333</v>
      </c>
      <c r="AM166" s="107" t="str">
        <f t="shared" si="12"/>
        <v>Kirim Invoice</v>
      </c>
      <c r="AN166" s="89"/>
      <c r="AO166" s="89"/>
      <c r="AP166" s="112" t="str">
        <f t="shared" si="13"/>
        <v>2M_UP</v>
      </c>
      <c r="AQ166" s="89">
        <v>1521.0</v>
      </c>
      <c r="AR166" s="89"/>
      <c r="AS166" s="113"/>
      <c r="AT166" s="113"/>
    </row>
    <row r="167" ht="15.0" customHeight="1">
      <c r="A167" s="144">
        <f t="shared" si="1"/>
        <v>163</v>
      </c>
      <c r="B167" s="137" t="str">
        <f t="shared" si="2"/>
        <v>ARM-0163</v>
      </c>
      <c r="C167" s="144" t="s">
        <v>1454</v>
      </c>
      <c r="D167" s="144" t="s">
        <v>123</v>
      </c>
      <c r="E167" s="145" t="s">
        <v>1455</v>
      </c>
      <c r="F167" s="145" t="s">
        <v>124</v>
      </c>
      <c r="G167" s="144" t="s">
        <v>193</v>
      </c>
      <c r="H167" s="146" t="s">
        <v>327</v>
      </c>
      <c r="I167" s="146">
        <v>1.0</v>
      </c>
      <c r="J167" s="146">
        <v>6.0</v>
      </c>
      <c r="K167" s="146" t="s">
        <v>194</v>
      </c>
      <c r="L167" s="146" t="s">
        <v>221</v>
      </c>
      <c r="M167" s="146">
        <f>IFERROR(VLOOKUP($L167,'4_Produk'!$C:$E,2,FALSE()),"")</f>
        <v>20</v>
      </c>
      <c r="N167" s="147">
        <f>IFERROR(VLOOKUP($L167,'4_Produk'!$C:$E,3,FALSE()),"")</f>
        <v>115000</v>
      </c>
      <c r="O167" s="141" t="s">
        <v>1456</v>
      </c>
      <c r="P167" s="148" t="s">
        <v>1457</v>
      </c>
      <c r="Q167" s="146" t="s">
        <v>1458</v>
      </c>
      <c r="R167" s="90"/>
      <c r="S167" s="149">
        <v>46272.0</v>
      </c>
      <c r="T167" s="146">
        <v>109.0</v>
      </c>
      <c r="U167" s="90" t="s">
        <v>1459</v>
      </c>
      <c r="V167" s="146"/>
      <c r="W167" s="86" t="s">
        <v>199</v>
      </c>
      <c r="X167" s="150"/>
      <c r="Y167" s="150"/>
      <c r="Z167" s="107" t="str">
        <f>IF($F167="","",HYPERLINK("https://wa.me/62"&amp;MID($F167,2,LEN($F167)-1),"Chat WA"))</f>
        <v>Chat WA</v>
      </c>
      <c r="AA167" s="47"/>
      <c r="AB167" s="47"/>
      <c r="AC167" s="47"/>
      <c r="AD167" s="108" t="s">
        <v>1460</v>
      </c>
      <c r="AE167" s="108" t="s">
        <v>1461</v>
      </c>
      <c r="AF167" s="109"/>
      <c r="AG167" s="109" t="s">
        <v>1462</v>
      </c>
      <c r="AH167" s="110">
        <f t="shared" si="7"/>
        <v>46210</v>
      </c>
      <c r="AI167" s="107" t="str">
        <f t="shared" si="8"/>
        <v>Kirim WA</v>
      </c>
      <c r="AJ167" s="107" t="str">
        <f t="shared" si="9"/>
        <v>Kirim WA</v>
      </c>
      <c r="AK167" s="107" t="str">
        <f t="shared" si="10"/>
        <v>Kirim WA</v>
      </c>
      <c r="AL167" s="111">
        <f t="shared" si="11"/>
        <v>88167</v>
      </c>
      <c r="AM167" s="107" t="str">
        <f t="shared" si="12"/>
        <v>Kirim Invoice</v>
      </c>
      <c r="AN167" s="89">
        <v>1.0</v>
      </c>
      <c r="AO167" s="89">
        <v>4.0</v>
      </c>
      <c r="AP167" s="112" t="str">
        <f t="shared" si="13"/>
        <v>2M_UP</v>
      </c>
      <c r="AQ167" s="89">
        <v>1521.0</v>
      </c>
      <c r="AR167" s="89">
        <v>-23.5</v>
      </c>
      <c r="AS167" s="113"/>
      <c r="AT167" s="113" t="s">
        <v>1463</v>
      </c>
    </row>
    <row r="168" ht="15.75" customHeight="1">
      <c r="A168" s="86">
        <f t="shared" si="1"/>
        <v>164</v>
      </c>
      <c r="B168" s="151" t="str">
        <f t="shared" si="2"/>
        <v>ARM-0164</v>
      </c>
      <c r="C168" s="47" t="s">
        <v>1464</v>
      </c>
      <c r="D168" s="88" t="s">
        <v>103</v>
      </c>
      <c r="E168" s="88"/>
      <c r="F168" s="88" t="s">
        <v>104</v>
      </c>
      <c r="G168" s="88" t="s">
        <v>193</v>
      </c>
      <c r="H168" s="89" t="s">
        <v>541</v>
      </c>
      <c r="I168" s="89">
        <v>1.0</v>
      </c>
      <c r="J168" s="89">
        <v>4.0</v>
      </c>
      <c r="K168" s="89" t="s">
        <v>194</v>
      </c>
      <c r="L168" s="89" t="s">
        <v>221</v>
      </c>
      <c r="M168" s="86">
        <f>IFERROR(VLOOKUP($L168,'4_Produk'!$C:$E,2,FALSE()),"")</f>
        <v>20</v>
      </c>
      <c r="N168" s="152">
        <f>IFERROR(VLOOKUP($L168,'4_Produk'!$C:$E,3,FALSE()),"")</f>
        <v>115000</v>
      </c>
      <c r="O168" s="89" t="s">
        <v>1465</v>
      </c>
      <c r="P168" s="89" t="s">
        <v>1466</v>
      </c>
      <c r="Q168" s="89" t="s">
        <v>1467</v>
      </c>
      <c r="R168" s="89"/>
      <c r="S168" s="153">
        <v>46272.0</v>
      </c>
      <c r="T168" s="89">
        <v>278.0</v>
      </c>
      <c r="U168" s="90" t="s">
        <v>1468</v>
      </c>
      <c r="V168" s="90"/>
      <c r="W168" s="90" t="s">
        <v>199</v>
      </c>
      <c r="X168" s="90"/>
      <c r="Y168" s="90"/>
      <c r="Z168" s="90"/>
      <c r="AA168" s="47"/>
      <c r="AB168" s="47"/>
      <c r="AC168" s="47"/>
      <c r="AD168" s="47" t="str">
        <f>IFERROR(VLOOKUP($Q168,'12_ONT_NEW'!$D:$G,4,FALSE()),"")</f>
        <v>5i954g_2.4G</v>
      </c>
      <c r="AE168" s="47"/>
      <c r="AF168" s="47"/>
      <c r="AG168" s="47"/>
      <c r="AH168" s="154">
        <f t="shared" si="7"/>
        <v>46210</v>
      </c>
      <c r="AI168" s="47"/>
      <c r="AJ168" s="47"/>
      <c r="AK168" s="47"/>
      <c r="AL168" s="155">
        <f t="shared" si="11"/>
        <v>88167</v>
      </c>
      <c r="AM168" s="47"/>
      <c r="AN168" s="47"/>
      <c r="AO168" s="47"/>
      <c r="AP168" s="87" t="str">
        <f t="shared" si="13"/>
        <v>2M_UP</v>
      </c>
      <c r="AQ168" s="89">
        <v>1521.0</v>
      </c>
      <c r="AR168" s="47"/>
      <c r="AS168" s="47"/>
      <c r="AT168" s="47"/>
    </row>
    <row r="169" ht="15.75" customHeight="1">
      <c r="A169" s="86">
        <f t="shared" si="1"/>
        <v>165</v>
      </c>
      <c r="B169" s="151" t="str">
        <f t="shared" si="2"/>
        <v>ARM-0165</v>
      </c>
      <c r="C169" s="47" t="s">
        <v>1469</v>
      </c>
      <c r="D169" s="88" t="s">
        <v>140</v>
      </c>
      <c r="E169" s="88" t="s">
        <v>1470</v>
      </c>
      <c r="F169" s="88" t="s">
        <v>1471</v>
      </c>
      <c r="G169" s="88" t="s">
        <v>193</v>
      </c>
      <c r="H169" s="89" t="s">
        <v>327</v>
      </c>
      <c r="I169" s="89">
        <v>9.0</v>
      </c>
      <c r="J169" s="89">
        <v>6.0</v>
      </c>
      <c r="K169" s="89" t="s">
        <v>194</v>
      </c>
      <c r="L169" s="89" t="s">
        <v>202</v>
      </c>
      <c r="M169" s="86">
        <f>IFERROR(VLOOKUP($L169,'4_Produk'!$C:$E,2,FALSE()),"")</f>
        <v>50</v>
      </c>
      <c r="N169" s="152">
        <f>IFERROR(VLOOKUP($L169,'4_Produk'!$C:$E,3,FALSE()),"")</f>
        <v>182000</v>
      </c>
      <c r="O169" s="89" t="s">
        <v>1472</v>
      </c>
      <c r="P169" s="89" t="s">
        <v>1473</v>
      </c>
      <c r="Q169" s="89" t="s">
        <v>1474</v>
      </c>
      <c r="R169" s="89"/>
      <c r="S169" s="153">
        <v>46302.0</v>
      </c>
      <c r="T169" s="89">
        <v>100.0</v>
      </c>
      <c r="U169" s="90" t="s">
        <v>206</v>
      </c>
      <c r="V169" s="90"/>
      <c r="W169" s="90" t="s">
        <v>199</v>
      </c>
      <c r="X169" s="90"/>
      <c r="Y169" s="90"/>
      <c r="Z169" s="90"/>
      <c r="AA169" s="47"/>
      <c r="AB169" s="47"/>
      <c r="AC169" s="47"/>
      <c r="AD169" s="47" t="str">
        <f>IFERROR(VLOOKUP($Q169,'12_ONT_NEW'!$D:$G,4,FALSE()),"")</f>
        <v>5i95bg_2.4G</v>
      </c>
      <c r="AE169" s="47"/>
      <c r="AF169" s="47"/>
      <c r="AG169" s="47"/>
      <c r="AH169" s="154">
        <f t="shared" si="7"/>
        <v>46210</v>
      </c>
      <c r="AI169" s="47"/>
      <c r="AJ169" s="47"/>
      <c r="AK169" s="47"/>
      <c r="AL169" s="155">
        <f t="shared" si="11"/>
        <v>139533</v>
      </c>
      <c r="AM169" s="47"/>
      <c r="AN169" s="47"/>
      <c r="AO169" s="47"/>
      <c r="AP169" s="87" t="str">
        <f t="shared" si="13"/>
        <v>5M_UP</v>
      </c>
      <c r="AQ169" s="89">
        <v>1521.0</v>
      </c>
      <c r="AR169" s="47"/>
      <c r="AS169" s="47"/>
      <c r="AT169" s="47"/>
    </row>
    <row r="170" ht="15.75" customHeight="1">
      <c r="A170" s="86">
        <f t="shared" si="1"/>
        <v>166</v>
      </c>
      <c r="B170" s="151" t="str">
        <f t="shared" si="2"/>
        <v>ARM-0166</v>
      </c>
      <c r="C170" s="47" t="s">
        <v>1475</v>
      </c>
      <c r="D170" s="88" t="s">
        <v>1476</v>
      </c>
      <c r="E170" s="88" t="s">
        <v>1477</v>
      </c>
      <c r="F170" s="88" t="s">
        <v>1478</v>
      </c>
      <c r="G170" s="88" t="s">
        <v>193</v>
      </c>
      <c r="H170" s="89" t="s">
        <v>327</v>
      </c>
      <c r="I170" s="89">
        <v>9.0</v>
      </c>
      <c r="J170" s="89">
        <v>7.0</v>
      </c>
      <c r="K170" s="89" t="s">
        <v>194</v>
      </c>
      <c r="L170" s="89" t="s">
        <v>221</v>
      </c>
      <c r="M170" s="86">
        <f>IFERROR(VLOOKUP($L170,'4_Produk'!$C:$E,2,FALSE()),"")</f>
        <v>20</v>
      </c>
      <c r="N170" s="152">
        <f>IFERROR(VLOOKUP($L170,'4_Produk'!$C:$E,3,FALSE()),"")</f>
        <v>115000</v>
      </c>
      <c r="O170" s="156" t="s">
        <v>213</v>
      </c>
      <c r="P170" s="89" t="s">
        <v>1479</v>
      </c>
      <c r="Q170" s="89" t="s">
        <v>1480</v>
      </c>
      <c r="R170" s="89"/>
      <c r="S170" s="153">
        <v>46302.0</v>
      </c>
      <c r="T170" s="89">
        <v>73.0</v>
      </c>
      <c r="U170" s="90" t="s">
        <v>1481</v>
      </c>
      <c r="V170" s="90"/>
      <c r="W170" s="90" t="s">
        <v>199</v>
      </c>
      <c r="X170" s="90"/>
      <c r="Y170" s="90"/>
      <c r="Z170" s="90"/>
      <c r="AA170" s="47"/>
      <c r="AB170" s="47"/>
      <c r="AC170" s="47"/>
      <c r="AD170" s="47" t="str">
        <f>IFERROR(VLOOKUP($Q170,'12_ONT_NEW'!$D:$G,4,FALSE()),"")</f>
        <v>5i958g_2.4G</v>
      </c>
      <c r="AE170" s="47"/>
      <c r="AF170" s="47"/>
      <c r="AG170" s="47"/>
      <c r="AH170" s="154">
        <f t="shared" si="7"/>
        <v>46210</v>
      </c>
      <c r="AI170" s="47"/>
      <c r="AJ170" s="47"/>
      <c r="AK170" s="47"/>
      <c r="AL170" s="155">
        <f t="shared" si="11"/>
        <v>88167</v>
      </c>
      <c r="AM170" s="47"/>
      <c r="AN170" s="47"/>
      <c r="AO170" s="47"/>
      <c r="AP170" s="87" t="str">
        <f t="shared" si="13"/>
        <v>2M_UP</v>
      </c>
      <c r="AQ170" s="89">
        <v>1521.0</v>
      </c>
      <c r="AR170" s="47"/>
      <c r="AS170" s="47"/>
      <c r="AT170" s="47"/>
    </row>
    <row r="171" ht="15.75" customHeight="1">
      <c r="A171" s="86">
        <f t="shared" si="1"/>
        <v>167</v>
      </c>
      <c r="B171" s="151" t="str">
        <f t="shared" si="2"/>
        <v>ARM-0167</v>
      </c>
      <c r="C171" s="47" t="s">
        <v>1482</v>
      </c>
      <c r="D171" s="88" t="s">
        <v>1483</v>
      </c>
      <c r="E171" s="88" t="s">
        <v>1484</v>
      </c>
      <c r="F171" s="88" t="s">
        <v>1485</v>
      </c>
      <c r="G171" s="88" t="s">
        <v>193</v>
      </c>
      <c r="H171" s="89" t="s">
        <v>327</v>
      </c>
      <c r="I171" s="89">
        <v>9.0</v>
      </c>
      <c r="J171" s="89">
        <v>7.0</v>
      </c>
      <c r="K171" s="89" t="s">
        <v>194</v>
      </c>
      <c r="L171" s="89" t="s">
        <v>221</v>
      </c>
      <c r="M171" s="86">
        <f>IFERROR(VLOOKUP($L171,'4_Produk'!$C:$E,2,FALSE()),"")</f>
        <v>20</v>
      </c>
      <c r="N171" s="152">
        <f>IFERROR(VLOOKUP($L171,'4_Produk'!$C:$E,3,FALSE()),"")</f>
        <v>115000</v>
      </c>
      <c r="O171" s="89" t="s">
        <v>1486</v>
      </c>
      <c r="P171" s="89" t="s">
        <v>1487</v>
      </c>
      <c r="Q171" s="89" t="s">
        <v>1488</v>
      </c>
      <c r="R171" s="89"/>
      <c r="S171" s="153">
        <v>46302.0</v>
      </c>
      <c r="T171" s="89">
        <v>30.0</v>
      </c>
      <c r="U171" s="90" t="s">
        <v>1489</v>
      </c>
      <c r="V171" s="90"/>
      <c r="W171" s="90" t="s">
        <v>199</v>
      </c>
      <c r="X171" s="90"/>
      <c r="Y171" s="90"/>
      <c r="Z171" s="90"/>
      <c r="AA171" s="47"/>
      <c r="AB171" s="47"/>
      <c r="AC171" s="47"/>
      <c r="AD171" s="47" t="str">
        <f>IFERROR(VLOOKUP($Q171,'12_ONT_NEW'!$D:$G,4,FALSE()),"")</f>
        <v>5i957g_2.4G</v>
      </c>
      <c r="AE171" s="47"/>
      <c r="AF171" s="47"/>
      <c r="AG171" s="47"/>
      <c r="AH171" s="154">
        <f t="shared" si="7"/>
        <v>46210</v>
      </c>
      <c r="AI171" s="47"/>
      <c r="AJ171" s="47"/>
      <c r="AK171" s="47"/>
      <c r="AL171" s="155">
        <f t="shared" si="11"/>
        <v>88167</v>
      </c>
      <c r="AM171" s="47"/>
      <c r="AN171" s="47"/>
      <c r="AO171" s="47"/>
      <c r="AP171" s="87" t="str">
        <f t="shared" si="13"/>
        <v>2M_UP</v>
      </c>
      <c r="AQ171" s="89">
        <v>1521.0</v>
      </c>
      <c r="AR171" s="47"/>
      <c r="AS171" s="47"/>
      <c r="AT171" s="47"/>
    </row>
    <row r="172" ht="15.75" customHeight="1">
      <c r="A172" s="86">
        <f t="shared" si="1"/>
        <v>168</v>
      </c>
      <c r="B172" s="151" t="str">
        <f t="shared" si="2"/>
        <v>ARM-0168</v>
      </c>
      <c r="C172" s="47" t="s">
        <v>1490</v>
      </c>
      <c r="D172" s="88" t="s">
        <v>1491</v>
      </c>
      <c r="E172" s="88" t="s">
        <v>1492</v>
      </c>
      <c r="F172" s="88" t="s">
        <v>1493</v>
      </c>
      <c r="G172" s="88" t="s">
        <v>193</v>
      </c>
      <c r="H172" s="89" t="s">
        <v>327</v>
      </c>
      <c r="I172" s="89">
        <v>9.0</v>
      </c>
      <c r="J172" s="89">
        <v>7.0</v>
      </c>
      <c r="K172" s="89" t="s">
        <v>194</v>
      </c>
      <c r="L172" s="89" t="s">
        <v>221</v>
      </c>
      <c r="M172" s="86">
        <f>IFERROR(VLOOKUP($L172,'4_Produk'!$C:$E,2,FALSE()),"")</f>
        <v>20</v>
      </c>
      <c r="N172" s="152">
        <f>IFERROR(VLOOKUP($L172,'4_Produk'!$C:$E,3,FALSE()),"")</f>
        <v>115000</v>
      </c>
      <c r="O172" s="89" t="s">
        <v>1494</v>
      </c>
      <c r="P172" s="89" t="s">
        <v>1495</v>
      </c>
      <c r="Q172" s="89" t="s">
        <v>1496</v>
      </c>
      <c r="R172" s="89"/>
      <c r="S172" s="153">
        <v>46302.0</v>
      </c>
      <c r="T172" s="89">
        <v>176.0</v>
      </c>
      <c r="U172" s="90"/>
      <c r="V172" s="90"/>
      <c r="W172" s="90" t="s">
        <v>199</v>
      </c>
      <c r="X172" s="90"/>
      <c r="Y172" s="90"/>
      <c r="Z172" s="90"/>
      <c r="AA172" s="47"/>
      <c r="AB172" s="47"/>
      <c r="AC172" s="47"/>
      <c r="AD172" s="47" t="str">
        <f>IFERROR(VLOOKUP($Q172,'12_ONT_NEW'!$D:$G,4,FALSE()),"")</f>
        <v>5i959g_2.4G</v>
      </c>
      <c r="AE172" s="47"/>
      <c r="AF172" s="47"/>
      <c r="AG172" s="47"/>
      <c r="AH172" s="154">
        <f t="shared" si="7"/>
        <v>46210</v>
      </c>
      <c r="AI172" s="47"/>
      <c r="AJ172" s="47"/>
      <c r="AK172" s="47"/>
      <c r="AL172" s="155">
        <f t="shared" si="11"/>
        <v>88167</v>
      </c>
      <c r="AM172" s="47"/>
      <c r="AN172" s="47"/>
      <c r="AO172" s="47"/>
      <c r="AP172" s="87" t="str">
        <f t="shared" si="13"/>
        <v>2M_UP</v>
      </c>
      <c r="AQ172" s="89">
        <v>1521.0</v>
      </c>
      <c r="AR172" s="47"/>
      <c r="AS172" s="47"/>
      <c r="AT172" s="47"/>
    </row>
    <row r="173" ht="15.75" customHeight="1">
      <c r="A173" s="86">
        <f t="shared" si="1"/>
        <v>169</v>
      </c>
      <c r="B173" s="151" t="str">
        <f t="shared" si="2"/>
        <v>ARM-0169</v>
      </c>
      <c r="C173" s="47" t="s">
        <v>1497</v>
      </c>
      <c r="D173" s="88" t="s">
        <v>1498</v>
      </c>
      <c r="E173" s="88" t="s">
        <v>1499</v>
      </c>
      <c r="F173" s="88" t="s">
        <v>1500</v>
      </c>
      <c r="G173" s="88" t="s">
        <v>193</v>
      </c>
      <c r="H173" s="89" t="s">
        <v>327</v>
      </c>
      <c r="I173" s="89">
        <v>9.0</v>
      </c>
      <c r="J173" s="89">
        <v>7.0</v>
      </c>
      <c r="K173" s="89" t="s">
        <v>194</v>
      </c>
      <c r="L173" s="89" t="s">
        <v>221</v>
      </c>
      <c r="M173" s="86">
        <f>IFERROR(VLOOKUP($L173,'4_Produk'!$C:$E,2,FALSE()),"")</f>
        <v>20</v>
      </c>
      <c r="N173" s="152">
        <f>IFERROR(VLOOKUP($L173,'4_Produk'!$C:$E,3,FALSE()),"")</f>
        <v>115000</v>
      </c>
      <c r="O173" s="156" t="s">
        <v>430</v>
      </c>
      <c r="P173" s="89" t="s">
        <v>1501</v>
      </c>
      <c r="Q173" s="89" t="s">
        <v>1502</v>
      </c>
      <c r="R173" s="89"/>
      <c r="S173" s="153">
        <v>46302.0</v>
      </c>
      <c r="T173" s="89">
        <v>73.0</v>
      </c>
      <c r="U173" s="90"/>
      <c r="V173" s="90"/>
      <c r="W173" s="90" t="s">
        <v>199</v>
      </c>
      <c r="X173" s="90"/>
      <c r="Y173" s="90"/>
      <c r="Z173" s="90"/>
      <c r="AA173" s="47"/>
      <c r="AB173" s="47"/>
      <c r="AC173" s="47"/>
      <c r="AD173" s="47" t="str">
        <f>IFERROR(VLOOKUP($Q173,'12_ONT_NEW'!$D:$G,4,FALSE()),"")</f>
        <v>5i95cg_2.4G</v>
      </c>
      <c r="AE173" s="47"/>
      <c r="AF173" s="47"/>
      <c r="AG173" s="47"/>
      <c r="AH173" s="154">
        <f t="shared" si="7"/>
        <v>46210</v>
      </c>
      <c r="AI173" s="47"/>
      <c r="AJ173" s="47"/>
      <c r="AK173" s="47"/>
      <c r="AL173" s="155">
        <f t="shared" si="11"/>
        <v>88167</v>
      </c>
      <c r="AM173" s="47"/>
      <c r="AN173" s="47"/>
      <c r="AO173" s="47"/>
      <c r="AP173" s="87" t="str">
        <f t="shared" si="13"/>
        <v>2M_UP</v>
      </c>
      <c r="AQ173" s="89">
        <v>1521.0</v>
      </c>
      <c r="AR173" s="47"/>
      <c r="AS173" s="47"/>
      <c r="AT173" s="47"/>
    </row>
    <row r="174" ht="15.75" customHeight="1">
      <c r="A174" s="86">
        <f t="shared" si="1"/>
        <v>170</v>
      </c>
      <c r="B174" s="151" t="str">
        <f t="shared" si="2"/>
        <v>ARM-0170</v>
      </c>
      <c r="C174" s="47" t="s">
        <v>1503</v>
      </c>
      <c r="D174" s="88" t="s">
        <v>1504</v>
      </c>
      <c r="E174" s="88" t="s">
        <v>1505</v>
      </c>
      <c r="F174" s="88" t="s">
        <v>119</v>
      </c>
      <c r="G174" s="88" t="s">
        <v>193</v>
      </c>
      <c r="H174" s="89" t="s">
        <v>541</v>
      </c>
      <c r="I174" s="89">
        <v>1.0</v>
      </c>
      <c r="J174" s="89">
        <v>1.0</v>
      </c>
      <c r="K174" s="89" t="s">
        <v>194</v>
      </c>
      <c r="L174" s="89" t="s">
        <v>221</v>
      </c>
      <c r="M174" s="86">
        <f>IFERROR(VLOOKUP($L174,'4_Produk'!$C:$E,2,FALSE()),"")</f>
        <v>20</v>
      </c>
      <c r="N174" s="152">
        <f>IFERROR(VLOOKUP($L174,'4_Produk'!$C:$E,3,FALSE()),"")</f>
        <v>115000</v>
      </c>
      <c r="O174" s="89" t="s">
        <v>1506</v>
      </c>
      <c r="P174" s="89" t="s">
        <v>1507</v>
      </c>
      <c r="Q174" s="89" t="s">
        <v>1508</v>
      </c>
      <c r="R174" s="89"/>
      <c r="S174" s="153">
        <v>46333.0</v>
      </c>
      <c r="T174" s="89">
        <v>30.0</v>
      </c>
      <c r="U174" s="90" t="s">
        <v>1509</v>
      </c>
      <c r="V174" s="90"/>
      <c r="W174" s="90" t="s">
        <v>199</v>
      </c>
      <c r="X174" s="90"/>
      <c r="Y174" s="90"/>
      <c r="Z174" s="90"/>
      <c r="AA174" s="47"/>
      <c r="AB174" s="47"/>
      <c r="AC174" s="47"/>
      <c r="AD174" s="47" t="str">
        <f>IFERROR(VLOOKUP($Q174,'12_ONT_NEW'!$D:$G,4,FALSE()),"")</f>
        <v>5i95dg_2.4G</v>
      </c>
      <c r="AE174" s="47"/>
      <c r="AF174" s="47"/>
      <c r="AG174" s="47"/>
      <c r="AH174" s="154">
        <f t="shared" si="7"/>
        <v>46210</v>
      </c>
      <c r="AI174" s="47"/>
      <c r="AJ174" s="47"/>
      <c r="AK174" s="47"/>
      <c r="AL174" s="155">
        <f t="shared" si="11"/>
        <v>88167</v>
      </c>
      <c r="AM174" s="47"/>
      <c r="AN174" s="47"/>
      <c r="AO174" s="47"/>
      <c r="AP174" s="87" t="str">
        <f t="shared" si="13"/>
        <v>2M_UP</v>
      </c>
      <c r="AQ174" s="89">
        <v>1521.0</v>
      </c>
      <c r="AR174" s="47"/>
      <c r="AS174" s="47"/>
      <c r="AT174" s="47"/>
    </row>
    <row r="175" ht="15.75" customHeight="1">
      <c r="A175" s="86">
        <f t="shared" si="1"/>
        <v>171</v>
      </c>
      <c r="B175" s="151" t="str">
        <f t="shared" si="2"/>
        <v>ARM-0171</v>
      </c>
      <c r="C175" s="47" t="s">
        <v>1510</v>
      </c>
      <c r="D175" s="88" t="s">
        <v>114</v>
      </c>
      <c r="E175" s="88" t="s">
        <v>1511</v>
      </c>
      <c r="F175" s="88" t="s">
        <v>115</v>
      </c>
      <c r="G175" s="88" t="s">
        <v>193</v>
      </c>
      <c r="H175" s="89" t="s">
        <v>327</v>
      </c>
      <c r="I175" s="89">
        <v>2.0</v>
      </c>
      <c r="J175" s="89">
        <v>3.0</v>
      </c>
      <c r="K175" s="89" t="s">
        <v>194</v>
      </c>
      <c r="L175" s="89" t="s">
        <v>221</v>
      </c>
      <c r="M175" s="86">
        <f>IFERROR(VLOOKUP($L175,'4_Produk'!$C:$E,2,FALSE()),"")</f>
        <v>20</v>
      </c>
      <c r="N175" s="152">
        <f>IFERROR(VLOOKUP($L175,'4_Produk'!$C:$E,3,FALSE()),"")</f>
        <v>115000</v>
      </c>
      <c r="O175" s="89" t="s">
        <v>1512</v>
      </c>
      <c r="P175" s="89" t="s">
        <v>1513</v>
      </c>
      <c r="Q175" s="89" t="s">
        <v>1514</v>
      </c>
      <c r="R175" s="89"/>
      <c r="S175" s="153">
        <v>46333.0</v>
      </c>
      <c r="T175" s="89">
        <v>104.0</v>
      </c>
      <c r="U175" s="90" t="s">
        <v>1515</v>
      </c>
      <c r="V175" s="90"/>
      <c r="W175" s="90" t="s">
        <v>199</v>
      </c>
      <c r="X175" s="90"/>
      <c r="Y175" s="90"/>
      <c r="Z175" s="90"/>
      <c r="AA175" s="47"/>
      <c r="AB175" s="47"/>
      <c r="AC175" s="47"/>
      <c r="AD175" s="47" t="str">
        <f>IFERROR(VLOOKUP($Q175,'12_ONT_NEW'!$D:$G,4,FALSE()),"")</f>
        <v>5i95cg_2.4G</v>
      </c>
      <c r="AE175" s="47"/>
      <c r="AF175" s="47"/>
      <c r="AG175" s="47"/>
      <c r="AH175" s="154">
        <f t="shared" si="7"/>
        <v>46210</v>
      </c>
      <c r="AI175" s="47"/>
      <c r="AJ175" s="47"/>
      <c r="AK175" s="47"/>
      <c r="AL175" s="155">
        <f t="shared" si="11"/>
        <v>88167</v>
      </c>
      <c r="AM175" s="47"/>
      <c r="AN175" s="47"/>
      <c r="AO175" s="47"/>
      <c r="AP175" s="87" t="str">
        <f t="shared" si="13"/>
        <v>2M_UP</v>
      </c>
      <c r="AQ175" s="89">
        <v>1521.0</v>
      </c>
      <c r="AR175" s="47"/>
      <c r="AS175" s="47"/>
      <c r="AT175" s="47"/>
    </row>
    <row r="176" ht="15.75" customHeight="1">
      <c r="A176" s="86">
        <f t="shared" si="1"/>
        <v>172</v>
      </c>
      <c r="B176" s="151" t="str">
        <f t="shared" si="2"/>
        <v>ARM-0172</v>
      </c>
      <c r="C176" s="47" t="s">
        <v>1516</v>
      </c>
      <c r="D176" s="88" t="s">
        <v>1517</v>
      </c>
      <c r="E176" s="88" t="s">
        <v>1518</v>
      </c>
      <c r="F176" s="88" t="s">
        <v>1519</v>
      </c>
      <c r="G176" s="88" t="s">
        <v>193</v>
      </c>
      <c r="H176" s="89" t="s">
        <v>327</v>
      </c>
      <c r="I176" s="89">
        <v>9.0</v>
      </c>
      <c r="J176" s="89">
        <v>6.0</v>
      </c>
      <c r="K176" s="89" t="s">
        <v>194</v>
      </c>
      <c r="L176" s="89" t="s">
        <v>212</v>
      </c>
      <c r="M176" s="86">
        <f>IFERROR(VLOOKUP($L176,'4_Produk'!$C:$E,2,FALSE()),"")</f>
        <v>30</v>
      </c>
      <c r="N176" s="152">
        <f>IFERROR(VLOOKUP($L176,'4_Produk'!$C:$E,3,FALSE()),"")</f>
        <v>142000</v>
      </c>
      <c r="O176" s="89" t="s">
        <v>1520</v>
      </c>
      <c r="P176" s="89" t="s">
        <v>1521</v>
      </c>
      <c r="Q176" s="89" t="s">
        <v>1522</v>
      </c>
      <c r="R176" s="89"/>
      <c r="S176" s="153">
        <v>46216.0</v>
      </c>
      <c r="T176" s="89">
        <v>100.0</v>
      </c>
      <c r="U176" s="90" t="s">
        <v>1523</v>
      </c>
      <c r="V176" s="90"/>
      <c r="W176" s="90" t="s">
        <v>199</v>
      </c>
      <c r="X176" s="90"/>
      <c r="Y176" s="90"/>
      <c r="Z176" s="90"/>
      <c r="AA176" s="47"/>
      <c r="AB176" s="47"/>
      <c r="AC176" s="47"/>
      <c r="AD176" s="47" t="str">
        <f>IFERROR(VLOOKUP($Q176,'12_ONT_NEW'!$D:$G,4,FALSE()),"")</f>
        <v>5i95fg_2.4G</v>
      </c>
      <c r="AE176" s="47"/>
      <c r="AF176" s="47"/>
      <c r="AG176" s="47"/>
      <c r="AH176" s="154">
        <f t="shared" si="7"/>
        <v>46216</v>
      </c>
      <c r="AI176" s="47"/>
      <c r="AJ176" s="47"/>
      <c r="AK176" s="47"/>
      <c r="AL176" s="155">
        <f t="shared" si="11"/>
        <v>80467</v>
      </c>
      <c r="AM176" s="47"/>
      <c r="AN176" s="47"/>
      <c r="AO176" s="47"/>
      <c r="AP176" s="87" t="str">
        <f t="shared" si="13"/>
        <v>3M_UP</v>
      </c>
      <c r="AQ176" s="89">
        <v>1521.0</v>
      </c>
      <c r="AR176" s="47"/>
      <c r="AS176" s="47"/>
      <c r="AT176" s="47"/>
    </row>
    <row r="177" ht="15.75" customHeight="1">
      <c r="A177" s="86">
        <f t="shared" si="1"/>
        <v>173</v>
      </c>
      <c r="B177" s="151" t="str">
        <f t="shared" si="2"/>
        <v>ARM-0173</v>
      </c>
      <c r="C177" s="47" t="s">
        <v>1524</v>
      </c>
      <c r="D177" s="88" t="s">
        <v>132</v>
      </c>
      <c r="E177" s="88"/>
      <c r="F177" s="88" t="s">
        <v>133</v>
      </c>
      <c r="G177" s="88" t="s">
        <v>193</v>
      </c>
      <c r="H177" s="89" t="s">
        <v>327</v>
      </c>
      <c r="I177" s="89">
        <v>5.0</v>
      </c>
      <c r="J177" s="89">
        <v>6.0</v>
      </c>
      <c r="K177" s="89" t="s">
        <v>194</v>
      </c>
      <c r="L177" s="89" t="s">
        <v>221</v>
      </c>
      <c r="M177" s="86">
        <f>IFERROR(VLOOKUP($L177,'4_Produk'!$C:$E,2,FALSE()),"")</f>
        <v>20</v>
      </c>
      <c r="N177" s="152">
        <f>IFERROR(VLOOKUP($L177,'4_Produk'!$C:$E,3,FALSE()),"")</f>
        <v>115000</v>
      </c>
      <c r="O177" s="89" t="s">
        <v>1525</v>
      </c>
      <c r="P177" s="89" t="s">
        <v>1526</v>
      </c>
      <c r="Q177" s="89" t="s">
        <v>1527</v>
      </c>
      <c r="R177" s="89"/>
      <c r="S177" s="153">
        <v>46217.0</v>
      </c>
      <c r="T177" s="89">
        <v>120.0</v>
      </c>
      <c r="U177" s="90" t="s">
        <v>1528</v>
      </c>
      <c r="V177" s="90"/>
      <c r="W177" s="90" t="s">
        <v>199</v>
      </c>
      <c r="X177" s="90"/>
      <c r="Y177" s="90"/>
      <c r="Z177" s="90"/>
      <c r="AA177" s="47"/>
      <c r="AB177" s="47"/>
      <c r="AC177" s="47"/>
      <c r="AD177" s="47" t="str">
        <f>IFERROR(VLOOKUP($Q177,'12_ONT_NEW'!$D:$G,4,FALSE()),"")</f>
        <v>5i95cg_2.4G</v>
      </c>
      <c r="AE177" s="47"/>
      <c r="AF177" s="47"/>
      <c r="AG177" s="47"/>
      <c r="AH177" s="154">
        <f t="shared" si="7"/>
        <v>46217</v>
      </c>
      <c r="AI177" s="47"/>
      <c r="AJ177" s="47"/>
      <c r="AK177" s="47"/>
      <c r="AL177" s="155">
        <f t="shared" si="11"/>
        <v>61333</v>
      </c>
      <c r="AM177" s="47"/>
      <c r="AN177" s="47"/>
      <c r="AO177" s="47"/>
      <c r="AP177" s="87" t="str">
        <f t="shared" si="13"/>
        <v>2M_UP</v>
      </c>
      <c r="AQ177" s="89">
        <v>1521.0</v>
      </c>
      <c r="AR177" s="47"/>
      <c r="AS177" s="47"/>
      <c r="AT177" s="47"/>
    </row>
    <row r="178" ht="15.75" customHeight="1">
      <c r="A178" s="47">
        <f t="shared" si="1"/>
        <v>174</v>
      </c>
      <c r="B178" s="47" t="str">
        <f t="shared" si="2"/>
        <v>ARM-0174</v>
      </c>
      <c r="C178" s="47" t="s">
        <v>1529</v>
      </c>
      <c r="D178" s="47" t="s">
        <v>1530</v>
      </c>
      <c r="E178" s="47" t="s">
        <v>1531</v>
      </c>
      <c r="F178" s="47" t="s">
        <v>1532</v>
      </c>
      <c r="G178" s="47" t="s">
        <v>193</v>
      </c>
      <c r="H178" s="90" t="s">
        <v>327</v>
      </c>
      <c r="I178" s="90">
        <v>2.0</v>
      </c>
      <c r="J178" s="90">
        <v>4.0</v>
      </c>
      <c r="K178" s="90" t="s">
        <v>194</v>
      </c>
      <c r="L178" s="90" t="s">
        <v>221</v>
      </c>
      <c r="M178" s="90">
        <f>IFERROR(VLOOKUP($L178,'4_Produk'!$C:$E,2,FALSE()),"")</f>
        <v>20</v>
      </c>
      <c r="N178" s="157">
        <f>IFERROR(VLOOKUP($L178,'4_Produk'!$C:$E,3,FALSE()),"")</f>
        <v>115000</v>
      </c>
      <c r="O178" s="90" t="s">
        <v>1533</v>
      </c>
      <c r="P178" s="90" t="s">
        <v>1534</v>
      </c>
      <c r="Q178" s="90" t="s">
        <v>1535</v>
      </c>
      <c r="R178" s="90"/>
      <c r="S178" s="142">
        <v>46218.0</v>
      </c>
      <c r="T178" s="90">
        <v>30.0</v>
      </c>
      <c r="U178" s="90" t="s">
        <v>1536</v>
      </c>
      <c r="V178" s="90"/>
      <c r="W178" s="90" t="s">
        <v>199</v>
      </c>
      <c r="X178" s="90"/>
      <c r="Y178" s="90"/>
      <c r="Z178" s="90"/>
      <c r="AA178" s="47"/>
      <c r="AB178" s="47"/>
      <c r="AC178" s="47"/>
      <c r="AD178" s="47" t="str">
        <f>IFERROR(VLOOKUP($Q178,'12_ONT_NEW'!$D:$G,4,FALSE()),"")</f>
        <v>5i95bg_2.4G</v>
      </c>
      <c r="AE178" s="47"/>
      <c r="AF178" s="47"/>
      <c r="AG178" s="47"/>
      <c r="AH178" s="158">
        <f t="shared" si="7"/>
        <v>46218</v>
      </c>
      <c r="AI178" s="47"/>
      <c r="AJ178" s="47"/>
      <c r="AK178" s="47"/>
      <c r="AL178" s="159">
        <f t="shared" si="11"/>
        <v>57500</v>
      </c>
      <c r="AM178" s="47"/>
      <c r="AN178" s="47"/>
      <c r="AO178" s="47"/>
      <c r="AP178" s="47" t="str">
        <f t="shared" si="13"/>
        <v>2M_UP</v>
      </c>
      <c r="AQ178" s="47">
        <v>1521.0</v>
      </c>
      <c r="AR178" s="47"/>
      <c r="AS178" s="47"/>
      <c r="AT178" s="47"/>
    </row>
    <row r="179" ht="15.75" customHeight="1">
      <c r="A179" s="47">
        <f t="shared" si="1"/>
        <v>175</v>
      </c>
      <c r="B179" s="47" t="str">
        <f t="shared" si="2"/>
        <v>ARM-0175</v>
      </c>
      <c r="C179" s="47" t="s">
        <v>1537</v>
      </c>
      <c r="D179" s="47" t="s">
        <v>1538</v>
      </c>
      <c r="E179" s="47" t="s">
        <v>1539</v>
      </c>
      <c r="F179" s="47" t="s">
        <v>1540</v>
      </c>
      <c r="G179" s="47" t="s">
        <v>193</v>
      </c>
      <c r="H179" s="90" t="s">
        <v>327</v>
      </c>
      <c r="I179" s="90">
        <v>10.0</v>
      </c>
      <c r="J179" s="90">
        <v>6.0</v>
      </c>
      <c r="K179" s="90" t="s">
        <v>194</v>
      </c>
      <c r="L179" s="90" t="s">
        <v>221</v>
      </c>
      <c r="M179" s="90">
        <f>IFERROR(VLOOKUP($L179,'4_Produk'!$C:$E,2,FALSE()),"")</f>
        <v>20</v>
      </c>
      <c r="N179" s="157">
        <f>IFERROR(VLOOKUP($L179,'4_Produk'!$C:$E,3,FALSE()),"")</f>
        <v>115000</v>
      </c>
      <c r="O179" s="90" t="s">
        <v>1541</v>
      </c>
      <c r="P179" s="90" t="s">
        <v>1542</v>
      </c>
      <c r="Q179" s="90" t="s">
        <v>1543</v>
      </c>
      <c r="R179" s="90"/>
      <c r="S179" s="142">
        <v>46219.0</v>
      </c>
      <c r="T179" s="90">
        <v>80.0</v>
      </c>
      <c r="U179" s="90"/>
      <c r="V179" s="90"/>
      <c r="W179" s="90" t="s">
        <v>199</v>
      </c>
      <c r="X179" s="90"/>
      <c r="Y179" s="90"/>
      <c r="Z179" s="90"/>
      <c r="AA179" s="47"/>
      <c r="AB179" s="47"/>
      <c r="AC179" s="47"/>
      <c r="AD179" s="47" t="str">
        <f>IFERROR(VLOOKUP($Q179,'12_ONT_NEW'!$D:$G,4,FALSE()),"")</f>
        <v>5i95dg_2.4G</v>
      </c>
      <c r="AE179" s="47"/>
      <c r="AF179" s="47"/>
      <c r="AG179" s="47"/>
      <c r="AH179" s="158">
        <f t="shared" si="7"/>
        <v>46219</v>
      </c>
      <c r="AI179" s="47"/>
      <c r="AJ179" s="47"/>
      <c r="AK179" s="47"/>
      <c r="AL179" s="159">
        <f t="shared" si="11"/>
        <v>53667</v>
      </c>
      <c r="AM179" s="47"/>
      <c r="AN179" s="47"/>
      <c r="AO179" s="47"/>
      <c r="AP179" s="47" t="str">
        <f t="shared" si="13"/>
        <v>2M_UP</v>
      </c>
      <c r="AQ179" s="47">
        <v>1521.0</v>
      </c>
      <c r="AR179" s="47"/>
      <c r="AS179" s="47"/>
      <c r="AT179" s="47"/>
    </row>
    <row r="180" ht="15.75" customHeight="1">
      <c r="A180" s="47">
        <f t="shared" si="1"/>
        <v>176</v>
      </c>
      <c r="B180" s="47" t="str">
        <f t="shared" si="2"/>
        <v>ARM-0176</v>
      </c>
      <c r="C180" s="47" t="s">
        <v>1544</v>
      </c>
      <c r="D180" s="47" t="s">
        <v>136</v>
      </c>
      <c r="E180" s="47" t="s">
        <v>1545</v>
      </c>
      <c r="F180" s="47" t="s">
        <v>137</v>
      </c>
      <c r="G180" s="47" t="s">
        <v>193</v>
      </c>
      <c r="H180" s="90" t="s">
        <v>327</v>
      </c>
      <c r="I180" s="90">
        <v>1.0</v>
      </c>
      <c r="J180" s="90">
        <v>8.0</v>
      </c>
      <c r="K180" s="90" t="s">
        <v>194</v>
      </c>
      <c r="L180" s="90" t="s">
        <v>221</v>
      </c>
      <c r="M180" s="90">
        <f>IFERROR(VLOOKUP($L180,'4_Produk'!$C:$E,2,FALSE()),"")</f>
        <v>20</v>
      </c>
      <c r="N180" s="157">
        <f>IFERROR(VLOOKUP($L180,'4_Produk'!$C:$E,3,FALSE()),"")</f>
        <v>115000</v>
      </c>
      <c r="O180" s="90" t="s">
        <v>1546</v>
      </c>
      <c r="P180" s="90" t="s">
        <v>1547</v>
      </c>
      <c r="Q180" s="90" t="s">
        <v>1548</v>
      </c>
      <c r="R180" s="90"/>
      <c r="S180" s="142">
        <v>46220.0</v>
      </c>
      <c r="T180" s="90">
        <v>50.0</v>
      </c>
      <c r="U180" s="90"/>
      <c r="V180" s="90"/>
      <c r="W180" s="90" t="s">
        <v>199</v>
      </c>
      <c r="X180" s="90"/>
      <c r="Y180" s="90"/>
      <c r="Z180" s="90"/>
      <c r="AA180" s="47"/>
      <c r="AB180" s="47"/>
      <c r="AC180" s="47"/>
      <c r="AD180" s="47" t="str">
        <f>IFERROR(VLOOKUP($Q180,'12_ONT_NEW'!$D:$G,4,FALSE()),"")</f>
        <v>5i952g_2.4G</v>
      </c>
      <c r="AE180" s="47"/>
      <c r="AF180" s="47"/>
      <c r="AG180" s="47"/>
      <c r="AH180" s="158">
        <f t="shared" si="7"/>
        <v>46220</v>
      </c>
      <c r="AI180" s="47"/>
      <c r="AJ180" s="47"/>
      <c r="AK180" s="47"/>
      <c r="AL180" s="159">
        <f t="shared" si="11"/>
        <v>49833</v>
      </c>
      <c r="AM180" s="47"/>
      <c r="AN180" s="47"/>
      <c r="AO180" s="47"/>
      <c r="AP180" s="47" t="str">
        <f t="shared" si="13"/>
        <v>2M_UP</v>
      </c>
      <c r="AQ180" s="47">
        <v>1521.0</v>
      </c>
      <c r="AR180" s="47"/>
      <c r="AS180" s="47"/>
      <c r="AT180" s="47"/>
    </row>
    <row r="181" ht="15.75" customHeight="1">
      <c r="A181" s="47">
        <f t="shared" si="1"/>
        <v>177</v>
      </c>
      <c r="B181" s="47" t="str">
        <f t="shared" si="2"/>
        <v>ARM-0177</v>
      </c>
      <c r="C181" s="47" t="s">
        <v>1549</v>
      </c>
      <c r="D181" s="47" t="s">
        <v>1550</v>
      </c>
      <c r="E181" s="47" t="s">
        <v>1551</v>
      </c>
      <c r="F181" s="47" t="s">
        <v>1552</v>
      </c>
      <c r="G181" s="47" t="s">
        <v>193</v>
      </c>
      <c r="H181" s="90" t="s">
        <v>327</v>
      </c>
      <c r="I181" s="90">
        <v>3.0</v>
      </c>
      <c r="J181" s="90">
        <v>5.0</v>
      </c>
      <c r="K181" s="90" t="s">
        <v>194</v>
      </c>
      <c r="L181" s="90" t="s">
        <v>221</v>
      </c>
      <c r="M181" s="90">
        <f>IFERROR(VLOOKUP($L181,'4_Produk'!$C:$E,2,FALSE()),"")</f>
        <v>20</v>
      </c>
      <c r="N181" s="157">
        <f>IFERROR(VLOOKUP($L181,'4_Produk'!$C:$E,3,FALSE()),"")</f>
        <v>115000</v>
      </c>
      <c r="O181" s="90" t="s">
        <v>1553</v>
      </c>
      <c r="P181" s="90" t="s">
        <v>1554</v>
      </c>
      <c r="Q181" s="90" t="s">
        <v>1555</v>
      </c>
      <c r="R181" s="90"/>
      <c r="S181" s="142">
        <v>46220.0</v>
      </c>
      <c r="T181" s="90">
        <v>30.0</v>
      </c>
      <c r="U181" s="90" t="s">
        <v>1556</v>
      </c>
      <c r="V181" s="90"/>
      <c r="W181" s="90" t="s">
        <v>199</v>
      </c>
      <c r="X181" s="90"/>
      <c r="Y181" s="90"/>
      <c r="Z181" s="90"/>
      <c r="AA181" s="47"/>
      <c r="AB181" s="47"/>
      <c r="AC181" s="47"/>
      <c r="AD181" s="47" t="str">
        <f>IFERROR(VLOOKUP($Q181,'12_ONT_NEW'!$D:$G,4,FALSE()),"")</f>
        <v>5i95fg_2.4G</v>
      </c>
      <c r="AE181" s="47"/>
      <c r="AF181" s="47"/>
      <c r="AG181" s="47"/>
      <c r="AH181" s="158">
        <f t="shared" si="7"/>
        <v>46220</v>
      </c>
      <c r="AI181" s="47"/>
      <c r="AJ181" s="47"/>
      <c r="AK181" s="47"/>
      <c r="AL181" s="159">
        <f t="shared" si="11"/>
        <v>49833</v>
      </c>
      <c r="AM181" s="47"/>
      <c r="AN181" s="47"/>
      <c r="AO181" s="47"/>
      <c r="AP181" s="47" t="str">
        <f t="shared" si="13"/>
        <v>2M_UP</v>
      </c>
      <c r="AQ181" s="47">
        <v>1521.0</v>
      </c>
      <c r="AR181" s="47"/>
      <c r="AS181" s="47"/>
      <c r="AT181" s="47"/>
    </row>
    <row r="182" ht="15.75" customHeight="1">
      <c r="A182" s="47">
        <f t="shared" si="1"/>
        <v>178</v>
      </c>
      <c r="B182" s="47" t="str">
        <f t="shared" si="2"/>
        <v>ARM-0178</v>
      </c>
      <c r="C182" s="47" t="s">
        <v>1557</v>
      </c>
      <c r="D182" s="47" t="s">
        <v>1558</v>
      </c>
      <c r="E182" s="47"/>
      <c r="F182" s="47" t="s">
        <v>1559</v>
      </c>
      <c r="G182" s="47" t="s">
        <v>193</v>
      </c>
      <c r="H182" s="90" t="s">
        <v>327</v>
      </c>
      <c r="I182" s="90">
        <v>9.0</v>
      </c>
      <c r="J182" s="90">
        <v>7.0</v>
      </c>
      <c r="K182" s="90" t="s">
        <v>194</v>
      </c>
      <c r="L182" s="90" t="s">
        <v>221</v>
      </c>
      <c r="M182" s="90">
        <f>IFERROR(VLOOKUP($L182,'4_Produk'!$C:$E,2,FALSE()),"")</f>
        <v>20</v>
      </c>
      <c r="N182" s="157">
        <f>IFERROR(VLOOKUP($L182,'4_Produk'!$C:$E,3,FALSE()),"")</f>
        <v>115000</v>
      </c>
      <c r="O182" s="90" t="s">
        <v>1560</v>
      </c>
      <c r="P182" s="90" t="s">
        <v>1561</v>
      </c>
      <c r="Q182" s="90" t="s">
        <v>1562</v>
      </c>
      <c r="R182" s="90"/>
      <c r="S182" s="142">
        <v>46221.0</v>
      </c>
      <c r="T182" s="90">
        <v>180.0</v>
      </c>
      <c r="U182" s="90"/>
      <c r="V182" s="90"/>
      <c r="W182" s="90" t="s">
        <v>199</v>
      </c>
      <c r="X182" s="90"/>
      <c r="Y182" s="90"/>
      <c r="Z182" s="90"/>
      <c r="AA182" s="47"/>
      <c r="AB182" s="47"/>
      <c r="AC182" s="47"/>
      <c r="AD182" s="47" t="str">
        <f>IFERROR(VLOOKUP($Q182,'12_ONT_NEW'!$D:$G,4,FALSE()),"")</f>
        <v>5i95bg_2.4G</v>
      </c>
      <c r="AE182" s="47"/>
      <c r="AF182" s="47"/>
      <c r="AG182" s="47"/>
      <c r="AH182" s="158">
        <f t="shared" si="7"/>
        <v>46221</v>
      </c>
      <c r="AI182" s="47"/>
      <c r="AJ182" s="47"/>
      <c r="AK182" s="47"/>
      <c r="AL182" s="159">
        <f t="shared" si="11"/>
        <v>46000</v>
      </c>
      <c r="AM182" s="47"/>
      <c r="AN182" s="47"/>
      <c r="AO182" s="47"/>
      <c r="AP182" s="47" t="str">
        <f t="shared" si="13"/>
        <v>2M_UP</v>
      </c>
      <c r="AQ182" s="47">
        <v>1521.0</v>
      </c>
      <c r="AR182" s="47"/>
      <c r="AS182" s="47"/>
      <c r="AT182" s="47"/>
    </row>
    <row r="183" ht="15.75" customHeight="1">
      <c r="A183" s="47">
        <f t="shared" si="1"/>
        <v>179</v>
      </c>
      <c r="B183" s="47" t="str">
        <f t="shared" si="2"/>
        <v>ARM-0179</v>
      </c>
      <c r="C183" s="47" t="s">
        <v>1563</v>
      </c>
      <c r="D183" s="47" t="s">
        <v>1564</v>
      </c>
      <c r="E183" s="47" t="s">
        <v>1565</v>
      </c>
      <c r="F183" s="47" t="s">
        <v>1566</v>
      </c>
      <c r="G183" s="47" t="s">
        <v>193</v>
      </c>
      <c r="H183" s="90" t="s">
        <v>327</v>
      </c>
      <c r="I183" s="90">
        <v>9.0</v>
      </c>
      <c r="J183" s="90">
        <v>2.0</v>
      </c>
      <c r="K183" s="90" t="s">
        <v>194</v>
      </c>
      <c r="L183" s="90" t="s">
        <v>221</v>
      </c>
      <c r="M183" s="90">
        <f>IFERROR(VLOOKUP($L183,'4_Produk'!$C:$E,2,FALSE()),"")</f>
        <v>20</v>
      </c>
      <c r="N183" s="157">
        <f>IFERROR(VLOOKUP($L183,'4_Produk'!$C:$E,3,FALSE()),"")</f>
        <v>115000</v>
      </c>
      <c r="O183" s="90" t="s">
        <v>1567</v>
      </c>
      <c r="P183" s="90" t="s">
        <v>1568</v>
      </c>
      <c r="Q183" s="90" t="s">
        <v>1569</v>
      </c>
      <c r="R183" s="90"/>
      <c r="S183" s="142">
        <v>46221.0</v>
      </c>
      <c r="T183" s="90">
        <v>130.0</v>
      </c>
      <c r="U183" s="90" t="s">
        <v>1570</v>
      </c>
      <c r="V183" s="90"/>
      <c r="W183" s="90" t="s">
        <v>199</v>
      </c>
      <c r="X183" s="90"/>
      <c r="Y183" s="90"/>
      <c r="Z183" s="90"/>
      <c r="AA183" s="47"/>
      <c r="AB183" s="47"/>
      <c r="AC183" s="47"/>
      <c r="AD183" s="47" t="str">
        <f>IFERROR(VLOOKUP($Q183,'12_ONT_NEW'!$D:$G,4,FALSE()),"")</f>
        <v>5i954g_2.4G</v>
      </c>
      <c r="AE183" s="47"/>
      <c r="AF183" s="47"/>
      <c r="AG183" s="47"/>
      <c r="AH183" s="158">
        <f t="shared" si="7"/>
        <v>46221</v>
      </c>
      <c r="AI183" s="47"/>
      <c r="AJ183" s="47"/>
      <c r="AK183" s="47"/>
      <c r="AL183" s="159">
        <f t="shared" si="11"/>
        <v>46000</v>
      </c>
      <c r="AM183" s="47"/>
      <c r="AN183" s="47"/>
      <c r="AO183" s="47"/>
      <c r="AP183" s="47" t="str">
        <f t="shared" si="13"/>
        <v>2M_UP</v>
      </c>
      <c r="AQ183" s="47">
        <v>1521.0</v>
      </c>
      <c r="AR183" s="47"/>
      <c r="AS183" s="47"/>
      <c r="AT183" s="47"/>
    </row>
    <row r="184" ht="15.75" customHeight="1">
      <c r="A184" s="47">
        <f t="shared" si="1"/>
        <v>180</v>
      </c>
      <c r="B184" s="47" t="str">
        <f t="shared" si="2"/>
        <v>ARM-0180</v>
      </c>
      <c r="C184" s="47" t="s">
        <v>1571</v>
      </c>
      <c r="D184" s="47" t="s">
        <v>1572</v>
      </c>
      <c r="E184" s="47"/>
      <c r="F184" s="47" t="s">
        <v>96</v>
      </c>
      <c r="G184" s="47" t="s">
        <v>193</v>
      </c>
      <c r="H184" s="90" t="s">
        <v>327</v>
      </c>
      <c r="I184" s="90">
        <v>1.0</v>
      </c>
      <c r="J184" s="90">
        <v>7.0</v>
      </c>
      <c r="K184" s="90" t="s">
        <v>194</v>
      </c>
      <c r="L184" s="90" t="s">
        <v>221</v>
      </c>
      <c r="M184" s="90">
        <f>IFERROR(VLOOKUP($L184,'4_Produk'!$C:$E,2,FALSE()),"")</f>
        <v>20</v>
      </c>
      <c r="N184" s="157">
        <f>IFERROR(VLOOKUP($L184,'4_Produk'!$C:$E,3,FALSE()),"")</f>
        <v>115000</v>
      </c>
      <c r="O184" s="90" t="s">
        <v>1573</v>
      </c>
      <c r="P184" s="90" t="s">
        <v>1574</v>
      </c>
      <c r="Q184" s="90" t="s">
        <v>1575</v>
      </c>
      <c r="R184" s="90"/>
      <c r="S184" s="142">
        <v>46222.0</v>
      </c>
      <c r="T184" s="90">
        <v>115.0</v>
      </c>
      <c r="U184" s="90"/>
      <c r="V184" s="90"/>
      <c r="W184" s="90" t="s">
        <v>199</v>
      </c>
      <c r="X184" s="90"/>
      <c r="Y184" s="90"/>
      <c r="Z184" s="90"/>
      <c r="AA184" s="47"/>
      <c r="AB184" s="47"/>
      <c r="AC184" s="47"/>
      <c r="AD184" s="47" t="str">
        <f>IFERROR(VLOOKUP($Q184,'12_ONT_NEW'!$D:$G,4,FALSE()),"")</f>
        <v>5i95dg_2.4G</v>
      </c>
      <c r="AE184" s="47"/>
      <c r="AF184" s="47"/>
      <c r="AG184" s="47"/>
      <c r="AH184" s="158">
        <f t="shared" si="7"/>
        <v>46222</v>
      </c>
      <c r="AI184" s="47"/>
      <c r="AJ184" s="47"/>
      <c r="AK184" s="47"/>
      <c r="AL184" s="159">
        <f t="shared" si="11"/>
        <v>42167</v>
      </c>
      <c r="AM184" s="47"/>
      <c r="AN184" s="47"/>
      <c r="AO184" s="47"/>
      <c r="AP184" s="47" t="str">
        <f t="shared" si="13"/>
        <v>2M_UP</v>
      </c>
      <c r="AQ184" s="47">
        <v>1521.0</v>
      </c>
      <c r="AR184" s="47"/>
      <c r="AS184" s="47"/>
      <c r="AT184" s="47"/>
    </row>
    <row r="185" ht="15.75" customHeight="1">
      <c r="A185" s="47">
        <f t="shared" si="1"/>
        <v>181</v>
      </c>
      <c r="B185" s="47" t="str">
        <f t="shared" si="2"/>
        <v>ARM-0181</v>
      </c>
      <c r="C185" s="47" t="s">
        <v>1576</v>
      </c>
      <c r="D185" s="47" t="s">
        <v>1577</v>
      </c>
      <c r="E185" s="47"/>
      <c r="F185" s="47" t="s">
        <v>1578</v>
      </c>
      <c r="G185" s="47" t="s">
        <v>193</v>
      </c>
      <c r="H185" s="90" t="s">
        <v>523</v>
      </c>
      <c r="I185" s="90">
        <v>9.0</v>
      </c>
      <c r="J185" s="90">
        <v>3.0</v>
      </c>
      <c r="K185" s="90" t="s">
        <v>194</v>
      </c>
      <c r="L185" s="90" t="s">
        <v>221</v>
      </c>
      <c r="M185" s="90">
        <f>IFERROR(VLOOKUP($L185,'4_Produk'!$C:$E,2,FALSE()),"")</f>
        <v>20</v>
      </c>
      <c r="N185" s="157">
        <f>IFERROR(VLOOKUP($L185,'4_Produk'!$C:$E,3,FALSE()),"")</f>
        <v>115000</v>
      </c>
      <c r="O185" s="90" t="s">
        <v>1579</v>
      </c>
      <c r="P185" s="90" t="s">
        <v>1580</v>
      </c>
      <c r="Q185" s="90" t="s">
        <v>1581</v>
      </c>
      <c r="R185" s="90"/>
      <c r="S185" s="142">
        <v>46222.0</v>
      </c>
      <c r="T185" s="90">
        <v>30.0</v>
      </c>
      <c r="U185" s="90" t="s">
        <v>1582</v>
      </c>
      <c r="V185" s="90"/>
      <c r="W185" s="90" t="s">
        <v>199</v>
      </c>
      <c r="X185" s="90"/>
      <c r="Y185" s="90"/>
      <c r="Z185" s="90"/>
      <c r="AA185" s="47"/>
      <c r="AB185" s="47"/>
      <c r="AC185" s="47"/>
      <c r="AD185" s="47" t="str">
        <f>IFERROR(VLOOKUP($Q185,'12_ONT_NEW'!$D:$G,4,FALSE()),"")</f>
        <v/>
      </c>
      <c r="AE185" s="47"/>
      <c r="AF185" s="47"/>
      <c r="AG185" s="47"/>
      <c r="AH185" s="158">
        <f t="shared" si="7"/>
        <v>46222</v>
      </c>
      <c r="AI185" s="47"/>
      <c r="AJ185" s="47"/>
      <c r="AK185" s="47"/>
      <c r="AL185" s="159">
        <f t="shared" si="11"/>
        <v>42167</v>
      </c>
      <c r="AM185" s="47"/>
      <c r="AN185" s="47"/>
      <c r="AO185" s="47"/>
      <c r="AP185" s="47" t="str">
        <f t="shared" si="13"/>
        <v>2M_UP</v>
      </c>
      <c r="AQ185" s="47">
        <v>1521.0</v>
      </c>
      <c r="AR185" s="47"/>
      <c r="AS185" s="47"/>
      <c r="AT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</row>
  </sheetData>
  <autoFilter ref="$A$3:$AT$185"/>
  <mergeCells count="1">
    <mergeCell ref="A1:Z1"/>
  </mergeCells>
  <conditionalFormatting sqref="W5:W167">
    <cfRule type="expression" dxfId="0" priority="1">
      <formula>$W5="Aktif"</formula>
    </cfRule>
  </conditionalFormatting>
  <conditionalFormatting sqref="W5:W167">
    <cfRule type="expression" dxfId="1" priority="2">
      <formula>$W5="Berhenti"</formula>
    </cfRule>
  </conditionalFormatting>
  <dataValidations>
    <dataValidation type="list" allowBlank="1" sqref="W5:W185">
      <formula1>"Aktif,Isolir,Dismantel,Berhenti"</formula1>
    </dataValidation>
    <dataValidation type="list" allowBlank="1" showErrorMessage="1" sqref="H4:H167">
      <formula1>"CIHONJE,CIHONJE,GUMELAR,CIWARAS,GUMELAR,CILANGKAP,TLAGA,CIREBAH"</formula1>
    </dataValidation>
    <dataValidation type="list" allowBlank="1" showErrorMessage="1" sqref="L4:L167">
      <formula1>"AR-6,AR-4,AR-3,AR-2,AR-5"</formula1>
    </dataValidation>
  </dataValidations>
  <hyperlinks>
    <hyperlink r:id="rId2" ref="X166"/>
    <hyperlink r:id="rId3" ref="Y166"/>
  </hyperlinks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5.71"/>
    <col customWidth="1" min="4" max="4" width="20.43"/>
    <col customWidth="1" min="5" max="5" width="21.0"/>
    <col customWidth="1" min="6" max="6" width="12.0"/>
    <col customWidth="1" min="7" max="7" width="23.43"/>
    <col customWidth="1" min="8" max="26" width="14.0"/>
  </cols>
  <sheetData>
    <row r="1" ht="24.0" customHeight="1">
      <c r="A1" s="160" t="s">
        <v>1583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0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1.75" customHeight="1">
      <c r="A3" s="161" t="s">
        <v>1584</v>
      </c>
      <c r="B3" s="161" t="s">
        <v>1585</v>
      </c>
      <c r="C3" s="162" t="s">
        <v>1586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1.75" customHeight="1">
      <c r="A4" s="163">
        <f>COUNTA(D9:D400)</f>
        <v>307</v>
      </c>
      <c r="B4" s="163">
        <f>COUNTIF(G9:G400,"Terpasang")</f>
        <v>179</v>
      </c>
      <c r="C4" s="164">
        <f>COUNTIF(G9:G400,"Stok/Belum Terpasang")</f>
        <v>128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0" customHeigh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5.0" customHeight="1">
      <c r="A6" s="24" t="s">
        <v>1587</v>
      </c>
      <c r="B6" s="165">
        <v>5.0</v>
      </c>
      <c r="C6" s="166" t="str">
        <f>IFERROR("Estimasi habis dalam "&amp;ROUND(C4/B6,0)&amp;" minggu","")</f>
        <v>Estimasi habis dalam 26 minggu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0" customHeight="1">
      <c r="A7" s="90"/>
      <c r="B7" s="90"/>
      <c r="C7" s="90"/>
      <c r="D7" s="90"/>
      <c r="E7" s="90"/>
      <c r="F7" s="90"/>
      <c r="G7" s="90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</row>
    <row r="8" ht="15.0" customHeight="1">
      <c r="A8" s="72" t="s">
        <v>69</v>
      </c>
      <c r="B8" s="72" t="s">
        <v>147</v>
      </c>
      <c r="C8" s="72" t="s">
        <v>1588</v>
      </c>
      <c r="D8" s="72" t="s">
        <v>1589</v>
      </c>
      <c r="E8" s="72" t="s">
        <v>160</v>
      </c>
      <c r="F8" s="93" t="s">
        <v>1590</v>
      </c>
      <c r="G8" s="72" t="s">
        <v>1591</v>
      </c>
      <c r="H8" s="93" t="s">
        <v>1592</v>
      </c>
      <c r="I8" s="93" t="s">
        <v>1593</v>
      </c>
      <c r="J8" s="93" t="s">
        <v>1594</v>
      </c>
      <c r="K8" s="93" t="s">
        <v>1595</v>
      </c>
      <c r="L8" s="93" t="s">
        <v>55</v>
      </c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</row>
    <row r="9" ht="15.0" customHeight="1">
      <c r="A9" s="82">
        <v>1.0</v>
      </c>
      <c r="B9" s="82" t="s">
        <v>1596</v>
      </c>
      <c r="C9" s="82" t="s">
        <v>1597</v>
      </c>
      <c r="D9" s="82" t="s">
        <v>214</v>
      </c>
      <c r="E9" s="82" t="s">
        <v>215</v>
      </c>
      <c r="F9" s="168">
        <f t="array" ref="F9">IFERROR(INDEX('2_Data_Pelanggan'!$S:$S,MATCH(D9,'2_Data_Pelanggan'!$P:$P,0)),"")</f>
        <v>46091</v>
      </c>
      <c r="G9" s="169" t="str">
        <f>IF(COUNTIF('2_Data_Pelanggan'!$P:$P,D9)&gt;0,"Terpasang","Stok/Belum Terpasang")</f>
        <v>Terpasang</v>
      </c>
      <c r="H9" s="170" t="str">
        <f t="array" ref="H9">IFERROR(INDEX('2_Data_Pelanggan'!$B:$B,MATCH(D9,'2_Data_Pelanggan'!$P:$P,0)),"-")</f>
        <v>ARM-0003</v>
      </c>
      <c r="I9" s="171" t="str">
        <f t="array" ref="I9">IFERROR(INDEX('2_Data_Pelanggan'!$D:$D,MATCH(D9,'2_Data_Pelanggan'!$P:$P,0)),"-")</f>
        <v>JUNO</v>
      </c>
      <c r="J9" s="172" t="s">
        <v>207</v>
      </c>
      <c r="K9" s="171" t="s">
        <v>1598</v>
      </c>
      <c r="L9" s="171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</row>
    <row r="10" ht="15.0" customHeight="1">
      <c r="A10" s="76">
        <v>2.0</v>
      </c>
      <c r="B10" s="76" t="s">
        <v>1596</v>
      </c>
      <c r="C10" s="76" t="s">
        <v>1597</v>
      </c>
      <c r="D10" s="76" t="s">
        <v>223</v>
      </c>
      <c r="E10" s="76" t="s">
        <v>224</v>
      </c>
      <c r="F10" s="173">
        <f t="array" ref="F10">IFERROR(INDEX('2_Data_Pelanggan'!$S:$S,MATCH(D10,'2_Data_Pelanggan'!$P:$P,0)),"")</f>
        <v>46096</v>
      </c>
      <c r="G10" s="169" t="str">
        <f>IF(COUNTIF('2_Data_Pelanggan'!$P:$P,D10)&gt;0,"Terpasang","Stok/Belum Terpasang")</f>
        <v>Terpasang</v>
      </c>
      <c r="H10" s="170" t="str">
        <f t="array" ref="H10">IFERROR(INDEX('2_Data_Pelanggan'!$B:$B,MATCH(D10,'2_Data_Pelanggan'!$P:$P,0)),"-")</f>
        <v>ARM-0004</v>
      </c>
      <c r="I10" s="171" t="str">
        <f t="array" ref="I10">IFERROR(INDEX('2_Data_Pelanggan'!$D:$D,MATCH(D10,'2_Data_Pelanggan'!$P:$P,0)),"-")</f>
        <v>TAMIRAH</v>
      </c>
      <c r="J10" s="172" t="s">
        <v>217</v>
      </c>
      <c r="K10" s="171" t="s">
        <v>1598</v>
      </c>
      <c r="L10" s="171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</row>
    <row r="11" ht="15.0" customHeight="1">
      <c r="A11" s="82">
        <v>3.0</v>
      </c>
      <c r="B11" s="82" t="s">
        <v>1596</v>
      </c>
      <c r="C11" s="82" t="s">
        <v>1597</v>
      </c>
      <c r="D11" s="82" t="s">
        <v>230</v>
      </c>
      <c r="E11" s="82" t="s">
        <v>1599</v>
      </c>
      <c r="F11" s="168">
        <f t="array" ref="F11">IFERROR(INDEX('2_Data_Pelanggan'!$S:$S,MATCH(D11,'2_Data_Pelanggan'!$P:$P,0)),"")</f>
        <v>46096</v>
      </c>
      <c r="G11" s="169" t="str">
        <f>IF(COUNTIF('2_Data_Pelanggan'!$P:$P,D11)&gt;0,"Terpasang","Stok/Belum Terpasang")</f>
        <v>Terpasang</v>
      </c>
      <c r="H11" s="170" t="str">
        <f t="array" ref="H11">IFERROR(INDEX('2_Data_Pelanggan'!$B:$B,MATCH(D11,'2_Data_Pelanggan'!$P:$P,0)),"-")</f>
        <v>ARM-0005</v>
      </c>
      <c r="I11" s="171" t="str">
        <f t="array" ref="I11">IFERROR(INDEX('2_Data_Pelanggan'!$D:$D,MATCH(D11,'2_Data_Pelanggan'!$P:$P,0)),"-")</f>
        <v>SARWO</v>
      </c>
      <c r="J11" s="172" t="s">
        <v>226</v>
      </c>
      <c r="K11" s="171" t="s">
        <v>1598</v>
      </c>
      <c r="L11" s="171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</row>
    <row r="12" ht="15.0" customHeight="1">
      <c r="A12" s="76">
        <v>4.0</v>
      </c>
      <c r="B12" s="76" t="s">
        <v>1596</v>
      </c>
      <c r="C12" s="76" t="s">
        <v>1597</v>
      </c>
      <c r="D12" s="76" t="s">
        <v>237</v>
      </c>
      <c r="E12" s="76" t="s">
        <v>238</v>
      </c>
      <c r="F12" s="173">
        <f t="array" ref="F12">IFERROR(INDEX('2_Data_Pelanggan'!$S:$S,MATCH(D12,'2_Data_Pelanggan'!$P:$P,0)),"")</f>
        <v>46096</v>
      </c>
      <c r="G12" s="169" t="str">
        <f>IF(COUNTIF('2_Data_Pelanggan'!$P:$P,D12)&gt;0,"Terpasang","Stok/Belum Terpasang")</f>
        <v>Terpasang</v>
      </c>
      <c r="H12" s="170" t="str">
        <f t="array" ref="H12">IFERROR(INDEX('2_Data_Pelanggan'!$B:$B,MATCH(D12,'2_Data_Pelanggan'!$P:$P,0)),"-")</f>
        <v>ARM-0006</v>
      </c>
      <c r="I12" s="171" t="str">
        <f t="array" ref="I12">IFERROR(INDEX('2_Data_Pelanggan'!$D:$D,MATCH(D12,'2_Data_Pelanggan'!$P:$P,0)),"-")</f>
        <v>TRIYONO</v>
      </c>
      <c r="J12" s="172" t="s">
        <v>233</v>
      </c>
      <c r="K12" s="171" t="s">
        <v>1598</v>
      </c>
      <c r="L12" s="171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</row>
    <row r="13" ht="15.0" customHeight="1">
      <c r="A13" s="82">
        <v>5.0</v>
      </c>
      <c r="B13" s="82" t="s">
        <v>1596</v>
      </c>
      <c r="C13" s="82" t="s">
        <v>1597</v>
      </c>
      <c r="D13" s="82" t="s">
        <v>243</v>
      </c>
      <c r="E13" s="82" t="s">
        <v>244</v>
      </c>
      <c r="F13" s="168">
        <f t="array" ref="F13">IFERROR(INDEX('2_Data_Pelanggan'!$S:$S,MATCH(D13,'2_Data_Pelanggan'!$P:$P,0)),"")</f>
        <v>46096</v>
      </c>
      <c r="G13" s="169" t="str">
        <f>IF(COUNTIF('2_Data_Pelanggan'!$P:$P,D13)&gt;0,"Terpasang","Stok/Belum Terpasang")</f>
        <v>Terpasang</v>
      </c>
      <c r="H13" s="170" t="str">
        <f t="array" ref="H13">IFERROR(INDEX('2_Data_Pelanggan'!$B:$B,MATCH(D13,'2_Data_Pelanggan'!$P:$P,0)),"-")</f>
        <v>ARM-0007</v>
      </c>
      <c r="I13" s="171" t="str">
        <f t="array" ref="I13">IFERROR(INDEX('2_Data_Pelanggan'!$D:$D,MATCH(D13,'2_Data_Pelanggan'!$P:$P,0)),"-")</f>
        <v>WAIFRON</v>
      </c>
      <c r="J13" s="172" t="s">
        <v>240</v>
      </c>
      <c r="K13" s="171" t="s">
        <v>1598</v>
      </c>
      <c r="L13" s="171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</row>
    <row r="14" ht="15.0" customHeight="1">
      <c r="A14" s="76">
        <v>6.0</v>
      </c>
      <c r="B14" s="76" t="s">
        <v>1596</v>
      </c>
      <c r="C14" s="76" t="s">
        <v>1597</v>
      </c>
      <c r="D14" s="76" t="s">
        <v>251</v>
      </c>
      <c r="E14" s="76" t="s">
        <v>252</v>
      </c>
      <c r="F14" s="173">
        <f t="array" ref="F14">IFERROR(INDEX('2_Data_Pelanggan'!$S:$S,MATCH(D14,'2_Data_Pelanggan'!$P:$P,0)),"")</f>
        <v>46096</v>
      </c>
      <c r="G14" s="169" t="str">
        <f>IF(COUNTIF('2_Data_Pelanggan'!$P:$P,D14)&gt;0,"Terpasang","Stok/Belum Terpasang")</f>
        <v>Terpasang</v>
      </c>
      <c r="H14" s="170" t="str">
        <f t="array" ref="H14">IFERROR(INDEX('2_Data_Pelanggan'!$B:$B,MATCH(D14,'2_Data_Pelanggan'!$P:$P,0)),"-")</f>
        <v>ARM-0008</v>
      </c>
      <c r="I14" s="171" t="str">
        <f t="array" ref="I14">IFERROR(INDEX('2_Data_Pelanggan'!$D:$D,MATCH(D14,'2_Data_Pelanggan'!$P:$P,0)),"-")</f>
        <v>WARSITO</v>
      </c>
      <c r="J14" s="172" t="s">
        <v>246</v>
      </c>
      <c r="K14" s="171" t="s">
        <v>1598</v>
      </c>
      <c r="L14" s="171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</row>
    <row r="15" ht="15.0" customHeight="1">
      <c r="A15" s="82">
        <v>7.0</v>
      </c>
      <c r="B15" s="82" t="s">
        <v>1596</v>
      </c>
      <c r="C15" s="82" t="s">
        <v>1597</v>
      </c>
      <c r="D15" s="82" t="s">
        <v>259</v>
      </c>
      <c r="E15" s="82" t="s">
        <v>260</v>
      </c>
      <c r="F15" s="168">
        <f t="array" ref="F15">IFERROR(INDEX('2_Data_Pelanggan'!$S:$S,MATCH(D15,'2_Data_Pelanggan'!$P:$P,0)),"")</f>
        <v>46096</v>
      </c>
      <c r="G15" s="169" t="str">
        <f>IF(COUNTIF('2_Data_Pelanggan'!$P:$P,D15)&gt;0,"Terpasang","Stok/Belum Terpasang")</f>
        <v>Terpasang</v>
      </c>
      <c r="H15" s="170" t="str">
        <f t="array" ref="H15">IFERROR(INDEX('2_Data_Pelanggan'!$B:$B,MATCH(D15,'2_Data_Pelanggan'!$P:$P,0)),"-")</f>
        <v>ARM-0009</v>
      </c>
      <c r="I15" s="171" t="str">
        <f t="array" ref="I15">IFERROR(INDEX('2_Data_Pelanggan'!$D:$D,MATCH(D15,'2_Data_Pelanggan'!$P:$P,0)),"-")</f>
        <v>RUMINAH</v>
      </c>
      <c r="J15" s="172" t="s">
        <v>254</v>
      </c>
      <c r="K15" s="171" t="s">
        <v>1598</v>
      </c>
      <c r="L15" s="171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</row>
    <row r="16" ht="15.0" customHeight="1">
      <c r="A16" s="76">
        <v>8.0</v>
      </c>
      <c r="B16" s="76" t="s">
        <v>1596</v>
      </c>
      <c r="C16" s="76" t="s">
        <v>1597</v>
      </c>
      <c r="D16" s="76" t="s">
        <v>268</v>
      </c>
      <c r="E16" s="76" t="s">
        <v>269</v>
      </c>
      <c r="F16" s="173">
        <f t="array" ref="F16">IFERROR(INDEX('2_Data_Pelanggan'!$S:$S,MATCH(D16,'2_Data_Pelanggan'!$P:$P,0)),"")</f>
        <v>46096</v>
      </c>
      <c r="G16" s="169" t="str">
        <f>IF(COUNTIF('2_Data_Pelanggan'!$P:$P,D16)&gt;0,"Terpasang","Stok/Belum Terpasang")</f>
        <v>Terpasang</v>
      </c>
      <c r="H16" s="170" t="str">
        <f t="array" ref="H16">IFERROR(INDEX('2_Data_Pelanggan'!$B:$B,MATCH(D16,'2_Data_Pelanggan'!$P:$P,0)),"-")</f>
        <v>ARM-0010</v>
      </c>
      <c r="I16" s="171" t="str">
        <f t="array" ref="I16">IFERROR(INDEX('2_Data_Pelanggan'!$D:$D,MATCH(D16,'2_Data_Pelanggan'!$P:$P,0)),"-")</f>
        <v>SUDIRMAN</v>
      </c>
      <c r="J16" s="172" t="s">
        <v>262</v>
      </c>
      <c r="K16" s="171" t="s">
        <v>1598</v>
      </c>
      <c r="L16" s="171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</row>
    <row r="17" ht="15.0" customHeight="1">
      <c r="A17" s="82">
        <v>9.0</v>
      </c>
      <c r="B17" s="82" t="s">
        <v>1596</v>
      </c>
      <c r="C17" s="82" t="s">
        <v>1597</v>
      </c>
      <c r="D17" s="82" t="s">
        <v>275</v>
      </c>
      <c r="E17" s="82" t="s">
        <v>276</v>
      </c>
      <c r="F17" s="168">
        <f t="array" ref="F17">IFERROR(INDEX('2_Data_Pelanggan'!$S:$S,MATCH(D17,'2_Data_Pelanggan'!$P:$P,0)),"")</f>
        <v>46096</v>
      </c>
      <c r="G17" s="169" t="str">
        <f>IF(COUNTIF('2_Data_Pelanggan'!$P:$P,D17)&gt;0,"Terpasang","Stok/Belum Terpasang")</f>
        <v>Terpasang</v>
      </c>
      <c r="H17" s="170" t="str">
        <f t="array" ref="H17">IFERROR(INDEX('2_Data_Pelanggan'!$B:$B,MATCH(D17,'2_Data_Pelanggan'!$P:$P,0)),"-")</f>
        <v>ARM-0011</v>
      </c>
      <c r="I17" s="171" t="str">
        <f t="array" ref="I17">IFERROR(INDEX('2_Data_Pelanggan'!$D:$D,MATCH(D17,'2_Data_Pelanggan'!$P:$P,0)),"-")</f>
        <v>ROMSIACH</v>
      </c>
      <c r="J17" s="172" t="s">
        <v>271</v>
      </c>
      <c r="K17" s="171" t="s">
        <v>1598</v>
      </c>
      <c r="L17" s="171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</row>
    <row r="18" ht="15.0" customHeight="1">
      <c r="A18" s="76">
        <v>10.0</v>
      </c>
      <c r="B18" s="76" t="s">
        <v>1596</v>
      </c>
      <c r="C18" s="76" t="s">
        <v>1597</v>
      </c>
      <c r="D18" s="76" t="s">
        <v>282</v>
      </c>
      <c r="E18" s="76" t="s">
        <v>283</v>
      </c>
      <c r="F18" s="173">
        <f t="array" ref="F18">IFERROR(INDEX('2_Data_Pelanggan'!$S:$S,MATCH(D18,'2_Data_Pelanggan'!$P:$P,0)),"")</f>
        <v>46096</v>
      </c>
      <c r="G18" s="169" t="str">
        <f>IF(COUNTIF('2_Data_Pelanggan'!$P:$P,D18)&gt;0,"Terpasang","Stok/Belum Terpasang")</f>
        <v>Terpasang</v>
      </c>
      <c r="H18" s="170" t="str">
        <f t="array" ref="H18">IFERROR(INDEX('2_Data_Pelanggan'!$B:$B,MATCH(D18,'2_Data_Pelanggan'!$P:$P,0)),"-")</f>
        <v>ARM-0012</v>
      </c>
      <c r="I18" s="171" t="str">
        <f t="array" ref="I18">IFERROR(INDEX('2_Data_Pelanggan'!$D:$D,MATCH(D18,'2_Data_Pelanggan'!$P:$P,0)),"-")</f>
        <v>MAMO</v>
      </c>
      <c r="J18" s="172" t="s">
        <v>278</v>
      </c>
      <c r="K18" s="171" t="s">
        <v>1598</v>
      </c>
      <c r="L18" s="171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</row>
    <row r="19" ht="15.0" customHeight="1">
      <c r="A19" s="82">
        <v>11.0</v>
      </c>
      <c r="B19" s="82" t="s">
        <v>1596</v>
      </c>
      <c r="C19" s="82" t="s">
        <v>1597</v>
      </c>
      <c r="D19" s="82" t="s">
        <v>290</v>
      </c>
      <c r="E19" s="82" t="s">
        <v>291</v>
      </c>
      <c r="F19" s="168">
        <f t="array" ref="F19">IFERROR(INDEX('2_Data_Pelanggan'!$S:$S,MATCH(D19,'2_Data_Pelanggan'!$P:$P,0)),"")</f>
        <v>46096</v>
      </c>
      <c r="G19" s="169" t="str">
        <f>IF(COUNTIF('2_Data_Pelanggan'!$P:$P,D19)&gt;0,"Terpasang","Stok/Belum Terpasang")</f>
        <v>Terpasang</v>
      </c>
      <c r="H19" s="170" t="str">
        <f t="array" ref="H19">IFERROR(INDEX('2_Data_Pelanggan'!$B:$B,MATCH(D19,'2_Data_Pelanggan'!$P:$P,0)),"-")</f>
        <v>ARM-0013</v>
      </c>
      <c r="I19" s="171" t="str">
        <f t="array" ref="I19">IFERROR(INDEX('2_Data_Pelanggan'!$D:$D,MATCH(D19,'2_Data_Pelanggan'!$P:$P,0)),"-")</f>
        <v>NURAISYIAH HARAHAP</v>
      </c>
      <c r="J19" s="172" t="s">
        <v>285</v>
      </c>
      <c r="K19" s="171" t="s">
        <v>1598</v>
      </c>
      <c r="L19" s="171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</row>
    <row r="20" ht="15.0" customHeight="1">
      <c r="A20" s="76">
        <v>12.0</v>
      </c>
      <c r="B20" s="76" t="s">
        <v>1596</v>
      </c>
      <c r="C20" s="76" t="s">
        <v>1597</v>
      </c>
      <c r="D20" s="76" t="s">
        <v>298</v>
      </c>
      <c r="E20" s="76" t="s">
        <v>299</v>
      </c>
      <c r="F20" s="173">
        <f t="array" ref="F20">IFERROR(INDEX('2_Data_Pelanggan'!$S:$S,MATCH(D20,'2_Data_Pelanggan'!$P:$P,0)),"")</f>
        <v>46096</v>
      </c>
      <c r="G20" s="169" t="str">
        <f>IF(COUNTIF('2_Data_Pelanggan'!$P:$P,D20)&gt;0,"Terpasang","Stok/Belum Terpasang")</f>
        <v>Terpasang</v>
      </c>
      <c r="H20" s="170" t="str">
        <f t="array" ref="H20">IFERROR(INDEX('2_Data_Pelanggan'!$B:$B,MATCH(D20,'2_Data_Pelanggan'!$P:$P,0)),"-")</f>
        <v>ARM-0014</v>
      </c>
      <c r="I20" s="171" t="str">
        <f t="array" ref="I20">IFERROR(INDEX('2_Data_Pelanggan'!$D:$D,MATCH(D20,'2_Data_Pelanggan'!$P:$P,0)),"-")</f>
        <v>DIARJO</v>
      </c>
      <c r="J20" s="172" t="s">
        <v>293</v>
      </c>
      <c r="K20" s="171" t="s">
        <v>1598</v>
      </c>
      <c r="L20" s="171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</row>
    <row r="21" ht="15.0" customHeight="1">
      <c r="A21" s="82">
        <v>13.0</v>
      </c>
      <c r="B21" s="82" t="s">
        <v>1596</v>
      </c>
      <c r="C21" s="82" t="s">
        <v>1597</v>
      </c>
      <c r="D21" s="82" t="s">
        <v>306</v>
      </c>
      <c r="E21" s="82" t="s">
        <v>1600</v>
      </c>
      <c r="F21" s="168">
        <f t="array" ref="F21">IFERROR(INDEX('2_Data_Pelanggan'!$S:$S,MATCH(D21,'2_Data_Pelanggan'!$P:$P,0)),"")</f>
        <v>46096</v>
      </c>
      <c r="G21" s="169" t="str">
        <f>IF(COUNTIF('2_Data_Pelanggan'!$P:$P,D21)&gt;0,"Terpasang","Stok/Belum Terpasang")</f>
        <v>Terpasang</v>
      </c>
      <c r="H21" s="170" t="str">
        <f t="array" ref="H21">IFERROR(INDEX('2_Data_Pelanggan'!$B:$B,MATCH(D21,'2_Data_Pelanggan'!$P:$P,0)),"-")</f>
        <v>ARM-0015</v>
      </c>
      <c r="I21" s="171" t="str">
        <f t="array" ref="I21">IFERROR(INDEX('2_Data_Pelanggan'!$D:$D,MATCH(D21,'2_Data_Pelanggan'!$P:$P,0)),"-")</f>
        <v>DARIKEM</v>
      </c>
      <c r="J21" s="172" t="s">
        <v>301</v>
      </c>
      <c r="K21" s="171" t="s">
        <v>1598</v>
      </c>
      <c r="L21" s="171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</row>
    <row r="22" ht="15.0" customHeight="1">
      <c r="A22" s="76">
        <v>14.0</v>
      </c>
      <c r="B22" s="76" t="s">
        <v>1596</v>
      </c>
      <c r="C22" s="76" t="s">
        <v>1597</v>
      </c>
      <c r="D22" s="76" t="s">
        <v>313</v>
      </c>
      <c r="E22" s="76" t="s">
        <v>314</v>
      </c>
      <c r="F22" s="173">
        <f t="array" ref="F22">IFERROR(INDEX('2_Data_Pelanggan'!$S:$S,MATCH(D22,'2_Data_Pelanggan'!$P:$P,0)),"")</f>
        <v>46096</v>
      </c>
      <c r="G22" s="169" t="str">
        <f>IF(COUNTIF('2_Data_Pelanggan'!$P:$P,D22)&gt;0,"Terpasang","Stok/Belum Terpasang")</f>
        <v>Terpasang</v>
      </c>
      <c r="H22" s="170" t="str">
        <f t="array" ref="H22">IFERROR(INDEX('2_Data_Pelanggan'!$B:$B,MATCH(D22,'2_Data_Pelanggan'!$P:$P,0)),"-")</f>
        <v>ARM-0016</v>
      </c>
      <c r="I22" s="171" t="str">
        <f t="array" ref="I22">IFERROR(INDEX('2_Data_Pelanggan'!$D:$D,MATCH(D22,'2_Data_Pelanggan'!$P:$P,0)),"-")</f>
        <v>SUSONO</v>
      </c>
      <c r="J22" s="172" t="s">
        <v>309</v>
      </c>
      <c r="K22" s="171" t="s">
        <v>1598</v>
      </c>
      <c r="L22" s="171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 ht="15.0" customHeight="1">
      <c r="A23" s="82">
        <v>15.0</v>
      </c>
      <c r="B23" s="82" t="s">
        <v>1596</v>
      </c>
      <c r="C23" s="82" t="s">
        <v>1597</v>
      </c>
      <c r="D23" s="82" t="s">
        <v>320</v>
      </c>
      <c r="E23" s="82" t="s">
        <v>321</v>
      </c>
      <c r="F23" s="168">
        <f t="array" ref="F23">IFERROR(INDEX('2_Data_Pelanggan'!$S:$S,MATCH(D23,'2_Data_Pelanggan'!$P:$P,0)),"")</f>
        <v>46096</v>
      </c>
      <c r="G23" s="169" t="str">
        <f>IF(COUNTIF('2_Data_Pelanggan'!$P:$P,D23)&gt;0,"Terpasang","Stok/Belum Terpasang")</f>
        <v>Terpasang</v>
      </c>
      <c r="H23" s="170" t="str">
        <f t="array" ref="H23">IFERROR(INDEX('2_Data_Pelanggan'!$B:$B,MATCH(D23,'2_Data_Pelanggan'!$P:$P,0)),"-")</f>
        <v>ARM-0017</v>
      </c>
      <c r="I23" s="171" t="str">
        <f t="array" ref="I23">IFERROR(INDEX('2_Data_Pelanggan'!$D:$D,MATCH(D23,'2_Data_Pelanggan'!$P:$P,0)),"-")</f>
        <v>RATIMAH</v>
      </c>
      <c r="J23" s="172" t="s">
        <v>316</v>
      </c>
      <c r="K23" s="171" t="s">
        <v>1598</v>
      </c>
      <c r="L23" s="171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</row>
    <row r="24" ht="15.0" customHeight="1">
      <c r="A24" s="76">
        <v>16.0</v>
      </c>
      <c r="B24" s="76" t="s">
        <v>1596</v>
      </c>
      <c r="C24" s="76" t="s">
        <v>1597</v>
      </c>
      <c r="D24" s="76" t="s">
        <v>328</v>
      </c>
      <c r="E24" s="76" t="s">
        <v>329</v>
      </c>
      <c r="F24" s="173">
        <f t="array" ref="F24">IFERROR(INDEX('2_Data_Pelanggan'!$S:$S,MATCH(D24,'2_Data_Pelanggan'!$P:$P,0)),"")</f>
        <v>46096</v>
      </c>
      <c r="G24" s="169" t="str">
        <f>IF(COUNTIF('2_Data_Pelanggan'!$P:$P,D24)&gt;0,"Terpasang","Stok/Belum Terpasang")</f>
        <v>Terpasang</v>
      </c>
      <c r="H24" s="170" t="str">
        <f t="array" ref="H24">IFERROR(INDEX('2_Data_Pelanggan'!$B:$B,MATCH(D24,'2_Data_Pelanggan'!$P:$P,0)),"-")</f>
        <v>ARM-0018</v>
      </c>
      <c r="I24" s="171" t="str">
        <f t="array" ref="I24">IFERROR(INDEX('2_Data_Pelanggan'!$D:$D,MATCH(D24,'2_Data_Pelanggan'!$P:$P,0)),"-")</f>
        <v>KHADIS WAHYONO</v>
      </c>
      <c r="J24" s="172" t="s">
        <v>323</v>
      </c>
      <c r="K24" s="171" t="s">
        <v>1598</v>
      </c>
      <c r="L24" s="171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</row>
    <row r="25" ht="15.0" customHeight="1">
      <c r="A25" s="82">
        <v>17.0</v>
      </c>
      <c r="B25" s="82" t="s">
        <v>1596</v>
      </c>
      <c r="C25" s="82" t="s">
        <v>1597</v>
      </c>
      <c r="D25" s="82" t="s">
        <v>338</v>
      </c>
      <c r="E25" s="82" t="s">
        <v>339</v>
      </c>
      <c r="F25" s="168">
        <f t="array" ref="F25">IFERROR(INDEX('2_Data_Pelanggan'!$S:$S,MATCH(D25,'2_Data_Pelanggan'!$P:$P,0)),"")</f>
        <v>46096</v>
      </c>
      <c r="G25" s="169" t="str">
        <f>IF(COUNTIF('2_Data_Pelanggan'!$P:$P,D25)&gt;0,"Terpasang","Stok/Belum Terpasang")</f>
        <v>Terpasang</v>
      </c>
      <c r="H25" s="170" t="str">
        <f t="array" ref="H25">IFERROR(INDEX('2_Data_Pelanggan'!$B:$B,MATCH(D25,'2_Data_Pelanggan'!$P:$P,0)),"-")</f>
        <v>ARM-0019</v>
      </c>
      <c r="I25" s="171" t="str">
        <f t="array" ref="I25">IFERROR(INDEX('2_Data_Pelanggan'!$D:$D,MATCH(D25,'2_Data_Pelanggan'!$P:$P,0)),"-")</f>
        <v>HERIYADI</v>
      </c>
      <c r="J25" s="172" t="s">
        <v>333</v>
      </c>
      <c r="K25" s="171" t="s">
        <v>1598</v>
      </c>
      <c r="L25" s="171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</row>
    <row r="26" ht="15.0" customHeight="1">
      <c r="A26" s="76">
        <v>18.0</v>
      </c>
      <c r="B26" s="76" t="s">
        <v>1596</v>
      </c>
      <c r="C26" s="76" t="s">
        <v>1597</v>
      </c>
      <c r="D26" s="76" t="s">
        <v>346</v>
      </c>
      <c r="E26" s="76" t="s">
        <v>347</v>
      </c>
      <c r="F26" s="173">
        <f t="array" ref="F26">IFERROR(INDEX('2_Data_Pelanggan'!$S:$S,MATCH(D26,'2_Data_Pelanggan'!$P:$P,0)),"")</f>
        <v>46096</v>
      </c>
      <c r="G26" s="169" t="str">
        <f>IF(COUNTIF('2_Data_Pelanggan'!$P:$P,D26)&gt;0,"Terpasang","Stok/Belum Terpasang")</f>
        <v>Terpasang</v>
      </c>
      <c r="H26" s="170" t="str">
        <f t="array" ref="H26">IFERROR(INDEX('2_Data_Pelanggan'!$B:$B,MATCH(D26,'2_Data_Pelanggan'!$P:$P,0)),"-")</f>
        <v>ARM-0020</v>
      </c>
      <c r="I26" s="171" t="str">
        <f t="array" ref="I26">IFERROR(INDEX('2_Data_Pelanggan'!$D:$D,MATCH(D26,'2_Data_Pelanggan'!$P:$P,0)),"-")</f>
        <v>DARYANTI</v>
      </c>
      <c r="J26" s="172" t="s">
        <v>341</v>
      </c>
      <c r="K26" s="171" t="s">
        <v>1598</v>
      </c>
      <c r="L26" s="171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</row>
    <row r="27" ht="15.0" customHeight="1">
      <c r="A27" s="82">
        <v>19.0</v>
      </c>
      <c r="B27" s="82" t="s">
        <v>1596</v>
      </c>
      <c r="C27" s="82" t="s">
        <v>1597</v>
      </c>
      <c r="D27" s="82" t="s">
        <v>354</v>
      </c>
      <c r="E27" s="82" t="s">
        <v>355</v>
      </c>
      <c r="F27" s="168">
        <f t="array" ref="F27">IFERROR(INDEX('2_Data_Pelanggan'!$S:$S,MATCH(D27,'2_Data_Pelanggan'!$P:$P,0)),"")</f>
        <v>46096</v>
      </c>
      <c r="G27" s="169" t="str">
        <f>IF(COUNTIF('2_Data_Pelanggan'!$P:$P,D27)&gt;0,"Terpasang","Stok/Belum Terpasang")</f>
        <v>Terpasang</v>
      </c>
      <c r="H27" s="170" t="str">
        <f t="array" ref="H27">IFERROR(INDEX('2_Data_Pelanggan'!$B:$B,MATCH(D27,'2_Data_Pelanggan'!$P:$P,0)),"-")</f>
        <v>ARM-0021</v>
      </c>
      <c r="I27" s="171" t="str">
        <f t="array" ref="I27">IFERROR(INDEX('2_Data_Pelanggan'!$D:$D,MATCH(D27,'2_Data_Pelanggan'!$P:$P,0)),"-")</f>
        <v>RUJININGSIH</v>
      </c>
      <c r="J27" s="172" t="s">
        <v>349</v>
      </c>
      <c r="K27" s="171" t="s">
        <v>1598</v>
      </c>
      <c r="L27" s="171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</row>
    <row r="28" ht="15.0" customHeight="1">
      <c r="A28" s="76">
        <v>20.0</v>
      </c>
      <c r="B28" s="76" t="s">
        <v>1596</v>
      </c>
      <c r="C28" s="76" t="s">
        <v>1597</v>
      </c>
      <c r="D28" s="76" t="s">
        <v>362</v>
      </c>
      <c r="E28" s="76" t="s">
        <v>363</v>
      </c>
      <c r="F28" s="173">
        <f t="array" ref="F28">IFERROR(INDEX('2_Data_Pelanggan'!$S:$S,MATCH(D28,'2_Data_Pelanggan'!$P:$P,0)),"")</f>
        <v>46096</v>
      </c>
      <c r="G28" s="169" t="str">
        <f>IF(COUNTIF('2_Data_Pelanggan'!$P:$P,D28)&gt;0,"Terpasang","Stok/Belum Terpasang")</f>
        <v>Terpasang</v>
      </c>
      <c r="H28" s="170" t="str">
        <f t="array" ref="H28">IFERROR(INDEX('2_Data_Pelanggan'!$B:$B,MATCH(D28,'2_Data_Pelanggan'!$P:$P,0)),"-")</f>
        <v>ARM-0022</v>
      </c>
      <c r="I28" s="171" t="str">
        <f t="array" ref="I28">IFERROR(INDEX('2_Data_Pelanggan'!$D:$D,MATCH(D28,'2_Data_Pelanggan'!$P:$P,0)),"-")</f>
        <v>RAGIL NONO DARSONO</v>
      </c>
      <c r="J28" s="172" t="s">
        <v>357</v>
      </c>
      <c r="K28" s="171" t="s">
        <v>1598</v>
      </c>
      <c r="L28" s="171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</row>
    <row r="29" ht="15.0" customHeight="1">
      <c r="A29" s="82">
        <v>21.0</v>
      </c>
      <c r="B29" s="82" t="s">
        <v>1596</v>
      </c>
      <c r="C29" s="82" t="s">
        <v>1597</v>
      </c>
      <c r="D29" s="82" t="s">
        <v>369</v>
      </c>
      <c r="E29" s="82" t="s">
        <v>370</v>
      </c>
      <c r="F29" s="168">
        <f t="array" ref="F29">IFERROR(INDEX('2_Data_Pelanggan'!$S:$S,MATCH(D29,'2_Data_Pelanggan'!$P:$P,0)),"")</f>
        <v>46096</v>
      </c>
      <c r="G29" s="169" t="str">
        <f>IF(COUNTIF('2_Data_Pelanggan'!$P:$P,D29)&gt;0,"Terpasang","Stok/Belum Terpasang")</f>
        <v>Terpasang</v>
      </c>
      <c r="H29" s="170" t="str">
        <f t="array" ref="H29">IFERROR(INDEX('2_Data_Pelanggan'!$B:$B,MATCH(D29,'2_Data_Pelanggan'!$P:$P,0)),"-")</f>
        <v>ARM-0023</v>
      </c>
      <c r="I29" s="171" t="str">
        <f t="array" ref="I29">IFERROR(INDEX('2_Data_Pelanggan'!$D:$D,MATCH(D29,'2_Data_Pelanggan'!$P:$P,0)),"-")</f>
        <v>DESTI DWI HARIYANTO</v>
      </c>
      <c r="J29" s="172" t="s">
        <v>365</v>
      </c>
      <c r="K29" s="171" t="s">
        <v>1598</v>
      </c>
      <c r="L29" s="171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</row>
    <row r="30" ht="15.0" customHeight="1">
      <c r="A30" s="76">
        <v>22.0</v>
      </c>
      <c r="B30" s="76" t="s">
        <v>1596</v>
      </c>
      <c r="C30" s="76" t="s">
        <v>1597</v>
      </c>
      <c r="D30" s="76" t="s">
        <v>376</v>
      </c>
      <c r="E30" s="76" t="s">
        <v>377</v>
      </c>
      <c r="F30" s="173">
        <f t="array" ref="F30">IFERROR(INDEX('2_Data_Pelanggan'!$S:$S,MATCH(D30,'2_Data_Pelanggan'!$P:$P,0)),"")</f>
        <v>46096</v>
      </c>
      <c r="G30" s="169" t="str">
        <f>IF(COUNTIF('2_Data_Pelanggan'!$P:$P,D30)&gt;0,"Terpasang","Stok/Belum Terpasang")</f>
        <v>Terpasang</v>
      </c>
      <c r="H30" s="170" t="str">
        <f t="array" ref="H30">IFERROR(INDEX('2_Data_Pelanggan'!$B:$B,MATCH(D30,'2_Data_Pelanggan'!$P:$P,0)),"-")</f>
        <v>ARM-0024</v>
      </c>
      <c r="I30" s="171" t="str">
        <f t="array" ref="I30">IFERROR(INDEX('2_Data_Pelanggan'!$D:$D,MATCH(D30,'2_Data_Pelanggan'!$P:$P,0)),"-")</f>
        <v>MAKIR</v>
      </c>
      <c r="J30" s="172" t="s">
        <v>372</v>
      </c>
      <c r="K30" s="171" t="s">
        <v>1598</v>
      </c>
      <c r="L30" s="171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</row>
    <row r="31" ht="15.0" customHeight="1">
      <c r="A31" s="82">
        <v>23.0</v>
      </c>
      <c r="B31" s="82" t="s">
        <v>1596</v>
      </c>
      <c r="C31" s="82" t="s">
        <v>1597</v>
      </c>
      <c r="D31" s="82" t="s">
        <v>384</v>
      </c>
      <c r="E31" s="82" t="s">
        <v>385</v>
      </c>
      <c r="F31" s="168">
        <f t="array" ref="F31">IFERROR(INDEX('2_Data_Pelanggan'!$S:$S,MATCH(D31,'2_Data_Pelanggan'!$P:$P,0)),"")</f>
        <v>46096</v>
      </c>
      <c r="G31" s="169" t="str">
        <f>IF(COUNTIF('2_Data_Pelanggan'!$P:$P,D31)&gt;0,"Terpasang","Stok/Belum Terpasang")</f>
        <v>Terpasang</v>
      </c>
      <c r="H31" s="170" t="str">
        <f t="array" ref="H31">IFERROR(INDEX('2_Data_Pelanggan'!$B:$B,MATCH(D31,'2_Data_Pelanggan'!$P:$P,0)),"-")</f>
        <v>ARM-0025</v>
      </c>
      <c r="I31" s="171" t="str">
        <f t="array" ref="I31">IFERROR(INDEX('2_Data_Pelanggan'!$D:$D,MATCH(D31,'2_Data_Pelanggan'!$P:$P,0)),"-")</f>
        <v>RUDI</v>
      </c>
      <c r="J31" s="172" t="s">
        <v>379</v>
      </c>
      <c r="K31" s="171" t="s">
        <v>1598</v>
      </c>
      <c r="L31" s="171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</row>
    <row r="32" ht="15.0" customHeight="1">
      <c r="A32" s="76">
        <v>24.0</v>
      </c>
      <c r="B32" s="76" t="s">
        <v>1596</v>
      </c>
      <c r="C32" s="76" t="s">
        <v>1597</v>
      </c>
      <c r="D32" s="76" t="s">
        <v>391</v>
      </c>
      <c r="E32" s="76" t="s">
        <v>392</v>
      </c>
      <c r="F32" s="173">
        <f t="array" ref="F32">IFERROR(INDEX('2_Data_Pelanggan'!$S:$S,MATCH(D32,'2_Data_Pelanggan'!$P:$P,0)),"")</f>
        <v>46096</v>
      </c>
      <c r="G32" s="169" t="str">
        <f>IF(COUNTIF('2_Data_Pelanggan'!$P:$P,D32)&gt;0,"Terpasang","Stok/Belum Terpasang")</f>
        <v>Terpasang</v>
      </c>
      <c r="H32" s="170" t="str">
        <f t="array" ref="H32">IFERROR(INDEX('2_Data_Pelanggan'!$B:$B,MATCH(D32,'2_Data_Pelanggan'!$P:$P,0)),"-")</f>
        <v>ARM-0026</v>
      </c>
      <c r="I32" s="171" t="str">
        <f t="array" ref="I32">IFERROR(INDEX('2_Data_Pelanggan'!$D:$D,MATCH(D32,'2_Data_Pelanggan'!$P:$P,0)),"-")</f>
        <v>KIRWONO</v>
      </c>
      <c r="J32" s="172" t="s">
        <v>387</v>
      </c>
      <c r="K32" s="171" t="s">
        <v>1598</v>
      </c>
      <c r="L32" s="171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</row>
    <row r="33" ht="15.0" customHeight="1">
      <c r="A33" s="82">
        <v>25.0</v>
      </c>
      <c r="B33" s="82" t="s">
        <v>1596</v>
      </c>
      <c r="C33" s="82" t="s">
        <v>1597</v>
      </c>
      <c r="D33" s="82" t="s">
        <v>399</v>
      </c>
      <c r="E33" s="82" t="s">
        <v>400</v>
      </c>
      <c r="F33" s="168">
        <f t="array" ref="F33">IFERROR(INDEX('2_Data_Pelanggan'!$S:$S,MATCH(D33,'2_Data_Pelanggan'!$P:$P,0)),"")</f>
        <v>46096</v>
      </c>
      <c r="G33" s="169" t="str">
        <f>IF(COUNTIF('2_Data_Pelanggan'!$P:$P,D33)&gt;0,"Terpasang","Stok/Belum Terpasang")</f>
        <v>Terpasang</v>
      </c>
      <c r="H33" s="170" t="str">
        <f t="array" ref="H33">IFERROR(INDEX('2_Data_Pelanggan'!$B:$B,MATCH(D33,'2_Data_Pelanggan'!$P:$P,0)),"-")</f>
        <v>ARM-0027</v>
      </c>
      <c r="I33" s="171" t="str">
        <f t="array" ref="I33">IFERROR(INDEX('2_Data_Pelanggan'!$D:$D,MATCH(D33,'2_Data_Pelanggan'!$P:$P,0)),"-")</f>
        <v>SUHARDONO</v>
      </c>
      <c r="J33" s="172" t="s">
        <v>394</v>
      </c>
      <c r="K33" s="171" t="s">
        <v>1598</v>
      </c>
      <c r="L33" s="171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</row>
    <row r="34" ht="17.25" customHeight="1">
      <c r="A34" s="76">
        <v>26.0</v>
      </c>
      <c r="B34" s="76" t="s">
        <v>1596</v>
      </c>
      <c r="C34" s="76" t="s">
        <v>1597</v>
      </c>
      <c r="D34" s="76" t="s">
        <v>204</v>
      </c>
      <c r="E34" s="76" t="s">
        <v>205</v>
      </c>
      <c r="F34" s="173" t="str">
        <f t="array" ref="F34">IFERROR(INDEX('2_Data_Pelanggan'!$S:$S,MATCH(D34,'2_Data_Pelanggan'!$P:$P,0)),"")</f>
        <v/>
      </c>
      <c r="G34" s="169" t="str">
        <f>IF(COUNTIF('2_Data_Pelanggan'!$P:$P,D34)&gt;0,"Terpasang","Stok/Belum Terpasang")</f>
        <v>Terpasang</v>
      </c>
      <c r="H34" s="170" t="str">
        <f t="array" ref="H34">IFERROR(INDEX('2_Data_Pelanggan'!$B:$B,MATCH(D34,'2_Data_Pelanggan'!$P:$P,0)),"-")</f>
        <v>ARM-0002</v>
      </c>
      <c r="I34" s="171" t="str">
        <f t="array" ref="I34">IFERROR(INDEX('2_Data_Pelanggan'!$D:$D,MATCH(D34,'2_Data_Pelanggan'!$P:$P,0)),"-")</f>
        <v>PERTASHOP</v>
      </c>
      <c r="J34" s="172" t="s">
        <v>200</v>
      </c>
      <c r="K34" s="171" t="s">
        <v>1598</v>
      </c>
      <c r="L34" s="171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</row>
    <row r="35" ht="15.0" customHeight="1">
      <c r="A35" s="82">
        <v>27.0</v>
      </c>
      <c r="B35" s="82" t="s">
        <v>1596</v>
      </c>
      <c r="C35" s="82" t="s">
        <v>1597</v>
      </c>
      <c r="D35" s="82" t="s">
        <v>407</v>
      </c>
      <c r="E35" s="82" t="s">
        <v>408</v>
      </c>
      <c r="F35" s="168">
        <f t="array" ref="F35">IFERROR(INDEX('2_Data_Pelanggan'!$S:$S,MATCH(D35,'2_Data_Pelanggan'!$P:$P,0)),"")</f>
        <v>46096</v>
      </c>
      <c r="G35" s="169" t="str">
        <f>IF(COUNTIF('2_Data_Pelanggan'!$P:$P,D35)&gt;0,"Terpasang","Stok/Belum Terpasang")</f>
        <v>Terpasang</v>
      </c>
      <c r="H35" s="170" t="str">
        <f t="array" ref="H35">IFERROR(INDEX('2_Data_Pelanggan'!$B:$B,MATCH(D35,'2_Data_Pelanggan'!$P:$P,0)),"-")</f>
        <v>ARM-0028</v>
      </c>
      <c r="I35" s="171" t="str">
        <f t="array" ref="I35">IFERROR(INDEX('2_Data_Pelanggan'!$D:$D,MATCH(D35,'2_Data_Pelanggan'!$P:$P,0)),"-")</f>
        <v>KISLAM</v>
      </c>
      <c r="J35" s="172" t="s">
        <v>402</v>
      </c>
      <c r="K35" s="171" t="s">
        <v>1598</v>
      </c>
      <c r="L35" s="171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</row>
    <row r="36" ht="15.0" customHeight="1">
      <c r="A36" s="76">
        <v>28.0</v>
      </c>
      <c r="B36" s="76" t="s">
        <v>1596</v>
      </c>
      <c r="C36" s="76" t="s">
        <v>1597</v>
      </c>
      <c r="D36" s="76" t="s">
        <v>417</v>
      </c>
      <c r="E36" s="76" t="s">
        <v>418</v>
      </c>
      <c r="F36" s="173">
        <f t="array" ref="F36">IFERROR(INDEX('2_Data_Pelanggan'!$S:$S,MATCH(D36,'2_Data_Pelanggan'!$P:$P,0)),"")</f>
        <v>46111</v>
      </c>
      <c r="G36" s="169" t="str">
        <f>IF(COUNTIF('2_Data_Pelanggan'!$P:$P,D36)&gt;0,"Terpasang","Stok/Belum Terpasang")</f>
        <v>Terpasang</v>
      </c>
      <c r="H36" s="170" t="str">
        <f t="array" ref="H36">IFERROR(INDEX('2_Data_Pelanggan'!$B:$B,MATCH(D36,'2_Data_Pelanggan'!$P:$P,0)),"-")</f>
        <v>ARM-0030</v>
      </c>
      <c r="I36" s="171" t="str">
        <f t="array" ref="I36">IFERROR(INDEX('2_Data_Pelanggan'!$D:$D,MATCH(D36,'2_Data_Pelanggan'!$P:$P,0)),"-")</f>
        <v>CARSUM</v>
      </c>
      <c r="J36" s="172" t="s">
        <v>412</v>
      </c>
      <c r="K36" s="171" t="s">
        <v>1598</v>
      </c>
      <c r="L36" s="171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</row>
    <row r="37" ht="15.0" customHeight="1">
      <c r="A37" s="82">
        <v>29.0</v>
      </c>
      <c r="B37" s="82" t="s">
        <v>1596</v>
      </c>
      <c r="C37" s="82" t="s">
        <v>1597</v>
      </c>
      <c r="D37" s="82" t="s">
        <v>425</v>
      </c>
      <c r="E37" s="82" t="s">
        <v>426</v>
      </c>
      <c r="F37" s="168">
        <f t="array" ref="F37">IFERROR(INDEX('2_Data_Pelanggan'!$S:$S,MATCH(D37,'2_Data_Pelanggan'!$P:$P,0)),"")</f>
        <v>46111</v>
      </c>
      <c r="G37" s="169" t="str">
        <f>IF(COUNTIF('2_Data_Pelanggan'!$P:$P,D37)&gt;0,"Terpasang","Stok/Belum Terpasang")</f>
        <v>Terpasang</v>
      </c>
      <c r="H37" s="170" t="str">
        <f t="array" ref="H37">IFERROR(INDEX('2_Data_Pelanggan'!$B:$B,MATCH(D37,'2_Data_Pelanggan'!$P:$P,0)),"-")</f>
        <v>ARM-0031</v>
      </c>
      <c r="I37" s="171" t="str">
        <f t="array" ref="I37">IFERROR(INDEX('2_Data_Pelanggan'!$D:$D,MATCH(D37,'2_Data_Pelanggan'!$P:$P,0)),"-")</f>
        <v>JONI SAPUTRA</v>
      </c>
      <c r="J37" s="172" t="s">
        <v>420</v>
      </c>
      <c r="K37" s="171" t="s">
        <v>1598</v>
      </c>
      <c r="L37" s="171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</row>
    <row r="38" ht="15.0" customHeight="1">
      <c r="A38" s="76">
        <v>30.0</v>
      </c>
      <c r="B38" s="76" t="s">
        <v>1596</v>
      </c>
      <c r="C38" s="76" t="s">
        <v>1597</v>
      </c>
      <c r="D38" s="76" t="s">
        <v>431</v>
      </c>
      <c r="E38" s="76" t="s">
        <v>432</v>
      </c>
      <c r="F38" s="173">
        <f t="array" ref="F38">IFERROR(INDEX('2_Data_Pelanggan'!$S:$S,MATCH(D38,'2_Data_Pelanggan'!$P:$P,0)),"")</f>
        <v>46112</v>
      </c>
      <c r="G38" s="169" t="str">
        <f>IF(COUNTIF('2_Data_Pelanggan'!$P:$P,D38)&gt;0,"Terpasang","Stok/Belum Terpasang")</f>
        <v>Terpasang</v>
      </c>
      <c r="H38" s="170" t="str">
        <f t="array" ref="H38">IFERROR(INDEX('2_Data_Pelanggan'!$B:$B,MATCH(D38,'2_Data_Pelanggan'!$P:$P,0)),"-")</f>
        <v>ARM-0032</v>
      </c>
      <c r="I38" s="171" t="str">
        <f t="array" ref="I38">IFERROR(INDEX('2_Data_Pelanggan'!$D:$D,MATCH(D38,'2_Data_Pelanggan'!$P:$P,0)),"-")</f>
        <v>P YUSUF</v>
      </c>
      <c r="J38" s="172" t="s">
        <v>428</v>
      </c>
      <c r="K38" s="171" t="s">
        <v>1598</v>
      </c>
      <c r="L38" s="171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</row>
    <row r="39" ht="15.0" customHeight="1">
      <c r="A39" s="82">
        <v>31.0</v>
      </c>
      <c r="B39" s="82" t="s">
        <v>1596</v>
      </c>
      <c r="C39" s="82" t="s">
        <v>1597</v>
      </c>
      <c r="D39" s="82" t="s">
        <v>439</v>
      </c>
      <c r="E39" s="82" t="s">
        <v>440</v>
      </c>
      <c r="F39" s="168">
        <f t="array" ref="F39">IFERROR(INDEX('2_Data_Pelanggan'!$S:$S,MATCH(D39,'2_Data_Pelanggan'!$P:$P,0)),"")</f>
        <v>46207</v>
      </c>
      <c r="G39" s="169" t="str">
        <f>IF(COUNTIF('2_Data_Pelanggan'!$P:$P,D39)&gt;0,"Terpasang","Stok/Belum Terpasang")</f>
        <v>Terpasang</v>
      </c>
      <c r="H39" s="170" t="str">
        <f t="array" ref="H39">IFERROR(INDEX('2_Data_Pelanggan'!$B:$B,MATCH(D39,'2_Data_Pelanggan'!$P:$P,0)),"-")</f>
        <v>ARM-0033</v>
      </c>
      <c r="I39" s="171" t="str">
        <f t="array" ref="I39">IFERROR(INDEX('2_Data_Pelanggan'!$D:$D,MATCH(D39,'2_Data_Pelanggan'!$P:$P,0)),"-")</f>
        <v>SUSANTO</v>
      </c>
      <c r="J39" s="172" t="s">
        <v>434</v>
      </c>
      <c r="K39" s="171" t="s">
        <v>1598</v>
      </c>
      <c r="L39" s="171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</row>
    <row r="40" ht="15.0" customHeight="1">
      <c r="A40" s="76">
        <v>32.0</v>
      </c>
      <c r="B40" s="76" t="s">
        <v>1596</v>
      </c>
      <c r="C40" s="76" t="s">
        <v>1597</v>
      </c>
      <c r="D40" s="76" t="s">
        <v>447</v>
      </c>
      <c r="E40" s="174" t="s">
        <v>448</v>
      </c>
      <c r="F40" s="173">
        <f t="array" ref="F40">IFERROR(INDEX('2_Data_Pelanggan'!$S:$S,MATCH(D40,'2_Data_Pelanggan'!$P:$P,0)),"")</f>
        <v>46120</v>
      </c>
      <c r="G40" s="169" t="str">
        <f>IF(COUNTIF('2_Data_Pelanggan'!$P:$P,D40)&gt;0,"Terpasang","Stok/Belum Terpasang")</f>
        <v>Terpasang</v>
      </c>
      <c r="H40" s="170" t="str">
        <f t="array" ref="H40">IFERROR(INDEX('2_Data_Pelanggan'!$B:$B,MATCH(D40,'2_Data_Pelanggan'!$P:$P,0)),"-")</f>
        <v>ARM-0034</v>
      </c>
      <c r="I40" s="171" t="str">
        <f t="array" ref="I40">IFERROR(INDEX('2_Data_Pelanggan'!$D:$D,MATCH(D40,'2_Data_Pelanggan'!$P:$P,0)),"-")</f>
        <v>SRI MULYONO</v>
      </c>
      <c r="J40" s="172" t="s">
        <v>442</v>
      </c>
      <c r="K40" s="171" t="s">
        <v>1598</v>
      </c>
      <c r="L40" s="171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</row>
    <row r="41" ht="15.0" customHeight="1">
      <c r="A41" s="82">
        <v>33.0</v>
      </c>
      <c r="B41" s="82" t="s">
        <v>1596</v>
      </c>
      <c r="C41" s="82" t="s">
        <v>1597</v>
      </c>
      <c r="D41" s="82" t="s">
        <v>455</v>
      </c>
      <c r="E41" s="82" t="s">
        <v>456</v>
      </c>
      <c r="F41" s="168">
        <f t="array" ref="F41">IFERROR(INDEX('2_Data_Pelanggan'!$S:$S,MATCH(D41,'2_Data_Pelanggan'!$P:$P,0)),"")</f>
        <v>46123</v>
      </c>
      <c r="G41" s="169" t="str">
        <f>IF(COUNTIF('2_Data_Pelanggan'!$P:$P,D41)&gt;0,"Terpasang","Stok/Belum Terpasang")</f>
        <v>Terpasang</v>
      </c>
      <c r="H41" s="170" t="str">
        <f t="array" ref="H41">IFERROR(INDEX('2_Data_Pelanggan'!$B:$B,MATCH(D41,'2_Data_Pelanggan'!$P:$P,0)),"-")</f>
        <v>ARM-0035</v>
      </c>
      <c r="I41" s="171" t="str">
        <f t="array" ref="I41">IFERROR(INDEX('2_Data_Pelanggan'!$D:$D,MATCH(D41,'2_Data_Pelanggan'!$P:$P,0)),"-")</f>
        <v>SURIPTO/RIDHO</v>
      </c>
      <c r="J41" s="172" t="s">
        <v>450</v>
      </c>
      <c r="K41" s="171" t="s">
        <v>1598</v>
      </c>
      <c r="L41" s="171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</row>
    <row r="42" ht="15.0" customHeight="1">
      <c r="A42" s="76">
        <v>34.0</v>
      </c>
      <c r="B42" s="76" t="s">
        <v>1596</v>
      </c>
      <c r="C42" s="76" t="s">
        <v>1597</v>
      </c>
      <c r="D42" s="76" t="s">
        <v>464</v>
      </c>
      <c r="E42" s="76" t="s">
        <v>465</v>
      </c>
      <c r="F42" s="173" t="str">
        <f t="array" ref="F42">IFERROR(INDEX('2_Data_Pelanggan'!$S:$S,MATCH(D42,'2_Data_Pelanggan'!$P:$P,0)),"")</f>
        <v>14/04/2026</v>
      </c>
      <c r="G42" s="169" t="str">
        <f>IF(COUNTIF('2_Data_Pelanggan'!$P:$P,D42)&gt;0,"Terpasang","Stok/Belum Terpasang")</f>
        <v>Terpasang</v>
      </c>
      <c r="H42" s="170" t="str">
        <f t="array" ref="H42">IFERROR(INDEX('2_Data_Pelanggan'!$B:$B,MATCH(D42,'2_Data_Pelanggan'!$P:$P,0)),"-")</f>
        <v>ARM-0036</v>
      </c>
      <c r="I42" s="171" t="str">
        <f t="array" ref="I42">IFERROR(INDEX('2_Data_Pelanggan'!$D:$D,MATCH(D42,'2_Data_Pelanggan'!$P:$P,0)),"-")</f>
        <v>SUPRIYANTO</v>
      </c>
      <c r="J42" s="172" t="s">
        <v>458</v>
      </c>
      <c r="K42" s="171" t="s">
        <v>1598</v>
      </c>
      <c r="L42" s="171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</row>
    <row r="43" ht="15.0" customHeight="1">
      <c r="A43" s="82">
        <v>35.0</v>
      </c>
      <c r="B43" s="82" t="s">
        <v>1596</v>
      </c>
      <c r="C43" s="82" t="s">
        <v>1597</v>
      </c>
      <c r="D43" s="82" t="s">
        <v>473</v>
      </c>
      <c r="E43" s="82" t="s">
        <v>474</v>
      </c>
      <c r="F43" s="168" t="str">
        <f t="array" ref="F43">IFERROR(INDEX('2_Data_Pelanggan'!$S:$S,MATCH(D43,'2_Data_Pelanggan'!$P:$P,0)),"")</f>
        <v>14-04-2026</v>
      </c>
      <c r="G43" s="169" t="str">
        <f>IF(COUNTIF('2_Data_Pelanggan'!$P:$P,D43)&gt;0,"Terpasang","Stok/Belum Terpasang")</f>
        <v>Terpasang</v>
      </c>
      <c r="H43" s="170" t="str">
        <f t="array" ref="H43">IFERROR(INDEX('2_Data_Pelanggan'!$B:$B,MATCH(D43,'2_Data_Pelanggan'!$P:$P,0)),"-")</f>
        <v>ARM-0037</v>
      </c>
      <c r="I43" s="171" t="str">
        <f t="array" ref="I43">IFERROR(INDEX('2_Data_Pelanggan'!$D:$D,MATCH(D43,'2_Data_Pelanggan'!$P:$P,0)),"-")</f>
        <v>SUSIYAH</v>
      </c>
      <c r="J43" s="172" t="s">
        <v>468</v>
      </c>
      <c r="K43" s="171" t="s">
        <v>1598</v>
      </c>
      <c r="L43" s="171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</row>
    <row r="44" ht="15.0" customHeight="1">
      <c r="A44" s="76">
        <v>36.0</v>
      </c>
      <c r="B44" s="76" t="s">
        <v>1596</v>
      </c>
      <c r="C44" s="76" t="s">
        <v>1597</v>
      </c>
      <c r="D44" s="76" t="s">
        <v>482</v>
      </c>
      <c r="E44" s="76" t="s">
        <v>483</v>
      </c>
      <c r="F44" s="173" t="str">
        <f t="array" ref="F44">IFERROR(INDEX('2_Data_Pelanggan'!$S:$S,MATCH(D44,'2_Data_Pelanggan'!$P:$P,0)),"")</f>
        <v>15/04/2026</v>
      </c>
      <c r="G44" s="169" t="str">
        <f>IF(COUNTIF('2_Data_Pelanggan'!$P:$P,D44)&gt;0,"Terpasang","Stok/Belum Terpasang")</f>
        <v>Terpasang</v>
      </c>
      <c r="H44" s="170" t="str">
        <f t="array" ref="H44">IFERROR(INDEX('2_Data_Pelanggan'!$B:$B,MATCH(D44,'2_Data_Pelanggan'!$P:$P,0)),"-")</f>
        <v>ARM-0038</v>
      </c>
      <c r="I44" s="171" t="str">
        <f t="array" ref="I44">IFERROR(INDEX('2_Data_Pelanggan'!$D:$D,MATCH(D44,'2_Data_Pelanggan'!$P:$P,0)),"-")</f>
        <v>ADITIA</v>
      </c>
      <c r="J44" s="172" t="s">
        <v>477</v>
      </c>
      <c r="K44" s="171" t="s">
        <v>1598</v>
      </c>
      <c r="L44" s="171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</row>
    <row r="45" ht="15.0" customHeight="1">
      <c r="A45" s="82">
        <v>37.0</v>
      </c>
      <c r="B45" s="82" t="s">
        <v>1596</v>
      </c>
      <c r="C45" s="82" t="s">
        <v>1597</v>
      </c>
      <c r="D45" s="82" t="s">
        <v>489</v>
      </c>
      <c r="E45" s="82" t="s">
        <v>490</v>
      </c>
      <c r="F45" s="168" t="str">
        <f t="array" ref="F45">IFERROR(INDEX('2_Data_Pelanggan'!$S:$S,MATCH(D45,'2_Data_Pelanggan'!$P:$P,0)),"")</f>
        <v>19-04-2026</v>
      </c>
      <c r="G45" s="169" t="str">
        <f>IF(COUNTIF('2_Data_Pelanggan'!$P:$P,D45)&gt;0,"Terpasang","Stok/Belum Terpasang")</f>
        <v>Terpasang</v>
      </c>
      <c r="H45" s="170" t="str">
        <f t="array" ref="H45">IFERROR(INDEX('2_Data_Pelanggan'!$B:$B,MATCH(D45,'2_Data_Pelanggan'!$P:$P,0)),"-")</f>
        <v>ARM-0039</v>
      </c>
      <c r="I45" s="171" t="str">
        <f t="array" ref="I45">IFERROR(INDEX('2_Data_Pelanggan'!$D:$D,MATCH(D45,'2_Data_Pelanggan'!$P:$P,0)),"-")</f>
        <v>BALAI DESA CIHONJE</v>
      </c>
      <c r="J45" s="172" t="s">
        <v>486</v>
      </c>
      <c r="K45" s="171" t="s">
        <v>1598</v>
      </c>
      <c r="L45" s="171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</row>
    <row r="46" ht="15.0" customHeight="1">
      <c r="A46" s="76">
        <v>38.0</v>
      </c>
      <c r="B46" s="76" t="s">
        <v>1596</v>
      </c>
      <c r="C46" s="76" t="s">
        <v>1597</v>
      </c>
      <c r="D46" s="76" t="s">
        <v>498</v>
      </c>
      <c r="E46" s="76" t="s">
        <v>499</v>
      </c>
      <c r="F46" s="173" t="str">
        <f t="array" ref="F46">IFERROR(INDEX('2_Data_Pelanggan'!$S:$S,MATCH(D46,'2_Data_Pelanggan'!$P:$P,0)),"")</f>
        <v>20/04/2026</v>
      </c>
      <c r="G46" s="169" t="str">
        <f>IF(COUNTIF('2_Data_Pelanggan'!$P:$P,D46)&gt;0,"Terpasang","Stok/Belum Terpasang")</f>
        <v>Terpasang</v>
      </c>
      <c r="H46" s="170" t="str">
        <f t="array" ref="H46">IFERROR(INDEX('2_Data_Pelanggan'!$B:$B,MATCH(D46,'2_Data_Pelanggan'!$P:$P,0)),"-")</f>
        <v>ARM-0040</v>
      </c>
      <c r="I46" s="171" t="str">
        <f t="array" ref="I46">IFERROR(INDEX('2_Data_Pelanggan'!$D:$D,MATCH(D46,'2_Data_Pelanggan'!$P:$P,0)),"-")</f>
        <v>IPUNG PURWANINGSIH</v>
      </c>
      <c r="J46" s="172" t="s">
        <v>493</v>
      </c>
      <c r="K46" s="171" t="s">
        <v>1598</v>
      </c>
      <c r="L46" s="171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</row>
    <row r="47" ht="15.0" customHeight="1">
      <c r="A47" s="82">
        <v>39.0</v>
      </c>
      <c r="B47" s="82" t="s">
        <v>1596</v>
      </c>
      <c r="C47" s="82" t="s">
        <v>1597</v>
      </c>
      <c r="D47" s="82" t="s">
        <v>507</v>
      </c>
      <c r="E47" s="82" t="s">
        <v>508</v>
      </c>
      <c r="F47" s="168" t="str">
        <f t="array" ref="F47">IFERROR(INDEX('2_Data_Pelanggan'!$S:$S,MATCH(D47,'2_Data_Pelanggan'!$P:$P,0)),"")</f>
        <v/>
      </c>
      <c r="G47" s="169" t="str">
        <f>IF(COUNTIF('2_Data_Pelanggan'!$P:$P,D47)&gt;0,"Terpasang","Stok/Belum Terpasang")</f>
        <v>Terpasang</v>
      </c>
      <c r="H47" s="170" t="str">
        <f t="array" ref="H47">IFERROR(INDEX('2_Data_Pelanggan'!$B:$B,MATCH(D47,'2_Data_Pelanggan'!$P:$P,0)),"-")</f>
        <v>ARM-0041</v>
      </c>
      <c r="I47" s="171" t="str">
        <f t="array" ref="I47">IFERROR(INDEX('2_Data_Pelanggan'!$D:$D,MATCH(D47,'2_Data_Pelanggan'!$P:$P,0)),"-")</f>
        <v>HERI SUTRISNO</v>
      </c>
      <c r="J47" s="172" t="s">
        <v>502</v>
      </c>
      <c r="K47" s="171" t="s">
        <v>1598</v>
      </c>
      <c r="L47" s="171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</row>
    <row r="48" ht="15.0" customHeight="1">
      <c r="A48" s="76">
        <v>40.0</v>
      </c>
      <c r="B48" s="76" t="s">
        <v>1596</v>
      </c>
      <c r="C48" s="76" t="s">
        <v>1597</v>
      </c>
      <c r="D48" s="76" t="s">
        <v>515</v>
      </c>
      <c r="E48" s="76" t="s">
        <v>516</v>
      </c>
      <c r="F48" s="173" t="str">
        <f t="array" ref="F48">IFERROR(INDEX('2_Data_Pelanggan'!$S:$S,MATCH(D48,'2_Data_Pelanggan'!$P:$P,0)),"")</f>
        <v>27/04/2026</v>
      </c>
      <c r="G48" s="169" t="str">
        <f>IF(COUNTIF('2_Data_Pelanggan'!$P:$P,D48)&gt;0,"Terpasang","Stok/Belum Terpasang")</f>
        <v>Terpasang</v>
      </c>
      <c r="H48" s="170" t="str">
        <f t="array" ref="H48">IFERROR(INDEX('2_Data_Pelanggan'!$B:$B,MATCH(D48,'2_Data_Pelanggan'!$P:$P,0)),"-")</f>
        <v>ARM-0042</v>
      </c>
      <c r="I48" s="171" t="str">
        <f t="array" ref="I48">IFERROR(INDEX('2_Data_Pelanggan'!$D:$D,MATCH(D48,'2_Data_Pelanggan'!$P:$P,0)),"-")</f>
        <v>WATIM WALUYO</v>
      </c>
      <c r="J48" s="172" t="s">
        <v>510</v>
      </c>
      <c r="K48" s="171" t="s">
        <v>1598</v>
      </c>
      <c r="L48" s="171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</row>
    <row r="49" ht="15.0" customHeight="1">
      <c r="A49" s="82">
        <v>41.0</v>
      </c>
      <c r="B49" s="82" t="s">
        <v>1596</v>
      </c>
      <c r="C49" s="82" t="s">
        <v>1597</v>
      </c>
      <c r="D49" s="82" t="s">
        <v>525</v>
      </c>
      <c r="E49" s="82" t="s">
        <v>526</v>
      </c>
      <c r="F49" s="168" t="str">
        <f t="array" ref="F49">IFERROR(INDEX('2_Data_Pelanggan'!$S:$S,MATCH(D49,'2_Data_Pelanggan'!$P:$P,0)),"")</f>
        <v>28/04/2026</v>
      </c>
      <c r="G49" s="169" t="str">
        <f>IF(COUNTIF('2_Data_Pelanggan'!$P:$P,D49)&gt;0,"Terpasang","Stok/Belum Terpasang")</f>
        <v>Terpasang</v>
      </c>
      <c r="H49" s="170" t="str">
        <f t="array" ref="H49">IFERROR(INDEX('2_Data_Pelanggan'!$B:$B,MATCH(D49,'2_Data_Pelanggan'!$P:$P,0)),"-")</f>
        <v>ARM-0043</v>
      </c>
      <c r="I49" s="171" t="str">
        <f t="array" ref="I49">IFERROR(INDEX('2_Data_Pelanggan'!$D:$D,MATCH(D49,'2_Data_Pelanggan'!$P:$P,0)),"-")</f>
        <v>RASUM</v>
      </c>
      <c r="J49" s="172" t="s">
        <v>519</v>
      </c>
      <c r="K49" s="171" t="s">
        <v>1598</v>
      </c>
      <c r="L49" s="171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</row>
    <row r="50" ht="15.0" customHeight="1">
      <c r="A50" s="76">
        <v>42.0</v>
      </c>
      <c r="B50" s="76" t="s">
        <v>1596</v>
      </c>
      <c r="C50" s="76" t="s">
        <v>1597</v>
      </c>
      <c r="D50" s="76" t="s">
        <v>534</v>
      </c>
      <c r="E50" s="76" t="s">
        <v>535</v>
      </c>
      <c r="F50" s="173" t="str">
        <f t="array" ref="F50">IFERROR(INDEX('2_Data_Pelanggan'!$S:$S,MATCH(D50,'2_Data_Pelanggan'!$P:$P,0)),"")</f>
        <v>28/04/2026</v>
      </c>
      <c r="G50" s="169" t="str">
        <f>IF(COUNTIF('2_Data_Pelanggan'!$P:$P,D50)&gt;0,"Terpasang","Stok/Belum Terpasang")</f>
        <v>Terpasang</v>
      </c>
      <c r="H50" s="170" t="str">
        <f t="array" ref="H50">IFERROR(INDEX('2_Data_Pelanggan'!$B:$B,MATCH(D50,'2_Data_Pelanggan'!$P:$P,0)),"-")</f>
        <v>ARM-0044</v>
      </c>
      <c r="I50" s="171" t="str">
        <f t="array" ref="I50">IFERROR(INDEX('2_Data_Pelanggan'!$D:$D,MATCH(D50,'2_Data_Pelanggan'!$P:$P,0)),"-")</f>
        <v>ESTININGSIH</v>
      </c>
      <c r="J50" s="172" t="s">
        <v>529</v>
      </c>
      <c r="K50" s="171" t="s">
        <v>1598</v>
      </c>
      <c r="L50" s="171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</row>
    <row r="51" ht="15.0" customHeight="1">
      <c r="A51" s="82">
        <v>43.0</v>
      </c>
      <c r="B51" s="82" t="s">
        <v>1596</v>
      </c>
      <c r="C51" s="82" t="s">
        <v>1597</v>
      </c>
      <c r="D51" s="82" t="s">
        <v>543</v>
      </c>
      <c r="E51" s="82" t="s">
        <v>544</v>
      </c>
      <c r="F51" s="168">
        <f t="array" ref="F51">IFERROR(INDEX('2_Data_Pelanggan'!$S:$S,MATCH(D51,'2_Data_Pelanggan'!$P:$P,0)),"")</f>
        <v>45693</v>
      </c>
      <c r="G51" s="169" t="str">
        <f>IF(COUNTIF('2_Data_Pelanggan'!$P:$P,D51)&gt;0,"Terpasang","Stok/Belum Terpasang")</f>
        <v>Terpasang</v>
      </c>
      <c r="H51" s="170" t="str">
        <f t="array" ref="H51">IFERROR(INDEX('2_Data_Pelanggan'!$B:$B,MATCH(D51,'2_Data_Pelanggan'!$P:$P,0)),"-")</f>
        <v>ARM-0045</v>
      </c>
      <c r="I51" s="171" t="str">
        <f t="array" ref="I51">IFERROR(INDEX('2_Data_Pelanggan'!$D:$D,MATCH(D51,'2_Data_Pelanggan'!$P:$P,0)),"-")</f>
        <v>DARTAM</v>
      </c>
      <c r="J51" s="172" t="s">
        <v>537</v>
      </c>
      <c r="K51" s="171" t="s">
        <v>1598</v>
      </c>
      <c r="L51" s="171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</row>
    <row r="52" ht="15.0" customHeight="1">
      <c r="A52" s="76">
        <v>44.0</v>
      </c>
      <c r="B52" s="76" t="s">
        <v>1596</v>
      </c>
      <c r="C52" s="76" t="s">
        <v>1597</v>
      </c>
      <c r="D52" s="76" t="s">
        <v>551</v>
      </c>
      <c r="E52" s="76" t="s">
        <v>1601</v>
      </c>
      <c r="F52" s="173">
        <f t="array" ref="F52">IFERROR(INDEX('2_Data_Pelanggan'!$S:$S,MATCH(D52,'2_Data_Pelanggan'!$P:$P,0)),"")</f>
        <v>46086</v>
      </c>
      <c r="G52" s="169" t="str">
        <f>IF(COUNTIF('2_Data_Pelanggan'!$P:$P,D52)&gt;0,"Terpasang","Stok/Belum Terpasang")</f>
        <v>Terpasang</v>
      </c>
      <c r="H52" s="170" t="str">
        <f t="array" ref="H52">IFERROR(INDEX('2_Data_Pelanggan'!$B:$B,MATCH(D52,'2_Data_Pelanggan'!$P:$P,0)),"-")</f>
        <v>ARM-0046</v>
      </c>
      <c r="I52" s="171" t="str">
        <f t="array" ref="I52">IFERROR(INDEX('2_Data_Pelanggan'!$D:$D,MATCH(D52,'2_Data_Pelanggan'!$P:$P,0)),"-")</f>
        <v>MIFTAHUL UMAM</v>
      </c>
      <c r="J52" s="172" t="s">
        <v>546</v>
      </c>
      <c r="K52" s="171" t="s">
        <v>1598</v>
      </c>
      <c r="L52" s="171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</row>
    <row r="53" ht="15.0" customHeight="1">
      <c r="A53" s="82">
        <v>45.0</v>
      </c>
      <c r="B53" s="82" t="s">
        <v>1596</v>
      </c>
      <c r="C53" s="82" t="s">
        <v>1597</v>
      </c>
      <c r="D53" s="82" t="s">
        <v>558</v>
      </c>
      <c r="E53" s="82" t="s">
        <v>559</v>
      </c>
      <c r="F53" s="168">
        <f t="array" ref="F53">IFERROR(INDEX('2_Data_Pelanggan'!$S:$S,MATCH(D53,'2_Data_Pelanggan'!$P:$P,0)),"")</f>
        <v>46117</v>
      </c>
      <c r="G53" s="169" t="str">
        <f>IF(COUNTIF('2_Data_Pelanggan'!$P:$P,D53)&gt;0,"Terpasang","Stok/Belum Terpasang")</f>
        <v>Terpasang</v>
      </c>
      <c r="H53" s="170" t="str">
        <f t="array" ref="H53">IFERROR(INDEX('2_Data_Pelanggan'!$B:$B,MATCH(D53,'2_Data_Pelanggan'!$P:$P,0)),"-")</f>
        <v>ARM-0047</v>
      </c>
      <c r="I53" s="171" t="str">
        <f t="array" ref="I53">IFERROR(INDEX('2_Data_Pelanggan'!$D:$D,MATCH(D53,'2_Data_Pelanggan'!$P:$P,0)),"-")</f>
        <v>TAMIARJO TARSIWAN</v>
      </c>
      <c r="J53" s="172" t="s">
        <v>553</v>
      </c>
      <c r="K53" s="171" t="s">
        <v>1598</v>
      </c>
      <c r="L53" s="171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</row>
    <row r="54" ht="15.0" customHeight="1">
      <c r="A54" s="76">
        <v>46.0</v>
      </c>
      <c r="B54" s="76" t="s">
        <v>1596</v>
      </c>
      <c r="C54" s="76" t="s">
        <v>1597</v>
      </c>
      <c r="D54" s="76" t="s">
        <v>566</v>
      </c>
      <c r="E54" s="76" t="s">
        <v>567</v>
      </c>
      <c r="F54" s="173">
        <f t="array" ref="F54">IFERROR(INDEX('2_Data_Pelanggan'!$S:$S,MATCH(D54,'2_Data_Pelanggan'!$P:$P,0)),"")</f>
        <v>46208</v>
      </c>
      <c r="G54" s="169" t="str">
        <f>IF(COUNTIF('2_Data_Pelanggan'!$P:$P,D54)&gt;0,"Terpasang","Stok/Belum Terpasang")</f>
        <v>Terpasang</v>
      </c>
      <c r="H54" s="170" t="str">
        <f t="array" ref="H54">IFERROR(INDEX('2_Data_Pelanggan'!$B:$B,MATCH(D54,'2_Data_Pelanggan'!$P:$P,0)),"-")</f>
        <v>ARM-0048</v>
      </c>
      <c r="I54" s="171" t="str">
        <f t="array" ref="I54">IFERROR(INDEX('2_Data_Pelanggan'!$D:$D,MATCH(D54,'2_Data_Pelanggan'!$P:$P,0)),"-")</f>
        <v>WARGIYATI</v>
      </c>
      <c r="J54" s="172" t="s">
        <v>561</v>
      </c>
      <c r="K54" s="171" t="s">
        <v>1598</v>
      </c>
      <c r="L54" s="171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</row>
    <row r="55" ht="15.0" customHeight="1">
      <c r="A55" s="82">
        <v>47.0</v>
      </c>
      <c r="B55" s="82" t="s">
        <v>1596</v>
      </c>
      <c r="C55" s="82" t="s">
        <v>1597</v>
      </c>
      <c r="D55" s="82" t="s">
        <v>574</v>
      </c>
      <c r="E55" s="82" t="s">
        <v>575</v>
      </c>
      <c r="F55" s="168">
        <f t="array" ref="F55">IFERROR(INDEX('2_Data_Pelanggan'!$S:$S,MATCH(D55,'2_Data_Pelanggan'!$P:$P,0)),"")</f>
        <v>46208</v>
      </c>
      <c r="G55" s="169" t="str">
        <f>IF(COUNTIF('2_Data_Pelanggan'!$P:$P,D55)&gt;0,"Terpasang","Stok/Belum Terpasang")</f>
        <v>Terpasang</v>
      </c>
      <c r="H55" s="170" t="str">
        <f t="array" ref="H55">IFERROR(INDEX('2_Data_Pelanggan'!$B:$B,MATCH(D55,'2_Data_Pelanggan'!$P:$P,0)),"-")</f>
        <v>ARM-0049</v>
      </c>
      <c r="I55" s="171" t="str">
        <f t="array" ref="I55">IFERROR(INDEX('2_Data_Pelanggan'!$D:$D,MATCH(D55,'2_Data_Pelanggan'!$P:$P,0)),"-")</f>
        <v>SUSMIATI-DARTO</v>
      </c>
      <c r="J55" s="172" t="s">
        <v>569</v>
      </c>
      <c r="K55" s="171" t="s">
        <v>1598</v>
      </c>
      <c r="L55" s="171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</row>
    <row r="56" ht="15.0" customHeight="1">
      <c r="A56" s="76">
        <v>48.0</v>
      </c>
      <c r="B56" s="76" t="s">
        <v>1596</v>
      </c>
      <c r="C56" s="76" t="s">
        <v>1597</v>
      </c>
      <c r="D56" s="76" t="s">
        <v>581</v>
      </c>
      <c r="E56" s="76" t="s">
        <v>582</v>
      </c>
      <c r="F56" s="173">
        <f t="array" ref="F56">IFERROR(INDEX('2_Data_Pelanggan'!$S:$S,MATCH(D56,'2_Data_Pelanggan'!$P:$P,0)),"")</f>
        <v>46208</v>
      </c>
      <c r="G56" s="169" t="str">
        <f>IF(COUNTIF('2_Data_Pelanggan'!$P:$P,D56)&gt;0,"Terpasang","Stok/Belum Terpasang")</f>
        <v>Terpasang</v>
      </c>
      <c r="H56" s="170" t="str">
        <f t="array" ref="H56">IFERROR(INDEX('2_Data_Pelanggan'!$B:$B,MATCH(D56,'2_Data_Pelanggan'!$P:$P,0)),"-")</f>
        <v>ARM-0050</v>
      </c>
      <c r="I56" s="171" t="str">
        <f t="array" ref="I56">IFERROR(INDEX('2_Data_Pelanggan'!$D:$D,MATCH(D56,'2_Data_Pelanggan'!$P:$P,0)),"-")</f>
        <v>KARSUN</v>
      </c>
      <c r="J56" s="172" t="s">
        <v>577</v>
      </c>
      <c r="K56" s="171" t="s">
        <v>1598</v>
      </c>
      <c r="L56" s="171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</row>
    <row r="57" ht="15.0" customHeight="1">
      <c r="A57" s="82">
        <v>49.0</v>
      </c>
      <c r="B57" s="82" t="s">
        <v>1596</v>
      </c>
      <c r="C57" s="82" t="s">
        <v>1597</v>
      </c>
      <c r="D57" s="82" t="s">
        <v>589</v>
      </c>
      <c r="E57" s="82" t="s">
        <v>590</v>
      </c>
      <c r="F57" s="168">
        <f t="array" ref="F57">IFERROR(INDEX('2_Data_Pelanggan'!$S:$S,MATCH(D57,'2_Data_Pelanggan'!$P:$P,0)),"")</f>
        <v>46208</v>
      </c>
      <c r="G57" s="169" t="str">
        <f>IF(COUNTIF('2_Data_Pelanggan'!$P:$P,D57)&gt;0,"Terpasang","Stok/Belum Terpasang")</f>
        <v>Terpasang</v>
      </c>
      <c r="H57" s="170" t="str">
        <f t="array" ref="H57">IFERROR(INDEX('2_Data_Pelanggan'!$B:$B,MATCH(D57,'2_Data_Pelanggan'!$P:$P,0)),"-")</f>
        <v>ARM-0051</v>
      </c>
      <c r="I57" s="171" t="str">
        <f t="array" ref="I57">IFERROR(INDEX('2_Data_Pelanggan'!$D:$D,MATCH(D57,'2_Data_Pelanggan'!$P:$P,0)),"-")</f>
        <v>NARSO</v>
      </c>
      <c r="J57" s="172" t="s">
        <v>584</v>
      </c>
      <c r="K57" s="171" t="s">
        <v>1598</v>
      </c>
      <c r="L57" s="171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</row>
    <row r="58" ht="15.0" customHeight="1">
      <c r="A58" s="76">
        <v>50.0</v>
      </c>
      <c r="B58" s="76" t="s">
        <v>1596</v>
      </c>
      <c r="C58" s="76" t="s">
        <v>1597</v>
      </c>
      <c r="D58" s="76" t="s">
        <v>596</v>
      </c>
      <c r="E58" s="76" t="s">
        <v>597</v>
      </c>
      <c r="F58" s="173">
        <f t="array" ref="F58">IFERROR(INDEX('2_Data_Pelanggan'!$S:$S,MATCH(D58,'2_Data_Pelanggan'!$P:$P,0)),"")</f>
        <v>46208</v>
      </c>
      <c r="G58" s="169" t="str">
        <f>IF(COUNTIF('2_Data_Pelanggan'!$P:$P,D58)&gt;0,"Terpasang","Stok/Belum Terpasang")</f>
        <v>Terpasang</v>
      </c>
      <c r="H58" s="170" t="str">
        <f t="array" ref="H58">IFERROR(INDEX('2_Data_Pelanggan'!$B:$B,MATCH(D58,'2_Data_Pelanggan'!$P:$P,0)),"-")</f>
        <v>ARM-0052</v>
      </c>
      <c r="I58" s="171" t="str">
        <f t="array" ref="I58">IFERROR(INDEX('2_Data_Pelanggan'!$D:$D,MATCH(D58,'2_Data_Pelanggan'!$P:$P,0)),"-")</f>
        <v>RAPIN</v>
      </c>
      <c r="J58" s="172" t="s">
        <v>592</v>
      </c>
      <c r="K58" s="171" t="s">
        <v>1598</v>
      </c>
      <c r="L58" s="171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</row>
    <row r="59" ht="15.0" customHeight="1">
      <c r="A59" s="82">
        <v>51.0</v>
      </c>
      <c r="B59" s="82" t="s">
        <v>1596</v>
      </c>
      <c r="C59" s="82" t="s">
        <v>1597</v>
      </c>
      <c r="D59" s="82" t="s">
        <v>604</v>
      </c>
      <c r="E59" s="82" t="s">
        <v>605</v>
      </c>
      <c r="F59" s="168">
        <f t="array" ref="F59">IFERROR(INDEX('2_Data_Pelanggan'!$S:$S,MATCH(D59,'2_Data_Pelanggan'!$P:$P,0)),"")</f>
        <v>46331</v>
      </c>
      <c r="G59" s="169" t="str">
        <f>IF(COUNTIF('2_Data_Pelanggan'!$P:$P,D59)&gt;0,"Terpasang","Stok/Belum Terpasang")</f>
        <v>Terpasang</v>
      </c>
      <c r="H59" s="170" t="str">
        <f t="array" ref="H59">IFERROR(INDEX('2_Data_Pelanggan'!$B:$B,MATCH(D59,'2_Data_Pelanggan'!$P:$P,0)),"-")</f>
        <v>ARM-0053</v>
      </c>
      <c r="I59" s="171" t="str">
        <f t="array" ref="I59">IFERROR(INDEX('2_Data_Pelanggan'!$D:$D,MATCH(D59,'2_Data_Pelanggan'!$P:$P,0)),"-")</f>
        <v>KAMINAH</v>
      </c>
      <c r="J59" s="172" t="s">
        <v>599</v>
      </c>
      <c r="K59" s="171" t="s">
        <v>1598</v>
      </c>
      <c r="L59" s="171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</row>
    <row r="60" ht="15.0" customHeight="1">
      <c r="A60" s="76">
        <v>52.0</v>
      </c>
      <c r="B60" s="76" t="s">
        <v>1596</v>
      </c>
      <c r="C60" s="76" t="s">
        <v>1597</v>
      </c>
      <c r="D60" s="76" t="s">
        <v>611</v>
      </c>
      <c r="E60" s="76" t="s">
        <v>612</v>
      </c>
      <c r="F60" s="173">
        <f t="array" ref="F60">IFERROR(INDEX('2_Data_Pelanggan'!$S:$S,MATCH(D60,'2_Data_Pelanggan'!$P:$P,0)),"")</f>
        <v>46331</v>
      </c>
      <c r="G60" s="169" t="str">
        <f>IF(COUNTIF('2_Data_Pelanggan'!$P:$P,D60)&gt;0,"Terpasang","Stok/Belum Terpasang")</f>
        <v>Terpasang</v>
      </c>
      <c r="H60" s="170" t="str">
        <f t="array" ref="H60">IFERROR(INDEX('2_Data_Pelanggan'!$B:$B,MATCH(D60,'2_Data_Pelanggan'!$P:$P,0)),"-")</f>
        <v>ARM-0054</v>
      </c>
      <c r="I60" s="171" t="str">
        <f t="array" ref="I60">IFERROR(INDEX('2_Data_Pelanggan'!$D:$D,MATCH(D60,'2_Data_Pelanggan'!$P:$P,0)),"-")</f>
        <v>SRI WAHYUNI</v>
      </c>
      <c r="J60" s="172" t="s">
        <v>607</v>
      </c>
      <c r="K60" s="171" t="s">
        <v>1598</v>
      </c>
      <c r="L60" s="171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</row>
    <row r="61" ht="15.0" customHeight="1">
      <c r="A61" s="82">
        <v>53.0</v>
      </c>
      <c r="B61" s="82" t="s">
        <v>1596</v>
      </c>
      <c r="C61" s="82" t="s">
        <v>1597</v>
      </c>
      <c r="D61" s="82" t="s">
        <v>618</v>
      </c>
      <c r="E61" s="82" t="s">
        <v>619</v>
      </c>
      <c r="F61" s="168">
        <f t="array" ref="F61">IFERROR(INDEX('2_Data_Pelanggan'!$S:$S,MATCH(D61,'2_Data_Pelanggan'!$P:$P,0)),"")</f>
        <v>46361</v>
      </c>
      <c r="G61" s="169" t="str">
        <f>IF(COUNTIF('2_Data_Pelanggan'!$P:$P,D61)&gt;0,"Terpasang","Stok/Belum Terpasang")</f>
        <v>Terpasang</v>
      </c>
      <c r="H61" s="170" t="str">
        <f t="array" ref="H61">IFERROR(INDEX('2_Data_Pelanggan'!$B:$B,MATCH(D61,'2_Data_Pelanggan'!$P:$P,0)),"-")</f>
        <v>ARM-0055</v>
      </c>
      <c r="I61" s="171" t="str">
        <f t="array" ref="I61">IFERROR(INDEX('2_Data_Pelanggan'!$D:$D,MATCH(D61,'2_Data_Pelanggan'!$P:$P,0)),"-")</f>
        <v>ARI WINDIARTI</v>
      </c>
      <c r="J61" s="172" t="s">
        <v>614</v>
      </c>
      <c r="K61" s="171" t="s">
        <v>1598</v>
      </c>
      <c r="L61" s="171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</row>
    <row r="62" ht="15.0" customHeight="1">
      <c r="A62" s="76">
        <v>54.0</v>
      </c>
      <c r="B62" s="76" t="s">
        <v>1596</v>
      </c>
      <c r="C62" s="76" t="s">
        <v>1597</v>
      </c>
      <c r="D62" s="76" t="s">
        <v>626</v>
      </c>
      <c r="E62" s="76" t="s">
        <v>627</v>
      </c>
      <c r="F62" s="173">
        <f t="array" ref="F62">IFERROR(INDEX('2_Data_Pelanggan'!$S:$S,MATCH(D62,'2_Data_Pelanggan'!$P:$P,0)),"")</f>
        <v>46361</v>
      </c>
      <c r="G62" s="169" t="str">
        <f>IF(COUNTIF('2_Data_Pelanggan'!$P:$P,D62)&gt;0,"Terpasang","Stok/Belum Terpasang")</f>
        <v>Terpasang</v>
      </c>
      <c r="H62" s="170" t="str">
        <f t="array" ref="H62">IFERROR(INDEX('2_Data_Pelanggan'!$B:$B,MATCH(D62,'2_Data_Pelanggan'!$P:$P,0)),"-")</f>
        <v>ARM-0056</v>
      </c>
      <c r="I62" s="171" t="str">
        <f t="array" ref="I62">IFERROR(INDEX('2_Data_Pelanggan'!$D:$D,MATCH(D62,'2_Data_Pelanggan'!$P:$P,0)),"-")</f>
        <v>MUHAMAD BAHRUL ULUM</v>
      </c>
      <c r="J62" s="172" t="s">
        <v>621</v>
      </c>
      <c r="K62" s="171" t="s">
        <v>1598</v>
      </c>
      <c r="L62" s="171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</row>
    <row r="63" ht="15.0" customHeight="1">
      <c r="A63" s="82">
        <v>55.0</v>
      </c>
      <c r="B63" s="82" t="s">
        <v>1596</v>
      </c>
      <c r="C63" s="82" t="s">
        <v>1597</v>
      </c>
      <c r="D63" s="82" t="s">
        <v>634</v>
      </c>
      <c r="E63" s="82" t="s">
        <v>635</v>
      </c>
      <c r="F63" s="168">
        <f t="array" ref="F63">IFERROR(INDEX('2_Data_Pelanggan'!$S:$S,MATCH(D63,'2_Data_Pelanggan'!$P:$P,0)),"")</f>
        <v>46154</v>
      </c>
      <c r="G63" s="169" t="str">
        <f>IF(COUNTIF('2_Data_Pelanggan'!$P:$P,D63)&gt;0,"Terpasang","Stok/Belum Terpasang")</f>
        <v>Terpasang</v>
      </c>
      <c r="H63" s="170" t="str">
        <f t="array" ref="H63">IFERROR(INDEX('2_Data_Pelanggan'!$B:$B,MATCH(D63,'2_Data_Pelanggan'!$P:$P,0)),"-")</f>
        <v>ARM-0057</v>
      </c>
      <c r="I63" s="171" t="str">
        <f t="array" ref="I63">IFERROR(INDEX('2_Data_Pelanggan'!$D:$D,MATCH(D63,'2_Data_Pelanggan'!$P:$P,0)),"-")</f>
        <v>EFA FRISTIANA</v>
      </c>
      <c r="J63" s="172" t="s">
        <v>629</v>
      </c>
      <c r="K63" s="171" t="s">
        <v>1598</v>
      </c>
      <c r="L63" s="171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</row>
    <row r="64" ht="15.0" customHeight="1">
      <c r="A64" s="76">
        <v>56.0</v>
      </c>
      <c r="B64" s="76" t="s">
        <v>1596</v>
      </c>
      <c r="C64" s="76" t="s">
        <v>1597</v>
      </c>
      <c r="D64" s="76" t="s">
        <v>642</v>
      </c>
      <c r="E64" s="76" t="s">
        <v>643</v>
      </c>
      <c r="F64" s="173" t="str">
        <f t="array" ref="F64">IFERROR(INDEX('2_Data_Pelanggan'!$S:$S,MATCH(D64,'2_Data_Pelanggan'!$P:$P,0)),"")</f>
        <v>14/05/2026</v>
      </c>
      <c r="G64" s="169" t="str">
        <f>IF(COUNTIF('2_Data_Pelanggan'!$P:$P,D64)&gt;0,"Terpasang","Stok/Belum Terpasang")</f>
        <v>Terpasang</v>
      </c>
      <c r="H64" s="170" t="str">
        <f t="array" ref="H64">IFERROR(INDEX('2_Data_Pelanggan'!$B:$B,MATCH(D64,'2_Data_Pelanggan'!$P:$P,0)),"-")</f>
        <v>ARM-0058</v>
      </c>
      <c r="I64" s="171" t="str">
        <f t="array" ref="I64">IFERROR(INDEX('2_Data_Pelanggan'!$D:$D,MATCH(D64,'2_Data_Pelanggan'!$P:$P,0)),"-")</f>
        <v>ROHYATI</v>
      </c>
      <c r="J64" s="172" t="s">
        <v>637</v>
      </c>
      <c r="K64" s="171" t="s">
        <v>1598</v>
      </c>
      <c r="L64" s="171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</row>
    <row r="65" ht="15.0" customHeight="1">
      <c r="A65" s="82">
        <v>57.0</v>
      </c>
      <c r="B65" s="82" t="s">
        <v>1596</v>
      </c>
      <c r="C65" s="82" t="s">
        <v>1597</v>
      </c>
      <c r="D65" s="82" t="s">
        <v>651</v>
      </c>
      <c r="E65" s="82" t="s">
        <v>1602</v>
      </c>
      <c r="F65" s="168" t="str">
        <f t="array" ref="F65">IFERROR(INDEX('2_Data_Pelanggan'!$S:$S,MATCH(D65,'2_Data_Pelanggan'!$P:$P,0)),"")</f>
        <v>14/05/2026</v>
      </c>
      <c r="G65" s="169" t="str">
        <f>IF(COUNTIF('2_Data_Pelanggan'!$P:$P,D65)&gt;0,"Terpasang","Stok/Belum Terpasang")</f>
        <v>Terpasang</v>
      </c>
      <c r="H65" s="170" t="str">
        <f t="array" ref="H65">IFERROR(INDEX('2_Data_Pelanggan'!$B:$B,MATCH(D65,'2_Data_Pelanggan'!$P:$P,0)),"-")</f>
        <v>ARM-0059</v>
      </c>
      <c r="I65" s="171" t="str">
        <f t="array" ref="I65">IFERROR(INDEX('2_Data_Pelanggan'!$D:$D,MATCH(D65,'2_Data_Pelanggan'!$P:$P,0)),"-")</f>
        <v>ADI JUNAIDI</v>
      </c>
      <c r="J65" s="172" t="s">
        <v>646</v>
      </c>
      <c r="K65" s="171" t="s">
        <v>1598</v>
      </c>
      <c r="L65" s="171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</row>
    <row r="66" ht="15.0" customHeight="1">
      <c r="A66" s="76">
        <v>58.0</v>
      </c>
      <c r="B66" s="76" t="s">
        <v>1596</v>
      </c>
      <c r="C66" s="76" t="s">
        <v>1597</v>
      </c>
      <c r="D66" s="76" t="s">
        <v>659</v>
      </c>
      <c r="E66" s="76" t="s">
        <v>660</v>
      </c>
      <c r="F66" s="173" t="str">
        <f t="array" ref="F66">IFERROR(INDEX('2_Data_Pelanggan'!$S:$S,MATCH(D66,'2_Data_Pelanggan'!$P:$P,0)),"")</f>
        <v/>
      </c>
      <c r="G66" s="169" t="str">
        <f>IF(COUNTIF('2_Data_Pelanggan'!$P:$P,D66)&gt;0,"Terpasang","Stok/Belum Terpasang")</f>
        <v>Terpasang</v>
      </c>
      <c r="H66" s="170" t="str">
        <f t="array" ref="H66">IFERROR(INDEX('2_Data_Pelanggan'!$B:$B,MATCH(D66,'2_Data_Pelanggan'!$P:$P,0)),"-")</f>
        <v>ARM-0060</v>
      </c>
      <c r="I66" s="171" t="str">
        <f t="array" ref="I66">IFERROR(INDEX('2_Data_Pelanggan'!$D:$D,MATCH(D66,'2_Data_Pelanggan'!$P:$P,0)),"-")</f>
        <v>SUMARNO NARKUM</v>
      </c>
      <c r="J66" s="172" t="s">
        <v>654</v>
      </c>
      <c r="K66" s="171" t="s">
        <v>1598</v>
      </c>
      <c r="L66" s="171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</row>
    <row r="67" ht="15.0" customHeight="1">
      <c r="A67" s="82">
        <v>59.0</v>
      </c>
      <c r="B67" s="82" t="s">
        <v>1596</v>
      </c>
      <c r="C67" s="82" t="s">
        <v>1597</v>
      </c>
      <c r="D67" s="82" t="s">
        <v>667</v>
      </c>
      <c r="E67" s="82" t="s">
        <v>668</v>
      </c>
      <c r="F67" s="168" t="str">
        <f t="array" ref="F67">IFERROR(INDEX('2_Data_Pelanggan'!$S:$S,MATCH(D67,'2_Data_Pelanggan'!$P:$P,0)),"")</f>
        <v/>
      </c>
      <c r="G67" s="169" t="str">
        <f>IF(COUNTIF('2_Data_Pelanggan'!$P:$P,D67)&gt;0,"Terpasang","Stok/Belum Terpasang")</f>
        <v>Terpasang</v>
      </c>
      <c r="H67" s="170" t="str">
        <f t="array" ref="H67">IFERROR(INDEX('2_Data_Pelanggan'!$B:$B,MATCH(D67,'2_Data_Pelanggan'!$P:$P,0)),"-")</f>
        <v>ARM-0061</v>
      </c>
      <c r="I67" s="171" t="str">
        <f t="array" ref="I67">IFERROR(INDEX('2_Data_Pelanggan'!$D:$D,MATCH(D67,'2_Data_Pelanggan'!$P:$P,0)),"-")</f>
        <v>KISNO</v>
      </c>
      <c r="J67" s="172" t="s">
        <v>662</v>
      </c>
      <c r="K67" s="171" t="s">
        <v>1598</v>
      </c>
      <c r="L67" s="171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</row>
    <row r="68" ht="15.0" customHeight="1">
      <c r="A68" s="76">
        <v>60.0</v>
      </c>
      <c r="B68" s="76" t="s">
        <v>1596</v>
      </c>
      <c r="C68" s="76" t="s">
        <v>1597</v>
      </c>
      <c r="D68" s="76" t="s">
        <v>675</v>
      </c>
      <c r="E68" s="76" t="s">
        <v>676</v>
      </c>
      <c r="F68" s="173">
        <f t="array" ref="F68">IFERROR(INDEX('2_Data_Pelanggan'!$S:$S,MATCH(D68,'2_Data_Pelanggan'!$P:$P,0)),"")</f>
        <v>46157</v>
      </c>
      <c r="G68" s="169" t="str">
        <f>IF(COUNTIF('2_Data_Pelanggan'!$P:$P,D68)&gt;0,"Terpasang","Stok/Belum Terpasang")</f>
        <v>Terpasang</v>
      </c>
      <c r="H68" s="170" t="str">
        <f t="array" ref="H68">IFERROR(INDEX('2_Data_Pelanggan'!$B:$B,MATCH(D68,'2_Data_Pelanggan'!$P:$P,0)),"-")</f>
        <v>ARM-0062</v>
      </c>
      <c r="I68" s="171" t="str">
        <f t="array" ref="I68">IFERROR(INDEX('2_Data_Pelanggan'!$D:$D,MATCH(D68,'2_Data_Pelanggan'!$P:$P,0)),"-")</f>
        <v>CARWAN</v>
      </c>
      <c r="J68" s="172" t="s">
        <v>670</v>
      </c>
      <c r="K68" s="171" t="s">
        <v>1598</v>
      </c>
      <c r="L68" s="171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</row>
    <row r="69" ht="15.0" customHeight="1">
      <c r="A69" s="82">
        <v>61.0</v>
      </c>
      <c r="B69" s="82" t="s">
        <v>1596</v>
      </c>
      <c r="C69" s="82" t="s">
        <v>1597</v>
      </c>
      <c r="D69" s="82" t="s">
        <v>683</v>
      </c>
      <c r="E69" s="82" t="s">
        <v>684</v>
      </c>
      <c r="F69" s="168" t="str">
        <f t="array" ref="F69">IFERROR(INDEX('2_Data_Pelanggan'!$S:$S,MATCH(D69,'2_Data_Pelanggan'!$P:$P,0)),"")</f>
        <v>15/05/2026</v>
      </c>
      <c r="G69" s="169" t="str">
        <f>IF(COUNTIF('2_Data_Pelanggan'!$P:$P,D69)&gt;0,"Terpasang","Stok/Belum Terpasang")</f>
        <v>Terpasang</v>
      </c>
      <c r="H69" s="170" t="str">
        <f t="array" ref="H69">IFERROR(INDEX('2_Data_Pelanggan'!$B:$B,MATCH(D69,'2_Data_Pelanggan'!$P:$P,0)),"-")</f>
        <v>ARM-0063</v>
      </c>
      <c r="I69" s="171" t="str">
        <f t="array" ref="I69">IFERROR(INDEX('2_Data_Pelanggan'!$D:$D,MATCH(D69,'2_Data_Pelanggan'!$P:$P,0)),"-")</f>
        <v>TARWONO</v>
      </c>
      <c r="J69" s="172" t="s">
        <v>678</v>
      </c>
      <c r="K69" s="171" t="s">
        <v>1598</v>
      </c>
      <c r="L69" s="171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</row>
    <row r="70" ht="15.0" customHeight="1">
      <c r="A70" s="76">
        <v>62.0</v>
      </c>
      <c r="B70" s="76" t="s">
        <v>1596</v>
      </c>
      <c r="C70" s="76" t="s">
        <v>1597</v>
      </c>
      <c r="D70" s="76" t="s">
        <v>691</v>
      </c>
      <c r="E70" s="76" t="s">
        <v>692</v>
      </c>
      <c r="F70" s="173" t="str">
        <f t="array" ref="F70">IFERROR(INDEX('2_Data_Pelanggan'!$S:$S,MATCH(D70,'2_Data_Pelanggan'!$P:$P,0)),"")</f>
        <v> 15/05/2026</v>
      </c>
      <c r="G70" s="169" t="str">
        <f>IF(COUNTIF('2_Data_Pelanggan'!$P:$P,D70)&gt;0,"Terpasang","Stok/Belum Terpasang")</f>
        <v>Terpasang</v>
      </c>
      <c r="H70" s="170" t="str">
        <f t="array" ref="H70">IFERROR(INDEX('2_Data_Pelanggan'!$B:$B,MATCH(D70,'2_Data_Pelanggan'!$P:$P,0)),"-")</f>
        <v>ARM-0064</v>
      </c>
      <c r="I70" s="171" t="str">
        <f t="array" ref="I70">IFERROR(INDEX('2_Data_Pelanggan'!$D:$D,MATCH(D70,'2_Data_Pelanggan'!$P:$P,0)),"-")</f>
        <v>WAHYOTO</v>
      </c>
      <c r="J70" s="172" t="s">
        <v>687</v>
      </c>
      <c r="K70" s="171" t="s">
        <v>1598</v>
      </c>
      <c r="L70" s="171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</row>
    <row r="71" ht="15.0" customHeight="1">
      <c r="A71" s="82">
        <v>63.0</v>
      </c>
      <c r="B71" s="82" t="s">
        <v>1596</v>
      </c>
      <c r="C71" s="82" t="s">
        <v>1597</v>
      </c>
      <c r="D71" s="82" t="s">
        <v>700</v>
      </c>
      <c r="E71" s="82" t="s">
        <v>701</v>
      </c>
      <c r="F71" s="168" t="str">
        <f t="array" ref="F71">IFERROR(INDEX('2_Data_Pelanggan'!$S:$S,MATCH(D71,'2_Data_Pelanggan'!$P:$P,0)),"")</f>
        <v> 15/05/2026</v>
      </c>
      <c r="G71" s="169" t="str">
        <f>IF(COUNTIF('2_Data_Pelanggan'!$P:$P,D71)&gt;0,"Terpasang","Stok/Belum Terpasang")</f>
        <v>Terpasang</v>
      </c>
      <c r="H71" s="170" t="str">
        <f t="array" ref="H71">IFERROR(INDEX('2_Data_Pelanggan'!$B:$B,MATCH(D71,'2_Data_Pelanggan'!$P:$P,0)),"-")</f>
        <v>ARM-0065</v>
      </c>
      <c r="I71" s="171" t="str">
        <f t="array" ref="I71">IFERROR(INDEX('2_Data_Pelanggan'!$D:$D,MATCH(D71,'2_Data_Pelanggan'!$P:$P,0)),"-")</f>
        <v>RIZAL YUSUF BASTIAN</v>
      </c>
      <c r="J71" s="172" t="s">
        <v>695</v>
      </c>
      <c r="K71" s="171" t="s">
        <v>1598</v>
      </c>
      <c r="L71" s="171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</row>
    <row r="72" ht="15.0" customHeight="1">
      <c r="A72" s="76">
        <v>64.0</v>
      </c>
      <c r="B72" s="76" t="s">
        <v>1596</v>
      </c>
      <c r="C72" s="76" t="s">
        <v>1597</v>
      </c>
      <c r="D72" s="76" t="s">
        <v>708</v>
      </c>
      <c r="E72" s="76" t="s">
        <v>709</v>
      </c>
      <c r="F72" s="173" t="str">
        <f t="array" ref="F72">IFERROR(INDEX('2_Data_Pelanggan'!$S:$S,MATCH(D72,'2_Data_Pelanggan'!$P:$P,0)),"")</f>
        <v>15/05/2026</v>
      </c>
      <c r="G72" s="169" t="str">
        <f>IF(COUNTIF('2_Data_Pelanggan'!$P:$P,D72)&gt;0,"Terpasang","Stok/Belum Terpasang")</f>
        <v>Terpasang</v>
      </c>
      <c r="H72" s="170" t="str">
        <f t="array" ref="H72">IFERROR(INDEX('2_Data_Pelanggan'!$B:$B,MATCH(D72,'2_Data_Pelanggan'!$P:$P,0)),"-")</f>
        <v>ARM-0066</v>
      </c>
      <c r="I72" s="171" t="str">
        <f t="array" ref="I72">IFERROR(INDEX('2_Data_Pelanggan'!$D:$D,MATCH(D72,'2_Data_Pelanggan'!$P:$P,0)),"-")</f>
        <v>DARYOTO</v>
      </c>
      <c r="J72" s="172" t="s">
        <v>703</v>
      </c>
      <c r="K72" s="171" t="s">
        <v>1598</v>
      </c>
      <c r="L72" s="171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</row>
    <row r="73" ht="15.0" customHeight="1">
      <c r="A73" s="82">
        <v>65.0</v>
      </c>
      <c r="B73" s="82" t="s">
        <v>1596</v>
      </c>
      <c r="C73" s="82" t="s">
        <v>1597</v>
      </c>
      <c r="D73" s="82" t="s">
        <v>715</v>
      </c>
      <c r="E73" s="82" t="s">
        <v>716</v>
      </c>
      <c r="F73" s="168" t="str">
        <f t="array" ref="F73">IFERROR(INDEX('2_Data_Pelanggan'!$S:$S,MATCH(D73,'2_Data_Pelanggan'!$P:$P,0)),"")</f>
        <v>16/05/2026</v>
      </c>
      <c r="G73" s="169" t="str">
        <f>IF(COUNTIF('2_Data_Pelanggan'!$P:$P,D73)&gt;0,"Terpasang","Stok/Belum Terpasang")</f>
        <v>Terpasang</v>
      </c>
      <c r="H73" s="170" t="str">
        <f t="array" ref="H73">IFERROR(INDEX('2_Data_Pelanggan'!$B:$B,MATCH(D73,'2_Data_Pelanggan'!$P:$P,0)),"-")</f>
        <v>ARM-0067</v>
      </c>
      <c r="I73" s="171" t="str">
        <f t="array" ref="I73">IFERROR(INDEX('2_Data_Pelanggan'!$D:$D,MATCH(D73,'2_Data_Pelanggan'!$P:$P,0)),"-")</f>
        <v>KUSMANTO</v>
      </c>
      <c r="J73" s="172" t="s">
        <v>711</v>
      </c>
      <c r="K73" s="171" t="s">
        <v>1598</v>
      </c>
      <c r="L73" s="171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</row>
    <row r="74" ht="15.0" customHeight="1">
      <c r="A74" s="76">
        <v>66.0</v>
      </c>
      <c r="B74" s="76" t="s">
        <v>1596</v>
      </c>
      <c r="C74" s="76" t="s">
        <v>1597</v>
      </c>
      <c r="D74" s="76" t="s">
        <v>723</v>
      </c>
      <c r="E74" s="76" t="s">
        <v>724</v>
      </c>
      <c r="F74" s="173" t="str">
        <f t="array" ref="F74">IFERROR(INDEX('2_Data_Pelanggan'!$S:$S,MATCH(D74,'2_Data_Pelanggan'!$P:$P,0)),"")</f>
        <v>16/05/2026</v>
      </c>
      <c r="G74" s="169" t="str">
        <f>IF(COUNTIF('2_Data_Pelanggan'!$P:$P,D74)&gt;0,"Terpasang","Stok/Belum Terpasang")</f>
        <v>Terpasang</v>
      </c>
      <c r="H74" s="170" t="str">
        <f t="array" ref="H74">IFERROR(INDEX('2_Data_Pelanggan'!$B:$B,MATCH(D74,'2_Data_Pelanggan'!$P:$P,0)),"-")</f>
        <v>ARM-0068</v>
      </c>
      <c r="I74" s="171" t="str">
        <f t="array" ref="I74">IFERROR(INDEX('2_Data_Pelanggan'!$D:$D,MATCH(D74,'2_Data_Pelanggan'!$P:$P,0)),"-")</f>
        <v>ALESHA</v>
      </c>
      <c r="J74" s="172" t="s">
        <v>719</v>
      </c>
      <c r="K74" s="171" t="s">
        <v>1598</v>
      </c>
      <c r="L74" s="171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</row>
    <row r="75" ht="15.0" customHeight="1">
      <c r="A75" s="82">
        <v>67.0</v>
      </c>
      <c r="B75" s="82" t="s">
        <v>1596</v>
      </c>
      <c r="C75" s="82" t="s">
        <v>1597</v>
      </c>
      <c r="D75" s="82" t="s">
        <v>731</v>
      </c>
      <c r="E75" s="82" t="s">
        <v>732</v>
      </c>
      <c r="F75" s="168" t="str">
        <f t="array" ref="F75">IFERROR(INDEX('2_Data_Pelanggan'!$S:$S,MATCH(D75,'2_Data_Pelanggan'!$P:$P,0)),"")</f>
        <v>16/05/2026</v>
      </c>
      <c r="G75" s="169" t="str">
        <f>IF(COUNTIF('2_Data_Pelanggan'!$P:$P,D75)&gt;0,"Terpasang","Stok/Belum Terpasang")</f>
        <v>Terpasang</v>
      </c>
      <c r="H75" s="170" t="str">
        <f t="array" ref="H75">IFERROR(INDEX('2_Data_Pelanggan'!$B:$B,MATCH(D75,'2_Data_Pelanggan'!$P:$P,0)),"-")</f>
        <v>ARM-0069</v>
      </c>
      <c r="I75" s="171" t="str">
        <f t="array" ref="I75">IFERROR(INDEX('2_Data_Pelanggan'!$D:$D,MATCH(D75,'2_Data_Pelanggan'!$P:$P,0)),"-")</f>
        <v>GAYUH MUTIARA NISA</v>
      </c>
      <c r="J75" s="172" t="s">
        <v>726</v>
      </c>
      <c r="K75" s="171" t="s">
        <v>1598</v>
      </c>
      <c r="L75" s="171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</row>
    <row r="76" ht="15.0" customHeight="1">
      <c r="A76" s="76">
        <v>68.0</v>
      </c>
      <c r="B76" s="76" t="s">
        <v>1596</v>
      </c>
      <c r="C76" s="76" t="s">
        <v>1597</v>
      </c>
      <c r="D76" s="76" t="s">
        <v>739</v>
      </c>
      <c r="E76" s="76" t="s">
        <v>740</v>
      </c>
      <c r="F76" s="173" t="str">
        <f t="array" ref="F76">IFERROR(INDEX('2_Data_Pelanggan'!$S:$S,MATCH(D76,'2_Data_Pelanggan'!$P:$P,0)),"")</f>
        <v>16/05/2026</v>
      </c>
      <c r="G76" s="169" t="str">
        <f>IF(COUNTIF('2_Data_Pelanggan'!$P:$P,D76)&gt;0,"Terpasang","Stok/Belum Terpasang")</f>
        <v>Terpasang</v>
      </c>
      <c r="H76" s="170" t="str">
        <f t="array" ref="H76">IFERROR(INDEX('2_Data_Pelanggan'!$B:$B,MATCH(D76,'2_Data_Pelanggan'!$P:$P,0)),"-")</f>
        <v>ARM-0070</v>
      </c>
      <c r="I76" s="171" t="str">
        <f t="array" ref="I76">IFERROR(INDEX('2_Data_Pelanggan'!$D:$D,MATCH(D76,'2_Data_Pelanggan'!$P:$P,0)),"-")</f>
        <v>UMI LESTARI</v>
      </c>
      <c r="J76" s="172" t="s">
        <v>734</v>
      </c>
      <c r="K76" s="171" t="s">
        <v>1598</v>
      </c>
      <c r="L76" s="171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</row>
    <row r="77" ht="15.0" customHeight="1">
      <c r="A77" s="82">
        <v>69.0</v>
      </c>
      <c r="B77" s="82" t="s">
        <v>1596</v>
      </c>
      <c r="C77" s="82" t="s">
        <v>1597</v>
      </c>
      <c r="D77" s="82" t="s">
        <v>747</v>
      </c>
      <c r="E77" s="82" t="s">
        <v>748</v>
      </c>
      <c r="F77" s="168" t="str">
        <f t="array" ref="F77">IFERROR(INDEX('2_Data_Pelanggan'!$S:$S,MATCH(D77,'2_Data_Pelanggan'!$P:$P,0)),"")</f>
        <v>16/05/2026</v>
      </c>
      <c r="G77" s="169" t="str">
        <f>IF(COUNTIF('2_Data_Pelanggan'!$P:$P,D77)&gt;0,"Terpasang","Stok/Belum Terpasang")</f>
        <v>Terpasang</v>
      </c>
      <c r="H77" s="170" t="str">
        <f t="array" ref="H77">IFERROR(INDEX('2_Data_Pelanggan'!$B:$B,MATCH(D77,'2_Data_Pelanggan'!$P:$P,0)),"-")</f>
        <v>ARM-0071</v>
      </c>
      <c r="I77" s="171" t="str">
        <f t="array" ref="I77">IFERROR(INDEX('2_Data_Pelanggan'!$D:$D,MATCH(D77,'2_Data_Pelanggan'!$P:$P,0)),"-")</f>
        <v>TARSUM</v>
      </c>
      <c r="J77" s="172" t="s">
        <v>742</v>
      </c>
      <c r="K77" s="171" t="s">
        <v>1598</v>
      </c>
      <c r="L77" s="171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</row>
    <row r="78" ht="15.0" customHeight="1">
      <c r="A78" s="76">
        <v>70.0</v>
      </c>
      <c r="B78" s="76" t="s">
        <v>1596</v>
      </c>
      <c r="C78" s="76" t="s">
        <v>1597</v>
      </c>
      <c r="D78" s="76" t="s">
        <v>755</v>
      </c>
      <c r="E78" s="76" t="s">
        <v>756</v>
      </c>
      <c r="F78" s="173">
        <f t="array" ref="F78">IFERROR(INDEX('2_Data_Pelanggan'!$S:$S,MATCH(D78,'2_Data_Pelanggan'!$P:$P,0)),"")</f>
        <v>46159</v>
      </c>
      <c r="G78" s="169" t="str">
        <f>IF(COUNTIF('2_Data_Pelanggan'!$P:$P,D78)&gt;0,"Terpasang","Stok/Belum Terpasang")</f>
        <v>Terpasang</v>
      </c>
      <c r="H78" s="170" t="str">
        <f t="array" ref="H78">IFERROR(INDEX('2_Data_Pelanggan'!$B:$B,MATCH(D78,'2_Data_Pelanggan'!$P:$P,0)),"-")</f>
        <v>ARM-0072</v>
      </c>
      <c r="I78" s="171" t="str">
        <f t="array" ref="I78">IFERROR(INDEX('2_Data_Pelanggan'!$D:$D,MATCH(D78,'2_Data_Pelanggan'!$P:$P,0)),"-")</f>
        <v>KARSINEM</v>
      </c>
      <c r="J78" s="172" t="s">
        <v>750</v>
      </c>
      <c r="K78" s="171" t="s">
        <v>1598</v>
      </c>
      <c r="L78" s="171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</row>
    <row r="79" ht="15.0" customHeight="1">
      <c r="A79" s="82">
        <v>71.0</v>
      </c>
      <c r="B79" s="82" t="s">
        <v>1596</v>
      </c>
      <c r="C79" s="82" t="s">
        <v>1597</v>
      </c>
      <c r="D79" s="82" t="s">
        <v>763</v>
      </c>
      <c r="E79" s="82" t="s">
        <v>764</v>
      </c>
      <c r="F79" s="168">
        <f t="array" ref="F79">IFERROR(INDEX('2_Data_Pelanggan'!$S:$S,MATCH(D79,'2_Data_Pelanggan'!$P:$P,0)),"")</f>
        <v>46162</v>
      </c>
      <c r="G79" s="169" t="str">
        <f>IF(COUNTIF('2_Data_Pelanggan'!$P:$P,D79)&gt;0,"Terpasang","Stok/Belum Terpasang")</f>
        <v>Terpasang</v>
      </c>
      <c r="H79" s="170" t="str">
        <f t="array" ref="H79">IFERROR(INDEX('2_Data_Pelanggan'!$B:$B,MATCH(D79,'2_Data_Pelanggan'!$P:$P,0)),"-")</f>
        <v>ARM-0073</v>
      </c>
      <c r="I79" s="171" t="str">
        <f t="array" ref="I79">IFERROR(INDEX('2_Data_Pelanggan'!$D:$D,MATCH(D79,'2_Data_Pelanggan'!$P:$P,0)),"-")</f>
        <v>RUSLITO</v>
      </c>
      <c r="J79" s="172" t="s">
        <v>758</v>
      </c>
      <c r="K79" s="171" t="s">
        <v>1598</v>
      </c>
      <c r="L79" s="171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</row>
    <row r="80" ht="15.0" customHeight="1">
      <c r="A80" s="76">
        <v>72.0</v>
      </c>
      <c r="B80" s="76" t="s">
        <v>1596</v>
      </c>
      <c r="C80" s="76" t="s">
        <v>1597</v>
      </c>
      <c r="D80" s="76" t="s">
        <v>770</v>
      </c>
      <c r="E80" s="76" t="s">
        <v>771</v>
      </c>
      <c r="F80" s="173">
        <f t="array" ref="F80">IFERROR(INDEX('2_Data_Pelanggan'!$S:$S,MATCH(D80,'2_Data_Pelanggan'!$P:$P,0)),"")</f>
        <v>46164</v>
      </c>
      <c r="G80" s="169" t="str">
        <f>IF(COUNTIF('2_Data_Pelanggan'!$P:$P,D80)&gt;0,"Terpasang","Stok/Belum Terpasang")</f>
        <v>Terpasang</v>
      </c>
      <c r="H80" s="170" t="str">
        <f t="array" ref="H80">IFERROR(INDEX('2_Data_Pelanggan'!$B:$B,MATCH(D80,'2_Data_Pelanggan'!$P:$P,0)),"-")</f>
        <v>ARM-0074</v>
      </c>
      <c r="I80" s="171" t="str">
        <f t="array" ref="I80">IFERROR(INDEX('2_Data_Pelanggan'!$D:$D,MATCH(D80,'2_Data_Pelanggan'!$P:$P,0)),"-")</f>
        <v>SUWOTO</v>
      </c>
      <c r="J80" s="172" t="s">
        <v>766</v>
      </c>
      <c r="K80" s="171" t="s">
        <v>1598</v>
      </c>
      <c r="L80" s="171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</row>
    <row r="81" ht="15.0" customHeight="1">
      <c r="A81" s="82">
        <v>73.0</v>
      </c>
      <c r="B81" s="82" t="s">
        <v>1596</v>
      </c>
      <c r="C81" s="82" t="s">
        <v>1597</v>
      </c>
      <c r="D81" s="82" t="s">
        <v>778</v>
      </c>
      <c r="E81" s="82" t="s">
        <v>779</v>
      </c>
      <c r="F81" s="168">
        <f t="array" ref="F81">IFERROR(INDEX('2_Data_Pelanggan'!$S:$S,MATCH(D81,'2_Data_Pelanggan'!$P:$P,0)),"")</f>
        <v>46164</v>
      </c>
      <c r="G81" s="169" t="str">
        <f>IF(COUNTIF('2_Data_Pelanggan'!$P:$P,D81)&gt;0,"Terpasang","Stok/Belum Terpasang")</f>
        <v>Terpasang</v>
      </c>
      <c r="H81" s="170" t="str">
        <f t="array" ref="H81">IFERROR(INDEX('2_Data_Pelanggan'!$B:$B,MATCH(D81,'2_Data_Pelanggan'!$P:$P,0)),"-")</f>
        <v>ARM-0075</v>
      </c>
      <c r="I81" s="171" t="str">
        <f t="array" ref="I81">IFERROR(INDEX('2_Data_Pelanggan'!$D:$D,MATCH(D81,'2_Data_Pelanggan'!$P:$P,0)),"-")</f>
        <v>MEI EKOWATI</v>
      </c>
      <c r="J81" s="172" t="s">
        <v>773</v>
      </c>
      <c r="K81" s="171" t="s">
        <v>1598</v>
      </c>
      <c r="L81" s="171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</row>
    <row r="82" ht="15.0" customHeight="1">
      <c r="A82" s="76">
        <v>74.0</v>
      </c>
      <c r="B82" s="76" t="s">
        <v>1596</v>
      </c>
      <c r="C82" s="76" t="s">
        <v>1597</v>
      </c>
      <c r="D82" s="76" t="s">
        <v>786</v>
      </c>
      <c r="E82" s="76" t="s">
        <v>787</v>
      </c>
      <c r="F82" s="173">
        <f t="array" ref="F82">IFERROR(INDEX('2_Data_Pelanggan'!$S:$S,MATCH(D82,'2_Data_Pelanggan'!$P:$P,0)),"")</f>
        <v>46165</v>
      </c>
      <c r="G82" s="169" t="str">
        <f>IF(COUNTIF('2_Data_Pelanggan'!$P:$P,D82)&gt;0,"Terpasang","Stok/Belum Terpasang")</f>
        <v>Terpasang</v>
      </c>
      <c r="H82" s="170" t="str">
        <f t="array" ref="H82">IFERROR(INDEX('2_Data_Pelanggan'!$B:$B,MATCH(D82,'2_Data_Pelanggan'!$P:$P,0)),"-")</f>
        <v>ARM-0076</v>
      </c>
      <c r="I82" s="171" t="str">
        <f t="array" ref="I82">IFERROR(INDEX('2_Data_Pelanggan'!$D:$D,MATCH(D82,'2_Data_Pelanggan'!$P:$P,0)),"-")</f>
        <v>BHANU CHRISSIE A</v>
      </c>
      <c r="J82" s="172" t="s">
        <v>781</v>
      </c>
      <c r="K82" s="171" t="s">
        <v>1598</v>
      </c>
      <c r="L82" s="171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</row>
    <row r="83" ht="15.0" customHeight="1">
      <c r="A83" s="82">
        <v>75.0</v>
      </c>
      <c r="B83" s="82" t="s">
        <v>1596</v>
      </c>
      <c r="C83" s="82" t="s">
        <v>1597</v>
      </c>
      <c r="D83" s="82" t="s">
        <v>794</v>
      </c>
      <c r="E83" s="82" t="s">
        <v>1603</v>
      </c>
      <c r="F83" s="168">
        <f t="array" ref="F83">IFERROR(INDEX('2_Data_Pelanggan'!$S:$S,MATCH(D83,'2_Data_Pelanggan'!$P:$P,0)),"")</f>
        <v>46165</v>
      </c>
      <c r="G83" s="169" t="str">
        <f>IF(COUNTIF('2_Data_Pelanggan'!$P:$P,D83)&gt;0,"Terpasang","Stok/Belum Terpasang")</f>
        <v>Terpasang</v>
      </c>
      <c r="H83" s="170" t="str">
        <f t="array" ref="H83">IFERROR(INDEX('2_Data_Pelanggan'!$B:$B,MATCH(D83,'2_Data_Pelanggan'!$P:$P,0)),"-")</f>
        <v>ARM-0077</v>
      </c>
      <c r="I83" s="171" t="str">
        <f t="array" ref="I83">IFERROR(INDEX('2_Data_Pelanggan'!$D:$D,MATCH(D83,'2_Data_Pelanggan'!$P:$P,0)),"-")</f>
        <v>BURHAN</v>
      </c>
      <c r="J83" s="172" t="s">
        <v>789</v>
      </c>
      <c r="K83" s="171" t="s">
        <v>1598</v>
      </c>
      <c r="L83" s="171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</row>
    <row r="84" ht="15.0" customHeight="1">
      <c r="A84" s="76">
        <v>76.0</v>
      </c>
      <c r="B84" s="76" t="s">
        <v>1596</v>
      </c>
      <c r="C84" s="76" t="s">
        <v>1597</v>
      </c>
      <c r="D84" s="76" t="s">
        <v>802</v>
      </c>
      <c r="E84" s="76" t="s">
        <v>803</v>
      </c>
      <c r="F84" s="173">
        <f t="array" ref="F84">IFERROR(INDEX('2_Data_Pelanggan'!$S:$S,MATCH(D84,'2_Data_Pelanggan'!$P:$P,0)),"")</f>
        <v>46165</v>
      </c>
      <c r="G84" s="169" t="str">
        <f>IF(COUNTIF('2_Data_Pelanggan'!$P:$P,D84)&gt;0,"Terpasang","Stok/Belum Terpasang")</f>
        <v>Terpasang</v>
      </c>
      <c r="H84" s="170" t="str">
        <f t="array" ref="H84">IFERROR(INDEX('2_Data_Pelanggan'!$B:$B,MATCH(D84,'2_Data_Pelanggan'!$P:$P,0)),"-")</f>
        <v>ARM-0078</v>
      </c>
      <c r="I84" s="171" t="str">
        <f t="array" ref="I84">IFERROR(INDEX('2_Data_Pelanggan'!$D:$D,MATCH(D84,'2_Data_Pelanggan'!$P:$P,0)),"-")</f>
        <v>RUMBINI</v>
      </c>
      <c r="J84" s="172" t="s">
        <v>797</v>
      </c>
      <c r="K84" s="171" t="s">
        <v>1598</v>
      </c>
      <c r="L84" s="171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</row>
    <row r="85" ht="15.0" customHeight="1">
      <c r="A85" s="82">
        <v>77.0</v>
      </c>
      <c r="B85" s="82" t="s">
        <v>1596</v>
      </c>
      <c r="C85" s="82" t="s">
        <v>1597</v>
      </c>
      <c r="D85" s="82" t="s">
        <v>810</v>
      </c>
      <c r="E85" s="82" t="s">
        <v>811</v>
      </c>
      <c r="F85" s="168">
        <f t="array" ref="F85">IFERROR(INDEX('2_Data_Pelanggan'!$S:$S,MATCH(D85,'2_Data_Pelanggan'!$P:$P,0)),"")</f>
        <v>46165</v>
      </c>
      <c r="G85" s="169" t="str">
        <f>IF(COUNTIF('2_Data_Pelanggan'!$P:$P,D85)&gt;0,"Terpasang","Stok/Belum Terpasang")</f>
        <v>Terpasang</v>
      </c>
      <c r="H85" s="170" t="str">
        <f t="array" ref="H85">IFERROR(INDEX('2_Data_Pelanggan'!$B:$B,MATCH(D85,'2_Data_Pelanggan'!$P:$P,0)),"-")</f>
        <v>ARM-0079</v>
      </c>
      <c r="I85" s="171" t="str">
        <f t="array" ref="I85">IFERROR(INDEX('2_Data_Pelanggan'!$D:$D,MATCH(D85,'2_Data_Pelanggan'!$P:$P,0)),"-")</f>
        <v>KASTINAH</v>
      </c>
      <c r="J85" s="172" t="s">
        <v>805</v>
      </c>
      <c r="K85" s="171" t="s">
        <v>1598</v>
      </c>
      <c r="L85" s="171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</row>
    <row r="86" ht="15.0" customHeight="1">
      <c r="A86" s="76">
        <v>78.0</v>
      </c>
      <c r="B86" s="76" t="s">
        <v>1596</v>
      </c>
      <c r="C86" s="76" t="s">
        <v>1597</v>
      </c>
      <c r="D86" s="76" t="s">
        <v>817</v>
      </c>
      <c r="E86" s="76" t="s">
        <v>818</v>
      </c>
      <c r="F86" s="173">
        <f t="array" ref="F86">IFERROR(INDEX('2_Data_Pelanggan'!$S:$S,MATCH(D86,'2_Data_Pelanggan'!$P:$P,0)),"")</f>
        <v>46166</v>
      </c>
      <c r="G86" s="169" t="str">
        <f>IF(COUNTIF('2_Data_Pelanggan'!$P:$P,D86)&gt;0,"Terpasang","Stok/Belum Terpasang")</f>
        <v>Terpasang</v>
      </c>
      <c r="H86" s="170" t="str">
        <f t="array" ref="H86">IFERROR(INDEX('2_Data_Pelanggan'!$B:$B,MATCH(D86,'2_Data_Pelanggan'!$P:$P,0)),"-")</f>
        <v>ARM-0080</v>
      </c>
      <c r="I86" s="171" t="str">
        <f t="array" ref="I86">IFERROR(INDEX('2_Data_Pelanggan'!$D:$D,MATCH(D86,'2_Data_Pelanggan'!$P:$P,0)),"-")</f>
        <v>IMAM SULISTIYO</v>
      </c>
      <c r="J86" s="172" t="s">
        <v>813</v>
      </c>
      <c r="K86" s="171" t="s">
        <v>1598</v>
      </c>
      <c r="L86" s="171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</row>
    <row r="87" ht="15.0" customHeight="1">
      <c r="A87" s="82">
        <v>79.0</v>
      </c>
      <c r="B87" s="82" t="s">
        <v>1596</v>
      </c>
      <c r="C87" s="82" t="s">
        <v>1597</v>
      </c>
      <c r="D87" s="82" t="s">
        <v>824</v>
      </c>
      <c r="E87" s="82" t="s">
        <v>825</v>
      </c>
      <c r="F87" s="168">
        <f t="array" ref="F87">IFERROR(INDEX('2_Data_Pelanggan'!$S:$S,MATCH(D87,'2_Data_Pelanggan'!$P:$P,0)),"")</f>
        <v>46166</v>
      </c>
      <c r="G87" s="169" t="str">
        <f>IF(COUNTIF('2_Data_Pelanggan'!$P:$P,D87)&gt;0,"Terpasang","Stok/Belum Terpasang")</f>
        <v>Terpasang</v>
      </c>
      <c r="H87" s="170" t="str">
        <f t="array" ref="H87">IFERROR(INDEX('2_Data_Pelanggan'!$B:$B,MATCH(D87,'2_Data_Pelanggan'!$P:$P,0)),"-")</f>
        <v>ARM-0081</v>
      </c>
      <c r="I87" s="171" t="str">
        <f t="array" ref="I87">IFERROR(INDEX('2_Data_Pelanggan'!$D:$D,MATCH(D87,'2_Data_Pelanggan'!$P:$P,0)),"-")</f>
        <v>SRI MARTINI - IMAM ST</v>
      </c>
      <c r="J87" s="172" t="s">
        <v>820</v>
      </c>
      <c r="K87" s="171" t="s">
        <v>1598</v>
      </c>
      <c r="L87" s="171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</row>
    <row r="88" ht="15.0" customHeight="1">
      <c r="A88" s="76">
        <v>80.0</v>
      </c>
      <c r="B88" s="76" t="s">
        <v>1596</v>
      </c>
      <c r="C88" s="76" t="s">
        <v>1597</v>
      </c>
      <c r="D88" s="76" t="s">
        <v>832</v>
      </c>
      <c r="E88" s="76" t="s">
        <v>833</v>
      </c>
      <c r="F88" s="173">
        <f t="array" ref="F88">IFERROR(INDEX('2_Data_Pelanggan'!$S:$S,MATCH(D88,'2_Data_Pelanggan'!$P:$P,0)),"")</f>
        <v>46166</v>
      </c>
      <c r="G88" s="169" t="str">
        <f>IF(COUNTIF('2_Data_Pelanggan'!$P:$P,D88)&gt;0,"Terpasang","Stok/Belum Terpasang")</f>
        <v>Terpasang</v>
      </c>
      <c r="H88" s="170" t="str">
        <f t="array" ref="H88">IFERROR(INDEX('2_Data_Pelanggan'!$B:$B,MATCH(D88,'2_Data_Pelanggan'!$P:$P,0)),"-")</f>
        <v>ARM-0082</v>
      </c>
      <c r="I88" s="171" t="str">
        <f t="array" ref="I88">IFERROR(INDEX('2_Data_Pelanggan'!$D:$D,MATCH(D88,'2_Data_Pelanggan'!$P:$P,0)),"-")</f>
        <v>ANJAR NUTRASARI</v>
      </c>
      <c r="J88" s="172" t="s">
        <v>827</v>
      </c>
      <c r="K88" s="171" t="s">
        <v>1598</v>
      </c>
      <c r="L88" s="171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</row>
    <row r="89" ht="15.0" customHeight="1">
      <c r="A89" s="82">
        <v>81.0</v>
      </c>
      <c r="B89" s="82" t="s">
        <v>1596</v>
      </c>
      <c r="C89" s="82" t="s">
        <v>1597</v>
      </c>
      <c r="D89" s="82" t="s">
        <v>840</v>
      </c>
      <c r="E89" s="82" t="s">
        <v>841</v>
      </c>
      <c r="F89" s="168">
        <f t="array" ref="F89">IFERROR(INDEX('2_Data_Pelanggan'!$S:$S,MATCH(D89,'2_Data_Pelanggan'!$P:$P,0)),"")</f>
        <v>46167</v>
      </c>
      <c r="G89" s="169" t="str">
        <f>IF(COUNTIF('2_Data_Pelanggan'!$P:$P,D89)&gt;0,"Terpasang","Stok/Belum Terpasang")</f>
        <v>Terpasang</v>
      </c>
      <c r="H89" s="170" t="str">
        <f t="array" ref="H89">IFERROR(INDEX('2_Data_Pelanggan'!$B:$B,MATCH(D89,'2_Data_Pelanggan'!$P:$P,0)),"-")</f>
        <v>ARM-0083</v>
      </c>
      <c r="I89" s="171" t="str">
        <f t="array" ref="I89">IFERROR(INDEX('2_Data_Pelanggan'!$D:$D,MATCH(D89,'2_Data_Pelanggan'!$P:$P,0)),"-")</f>
        <v>NASIM-TURYATI</v>
      </c>
      <c r="J89" s="172" t="s">
        <v>835</v>
      </c>
      <c r="K89" s="171" t="s">
        <v>1598</v>
      </c>
      <c r="L89" s="171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</row>
    <row r="90" ht="15.0" customHeight="1">
      <c r="A90" s="76">
        <v>82.0</v>
      </c>
      <c r="B90" s="76" t="s">
        <v>1596</v>
      </c>
      <c r="C90" s="76" t="s">
        <v>1597</v>
      </c>
      <c r="D90" s="76" t="s">
        <v>848</v>
      </c>
      <c r="E90" s="76" t="s">
        <v>849</v>
      </c>
      <c r="F90" s="173">
        <f t="array" ref="F90">IFERROR(INDEX('2_Data_Pelanggan'!$S:$S,MATCH(D90,'2_Data_Pelanggan'!$P:$P,0)),"")</f>
        <v>46167</v>
      </c>
      <c r="G90" s="169" t="str">
        <f>IF(COUNTIF('2_Data_Pelanggan'!$P:$P,D90)&gt;0,"Terpasang","Stok/Belum Terpasang")</f>
        <v>Terpasang</v>
      </c>
      <c r="H90" s="170" t="str">
        <f t="array" ref="H90">IFERROR(INDEX('2_Data_Pelanggan'!$B:$B,MATCH(D90,'2_Data_Pelanggan'!$P:$P,0)),"-")</f>
        <v>ARM-0084</v>
      </c>
      <c r="I90" s="171" t="str">
        <f t="array" ref="I90">IFERROR(INDEX('2_Data_Pelanggan'!$D:$D,MATCH(D90,'2_Data_Pelanggan'!$P:$P,0)),"-")</f>
        <v>KELURAHAN GUMELAR</v>
      </c>
      <c r="J90" s="172" t="s">
        <v>843</v>
      </c>
      <c r="K90" s="171" t="s">
        <v>1598</v>
      </c>
      <c r="L90" s="171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</row>
    <row r="91" ht="15.0" customHeight="1">
      <c r="A91" s="82">
        <v>83.0</v>
      </c>
      <c r="B91" s="82" t="s">
        <v>1596</v>
      </c>
      <c r="C91" s="82" t="s">
        <v>1597</v>
      </c>
      <c r="D91" s="82" t="s">
        <v>856</v>
      </c>
      <c r="E91" s="82" t="s">
        <v>857</v>
      </c>
      <c r="F91" s="168">
        <f t="array" ref="F91">IFERROR(INDEX('2_Data_Pelanggan'!$S:$S,MATCH(D91,'2_Data_Pelanggan'!$P:$P,0)),"")</f>
        <v>46167</v>
      </c>
      <c r="G91" s="169" t="str">
        <f>IF(COUNTIF('2_Data_Pelanggan'!$P:$P,D91)&gt;0,"Terpasang","Stok/Belum Terpasang")</f>
        <v>Terpasang</v>
      </c>
      <c r="H91" s="170" t="str">
        <f t="array" ref="H91">IFERROR(INDEX('2_Data_Pelanggan'!$B:$B,MATCH(D91,'2_Data_Pelanggan'!$P:$P,0)),"-")</f>
        <v>ARM-0085</v>
      </c>
      <c r="I91" s="171" t="str">
        <f t="array" ref="I91">IFERROR(INDEX('2_Data_Pelanggan'!$D:$D,MATCH(D91,'2_Data_Pelanggan'!$P:$P,0)),"-")</f>
        <v>BAMBANG IRAWAN</v>
      </c>
      <c r="J91" s="172" t="s">
        <v>851</v>
      </c>
      <c r="K91" s="171" t="s">
        <v>1598</v>
      </c>
      <c r="L91" s="171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</row>
    <row r="92" ht="15.0" customHeight="1">
      <c r="A92" s="76">
        <v>84.0</v>
      </c>
      <c r="B92" s="76" t="s">
        <v>1596</v>
      </c>
      <c r="C92" s="76" t="s">
        <v>1597</v>
      </c>
      <c r="D92" s="76" t="s">
        <v>864</v>
      </c>
      <c r="E92" s="76" t="s">
        <v>865</v>
      </c>
      <c r="F92" s="173">
        <f t="array" ref="F92">IFERROR(INDEX('2_Data_Pelanggan'!$S:$S,MATCH(D92,'2_Data_Pelanggan'!$P:$P,0)),"")</f>
        <v>46171</v>
      </c>
      <c r="G92" s="169" t="str">
        <f>IF(COUNTIF('2_Data_Pelanggan'!$P:$P,D92)&gt;0,"Terpasang","Stok/Belum Terpasang")</f>
        <v>Terpasang</v>
      </c>
      <c r="H92" s="170" t="str">
        <f t="array" ref="H92">IFERROR(INDEX('2_Data_Pelanggan'!$B:$B,MATCH(D92,'2_Data_Pelanggan'!$P:$P,0)),"-")</f>
        <v>ARM-0086</v>
      </c>
      <c r="I92" s="171" t="str">
        <f t="array" ref="I92">IFERROR(INDEX('2_Data_Pelanggan'!$D:$D,MATCH(D92,'2_Data_Pelanggan'!$P:$P,0)),"-")</f>
        <v>AKHMAD NURYADIN</v>
      </c>
      <c r="J92" s="172" t="s">
        <v>859</v>
      </c>
      <c r="K92" s="171" t="s">
        <v>1598</v>
      </c>
      <c r="L92" s="171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</row>
    <row r="93" ht="15.0" customHeight="1">
      <c r="A93" s="82">
        <v>85.0</v>
      </c>
      <c r="B93" s="82" t="s">
        <v>1596</v>
      </c>
      <c r="C93" s="82" t="s">
        <v>1597</v>
      </c>
      <c r="D93" s="82" t="s">
        <v>872</v>
      </c>
      <c r="E93" s="82" t="s">
        <v>873</v>
      </c>
      <c r="F93" s="168">
        <f t="array" ref="F93">IFERROR(INDEX('2_Data_Pelanggan'!$S:$S,MATCH(D93,'2_Data_Pelanggan'!$P:$P,0)),"")</f>
        <v>46172</v>
      </c>
      <c r="G93" s="169" t="str">
        <f>IF(COUNTIF('2_Data_Pelanggan'!$P:$P,D93)&gt;0,"Terpasang","Stok/Belum Terpasang")</f>
        <v>Terpasang</v>
      </c>
      <c r="H93" s="170" t="str">
        <f t="array" ref="H93">IFERROR(INDEX('2_Data_Pelanggan'!$B:$B,MATCH(D93,'2_Data_Pelanggan'!$P:$P,0)),"-")</f>
        <v>ARM-0087</v>
      </c>
      <c r="I93" s="171" t="str">
        <f t="array" ref="I93">IFERROR(INDEX('2_Data_Pelanggan'!$D:$D,MATCH(D93,'2_Data_Pelanggan'!$P:$P,0)),"-")</f>
        <v>WHELLY WALUYO</v>
      </c>
      <c r="J93" s="172" t="s">
        <v>867</v>
      </c>
      <c r="K93" s="171" t="s">
        <v>1598</v>
      </c>
      <c r="L93" s="171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</row>
    <row r="94" ht="15.0" customHeight="1">
      <c r="A94" s="76">
        <v>86.0</v>
      </c>
      <c r="B94" s="76" t="s">
        <v>1596</v>
      </c>
      <c r="C94" s="76" t="s">
        <v>1597</v>
      </c>
      <c r="D94" s="76" t="s">
        <v>880</v>
      </c>
      <c r="E94" s="76" t="s">
        <v>881</v>
      </c>
      <c r="F94" s="173">
        <f t="array" ref="F94">IFERROR(INDEX('2_Data_Pelanggan'!$S:$S,MATCH(D94,'2_Data_Pelanggan'!$P:$P,0)),"")</f>
        <v>46172</v>
      </c>
      <c r="G94" s="169" t="str">
        <f>IF(COUNTIF('2_Data_Pelanggan'!$P:$P,D94)&gt;0,"Terpasang","Stok/Belum Terpasang")</f>
        <v>Terpasang</v>
      </c>
      <c r="H94" s="170" t="str">
        <f t="array" ref="H94">IFERROR(INDEX('2_Data_Pelanggan'!$B:$B,MATCH(D94,'2_Data_Pelanggan'!$P:$P,0)),"-")</f>
        <v>ARM-0088</v>
      </c>
      <c r="I94" s="171" t="str">
        <f t="array" ref="I94">IFERROR(INDEX('2_Data_Pelanggan'!$D:$D,MATCH(D94,'2_Data_Pelanggan'!$P:$P,0)),"-")</f>
        <v>NEDJMA FELAMAYA</v>
      </c>
      <c r="J94" s="172" t="s">
        <v>875</v>
      </c>
      <c r="K94" s="171" t="s">
        <v>1598</v>
      </c>
      <c r="L94" s="171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</row>
    <row r="95" ht="15.0" customHeight="1">
      <c r="A95" s="82">
        <v>87.0</v>
      </c>
      <c r="B95" s="82" t="s">
        <v>1596</v>
      </c>
      <c r="C95" s="82" t="s">
        <v>1597</v>
      </c>
      <c r="D95" s="82" t="s">
        <v>888</v>
      </c>
      <c r="E95" s="82" t="s">
        <v>889</v>
      </c>
      <c r="F95" s="168">
        <f t="array" ref="F95">IFERROR(INDEX('2_Data_Pelanggan'!$S:$S,MATCH(D95,'2_Data_Pelanggan'!$P:$P,0)),"")</f>
        <v>46173</v>
      </c>
      <c r="G95" s="169" t="str">
        <f>IF(COUNTIF('2_Data_Pelanggan'!$P:$P,D95)&gt;0,"Terpasang","Stok/Belum Terpasang")</f>
        <v>Terpasang</v>
      </c>
      <c r="H95" s="170" t="str">
        <f t="array" ref="H95">IFERROR(INDEX('2_Data_Pelanggan'!$B:$B,MATCH(D95,'2_Data_Pelanggan'!$P:$P,0)),"-")</f>
        <v>ARM-0089</v>
      </c>
      <c r="I95" s="171" t="str">
        <f t="array" ref="I95">IFERROR(INDEX('2_Data_Pelanggan'!$D:$D,MATCH(D95,'2_Data_Pelanggan'!$P:$P,0)),"-")</f>
        <v>DARYONO</v>
      </c>
      <c r="J95" s="172" t="s">
        <v>883</v>
      </c>
      <c r="K95" s="171" t="s">
        <v>1598</v>
      </c>
      <c r="L95" s="171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</row>
    <row r="96" ht="15.0" customHeight="1">
      <c r="A96" s="76">
        <v>88.0</v>
      </c>
      <c r="B96" s="76" t="s">
        <v>1596</v>
      </c>
      <c r="C96" s="76" t="s">
        <v>1597</v>
      </c>
      <c r="D96" s="76" t="s">
        <v>895</v>
      </c>
      <c r="E96" s="76" t="s">
        <v>896</v>
      </c>
      <c r="F96" s="173">
        <f t="array" ref="F96">IFERROR(INDEX('2_Data_Pelanggan'!$S:$S,MATCH(D96,'2_Data_Pelanggan'!$P:$P,0)),"")</f>
        <v>46174</v>
      </c>
      <c r="G96" s="169" t="str">
        <f>IF(COUNTIF('2_Data_Pelanggan'!$P:$P,D96)&gt;0,"Terpasang","Stok/Belum Terpasang")</f>
        <v>Terpasang</v>
      </c>
      <c r="H96" s="170" t="str">
        <f t="array" ref="H96">IFERROR(INDEX('2_Data_Pelanggan'!$B:$B,MATCH(D96,'2_Data_Pelanggan'!$P:$P,0)),"-")</f>
        <v>ARM-0090</v>
      </c>
      <c r="I96" s="171" t="str">
        <f t="array" ref="I96">IFERROR(INDEX('2_Data_Pelanggan'!$D:$D,MATCH(D96,'2_Data_Pelanggan'!$P:$P,0)),"-")</f>
        <v>TARSIMAN</v>
      </c>
      <c r="J96" s="172" t="s">
        <v>891</v>
      </c>
      <c r="K96" s="171" t="s">
        <v>1598</v>
      </c>
      <c r="L96" s="171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</row>
    <row r="97" ht="15.0" customHeight="1">
      <c r="A97" s="82">
        <v>89.0</v>
      </c>
      <c r="B97" s="82" t="s">
        <v>1596</v>
      </c>
      <c r="C97" s="82" t="s">
        <v>1597</v>
      </c>
      <c r="D97" s="82" t="s">
        <v>903</v>
      </c>
      <c r="E97" s="82" t="s">
        <v>904</v>
      </c>
      <c r="F97" s="168">
        <f t="array" ref="F97">IFERROR(INDEX('2_Data_Pelanggan'!$S:$S,MATCH(D97,'2_Data_Pelanggan'!$P:$P,0)),"")</f>
        <v>46174</v>
      </c>
      <c r="G97" s="169" t="str">
        <f>IF(COUNTIF('2_Data_Pelanggan'!$P:$P,D97)&gt;0,"Terpasang","Stok/Belum Terpasang")</f>
        <v>Terpasang</v>
      </c>
      <c r="H97" s="170" t="str">
        <f t="array" ref="H97">IFERROR(INDEX('2_Data_Pelanggan'!$B:$B,MATCH(D97,'2_Data_Pelanggan'!$P:$P,0)),"-")</f>
        <v>ARM-0091</v>
      </c>
      <c r="I97" s="171" t="str">
        <f t="array" ref="I97">IFERROR(INDEX('2_Data_Pelanggan'!$D:$D,MATCH(D97,'2_Data_Pelanggan'!$P:$P,0)),"-")</f>
        <v>DARILAH</v>
      </c>
      <c r="J97" s="172" t="s">
        <v>898</v>
      </c>
      <c r="K97" s="171" t="s">
        <v>1598</v>
      </c>
      <c r="L97" s="171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</row>
    <row r="98" ht="15.0" customHeight="1">
      <c r="A98" s="76">
        <v>90.0</v>
      </c>
      <c r="B98" s="76" t="s">
        <v>1596</v>
      </c>
      <c r="C98" s="76" t="s">
        <v>1597</v>
      </c>
      <c r="D98" s="76" t="s">
        <v>911</v>
      </c>
      <c r="E98" s="76" t="s">
        <v>912</v>
      </c>
      <c r="F98" s="173">
        <f t="array" ref="F98">IFERROR(INDEX('2_Data_Pelanggan'!$S:$S,MATCH(D98,'2_Data_Pelanggan'!$P:$P,0)),"")</f>
        <v>46175</v>
      </c>
      <c r="G98" s="169" t="str">
        <f>IF(COUNTIF('2_Data_Pelanggan'!$P:$P,D98)&gt;0,"Terpasang","Stok/Belum Terpasang")</f>
        <v>Terpasang</v>
      </c>
      <c r="H98" s="170" t="str">
        <f t="array" ref="H98">IFERROR(INDEX('2_Data_Pelanggan'!$B:$B,MATCH(D98,'2_Data_Pelanggan'!$P:$P,0)),"-")</f>
        <v>ARM-0092</v>
      </c>
      <c r="I98" s="171" t="str">
        <f t="array" ref="I98">IFERROR(INDEX('2_Data_Pelanggan'!$D:$D,MATCH(D98,'2_Data_Pelanggan'!$P:$P,0)),"-")</f>
        <v>RAHAYU FAJAR S</v>
      </c>
      <c r="J98" s="172" t="s">
        <v>906</v>
      </c>
      <c r="K98" s="171" t="s">
        <v>1598</v>
      </c>
      <c r="L98" s="171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</row>
    <row r="99" ht="15.0" customHeight="1">
      <c r="A99" s="82">
        <v>91.0</v>
      </c>
      <c r="B99" s="82" t="s">
        <v>1596</v>
      </c>
      <c r="C99" s="82" t="s">
        <v>1597</v>
      </c>
      <c r="D99" s="82" t="s">
        <v>919</v>
      </c>
      <c r="E99" s="82" t="s">
        <v>920</v>
      </c>
      <c r="F99" s="168">
        <f t="array" ref="F99">IFERROR(INDEX('2_Data_Pelanggan'!$S:$S,MATCH(D99,'2_Data_Pelanggan'!$P:$P,0)),"")</f>
        <v>46177</v>
      </c>
      <c r="G99" s="169" t="str">
        <f>IF(COUNTIF('2_Data_Pelanggan'!$P:$P,D99)&gt;0,"Terpasang","Stok/Belum Terpasang")</f>
        <v>Terpasang</v>
      </c>
      <c r="H99" s="170" t="str">
        <f t="array" ref="H99">IFERROR(INDEX('2_Data_Pelanggan'!$B:$B,MATCH(D99,'2_Data_Pelanggan'!$P:$P,0)),"-")</f>
        <v>ARM-0093</v>
      </c>
      <c r="I99" s="171" t="str">
        <f t="array" ref="I99">IFERROR(INDEX('2_Data_Pelanggan'!$D:$D,MATCH(D99,'2_Data_Pelanggan'!$P:$P,0)),"-")</f>
        <v>RATIMAN</v>
      </c>
      <c r="J99" s="172" t="s">
        <v>914</v>
      </c>
      <c r="K99" s="171" t="s">
        <v>1598</v>
      </c>
      <c r="L99" s="171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</row>
    <row r="100" ht="15.0" customHeight="1">
      <c r="A100" s="76">
        <v>92.0</v>
      </c>
      <c r="B100" s="76" t="s">
        <v>1596</v>
      </c>
      <c r="C100" s="76" t="s">
        <v>1597</v>
      </c>
      <c r="D100" s="76" t="s">
        <v>927</v>
      </c>
      <c r="E100" s="76" t="s">
        <v>928</v>
      </c>
      <c r="F100" s="173">
        <f t="array" ref="F100">IFERROR(INDEX('2_Data_Pelanggan'!$S:$S,MATCH(D100,'2_Data_Pelanggan'!$P:$P,0)),"")</f>
        <v>46177</v>
      </c>
      <c r="G100" s="169" t="str">
        <f>IF(COUNTIF('2_Data_Pelanggan'!$P:$P,D100)&gt;0,"Terpasang","Stok/Belum Terpasang")</f>
        <v>Terpasang</v>
      </c>
      <c r="H100" s="170" t="str">
        <f t="array" ref="H100">IFERROR(INDEX('2_Data_Pelanggan'!$B:$B,MATCH(D100,'2_Data_Pelanggan'!$P:$P,0)),"-")</f>
        <v>ARM-0094</v>
      </c>
      <c r="I100" s="171" t="str">
        <f t="array" ref="I100">IFERROR(INDEX('2_Data_Pelanggan'!$D:$D,MATCH(D100,'2_Data_Pelanggan'!$P:$P,0)),"-")</f>
        <v>KAMSU</v>
      </c>
      <c r="J100" s="172" t="s">
        <v>922</v>
      </c>
      <c r="K100" s="171" t="s">
        <v>1598</v>
      </c>
      <c r="L100" s="171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</row>
    <row r="101" ht="15.0" customHeight="1">
      <c r="A101" s="82">
        <v>93.0</v>
      </c>
      <c r="B101" s="82" t="s">
        <v>1596</v>
      </c>
      <c r="C101" s="82" t="s">
        <v>1597</v>
      </c>
      <c r="D101" s="82" t="s">
        <v>1604</v>
      </c>
      <c r="E101" s="82" t="s">
        <v>935</v>
      </c>
      <c r="F101" s="168" t="str">
        <f t="array" ref="F101">IFERROR(INDEX('2_Data_Pelanggan'!$S:$S,MATCH(D101,'2_Data_Pelanggan'!$P:$P,0)),"")</f>
        <v/>
      </c>
      <c r="G101" s="169" t="str">
        <f>IF(COUNTIF('2_Data_Pelanggan'!$P:$P,D101)&gt;0,"Terpasang","Stok/Belum Terpasang")</f>
        <v>Stok/Belum Terpasang</v>
      </c>
      <c r="H101" s="170" t="str">
        <f t="array" ref="H101">IFERROR(INDEX('2_Data_Pelanggan'!$B:$B,MATCH(D101,'2_Data_Pelanggan'!$P:$P,0)),"-")</f>
        <v>-</v>
      </c>
      <c r="I101" s="171" t="str">
        <f t="array" ref="I101">IFERROR(INDEX('2_Data_Pelanggan'!$D:$D,MATCH(D101,'2_Data_Pelanggan'!$P:$P,0)),"-")</f>
        <v>-</v>
      </c>
      <c r="J101" s="172" t="s">
        <v>1605</v>
      </c>
      <c r="K101" s="171" t="s">
        <v>1598</v>
      </c>
      <c r="L101" s="171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</row>
    <row r="102" ht="15.0" customHeight="1">
      <c r="A102" s="76">
        <v>94.0</v>
      </c>
      <c r="B102" s="76" t="s">
        <v>1596</v>
      </c>
      <c r="C102" s="76" t="s">
        <v>1597</v>
      </c>
      <c r="D102" s="76" t="s">
        <v>934</v>
      </c>
      <c r="E102" s="76" t="s">
        <v>943</v>
      </c>
      <c r="F102" s="173">
        <f t="array" ref="F102">IFERROR(INDEX('2_Data_Pelanggan'!$S:$S,MATCH(D102,'2_Data_Pelanggan'!$P:$P,0)),"")</f>
        <v>46180</v>
      </c>
      <c r="G102" s="169" t="str">
        <f>IF(COUNTIF('2_Data_Pelanggan'!$P:$P,D102)&gt;0,"Terpasang","Stok/Belum Terpasang")</f>
        <v>Terpasang</v>
      </c>
      <c r="H102" s="170" t="str">
        <f t="array" ref="H102">IFERROR(INDEX('2_Data_Pelanggan'!$B:$B,MATCH(D102,'2_Data_Pelanggan'!$P:$P,0)),"-")</f>
        <v>ARM-0095</v>
      </c>
      <c r="I102" s="171" t="str">
        <f t="array" ref="I102">IFERROR(INDEX('2_Data_Pelanggan'!$D:$D,MATCH(D102,'2_Data_Pelanggan'!$P:$P,0)),"-")</f>
        <v>SLAMET WALUYO</v>
      </c>
      <c r="J102" s="172" t="s">
        <v>930</v>
      </c>
      <c r="K102" s="171" t="s">
        <v>1598</v>
      </c>
      <c r="L102" s="171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</row>
    <row r="103" ht="15.0" customHeight="1">
      <c r="A103" s="82">
        <v>95.0</v>
      </c>
      <c r="B103" s="82" t="s">
        <v>1596</v>
      </c>
      <c r="C103" s="82" t="s">
        <v>1597</v>
      </c>
      <c r="D103" s="82" t="s">
        <v>942</v>
      </c>
      <c r="E103" s="73"/>
      <c r="F103" s="168">
        <f t="array" ref="F103">IFERROR(INDEX('2_Data_Pelanggan'!$S:$S,MATCH(D103,'2_Data_Pelanggan'!$P:$P,0)),"")</f>
        <v>46180</v>
      </c>
      <c r="G103" s="169" t="str">
        <f>IF(COUNTIF('2_Data_Pelanggan'!$P:$P,D103)&gt;0,"Terpasang","Stok/Belum Terpasang")</f>
        <v>Terpasang</v>
      </c>
      <c r="H103" s="170" t="str">
        <f t="array" ref="H103">IFERROR(INDEX('2_Data_Pelanggan'!$B:$B,MATCH(D103,'2_Data_Pelanggan'!$P:$P,0)),"-")</f>
        <v>ARM-0096</v>
      </c>
      <c r="I103" s="171" t="str">
        <f t="array" ref="I103">IFERROR(INDEX('2_Data_Pelanggan'!$D:$D,MATCH(D103,'2_Data_Pelanggan'!$P:$P,0)),"-")</f>
        <v>NENI PONCOWATI</v>
      </c>
      <c r="J103" s="172" t="s">
        <v>937</v>
      </c>
      <c r="K103" s="171" t="s">
        <v>1598</v>
      </c>
      <c r="L103" s="171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</row>
    <row r="104" ht="15.0" customHeight="1">
      <c r="A104" s="76">
        <v>96.0</v>
      </c>
      <c r="B104" s="76" t="s">
        <v>1596</v>
      </c>
      <c r="C104" s="76" t="s">
        <v>1597</v>
      </c>
      <c r="D104" s="76" t="s">
        <v>950</v>
      </c>
      <c r="E104" s="119"/>
      <c r="F104" s="173">
        <f t="array" ref="F104">IFERROR(INDEX('2_Data_Pelanggan'!$S:$S,MATCH(D104,'2_Data_Pelanggan'!$P:$P,0)),"")</f>
        <v>46181</v>
      </c>
      <c r="G104" s="169" t="str">
        <f>IF(COUNTIF('2_Data_Pelanggan'!$P:$P,D104)&gt;0,"Terpasang","Stok/Belum Terpasang")</f>
        <v>Terpasang</v>
      </c>
      <c r="H104" s="170" t="str">
        <f t="array" ref="H104">IFERROR(INDEX('2_Data_Pelanggan'!$B:$B,MATCH(D104,'2_Data_Pelanggan'!$P:$P,0)),"-")</f>
        <v>ARM-0097</v>
      </c>
      <c r="I104" s="171" t="str">
        <f t="array" ref="I104">IFERROR(INDEX('2_Data_Pelanggan'!$D:$D,MATCH(D104,'2_Data_Pelanggan'!$P:$P,0)),"-")</f>
        <v>DITO SUDITO</v>
      </c>
      <c r="J104" s="172" t="s">
        <v>945</v>
      </c>
      <c r="K104" s="171" t="s">
        <v>1598</v>
      </c>
      <c r="L104" s="171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</row>
    <row r="105" ht="15.0" customHeight="1">
      <c r="A105" s="82">
        <v>97.0</v>
      </c>
      <c r="B105" s="82" t="s">
        <v>1596</v>
      </c>
      <c r="C105" s="82" t="s">
        <v>1597</v>
      </c>
      <c r="D105" s="82" t="s">
        <v>957</v>
      </c>
      <c r="E105" s="73"/>
      <c r="F105" s="168">
        <f t="array" ref="F105">IFERROR(INDEX('2_Data_Pelanggan'!$S:$S,MATCH(D105,'2_Data_Pelanggan'!$P:$P,0)),"")</f>
        <v>46181</v>
      </c>
      <c r="G105" s="169" t="str">
        <f>IF(COUNTIF('2_Data_Pelanggan'!$P:$P,D105)&gt;0,"Terpasang","Stok/Belum Terpasang")</f>
        <v>Terpasang</v>
      </c>
      <c r="H105" s="170" t="str">
        <f t="array" ref="H105">IFERROR(INDEX('2_Data_Pelanggan'!$B:$B,MATCH(D105,'2_Data_Pelanggan'!$P:$P,0)),"-")</f>
        <v>ARM-0098</v>
      </c>
      <c r="I105" s="171" t="str">
        <f t="array" ref="I105">IFERROR(INDEX('2_Data_Pelanggan'!$D:$D,MATCH(D105,'2_Data_Pelanggan'!$P:$P,0)),"-")</f>
        <v>MURNIATI</v>
      </c>
      <c r="J105" s="172" t="s">
        <v>953</v>
      </c>
      <c r="K105" s="171" t="s">
        <v>1598</v>
      </c>
      <c r="L105" s="171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</row>
    <row r="106" ht="15.0" customHeight="1">
      <c r="A106" s="76">
        <v>98.0</v>
      </c>
      <c r="B106" s="76" t="s">
        <v>1596</v>
      </c>
      <c r="C106" s="76" t="s">
        <v>1597</v>
      </c>
      <c r="D106" s="76" t="s">
        <v>965</v>
      </c>
      <c r="E106" s="119"/>
      <c r="F106" s="173">
        <f t="array" ref="F106">IFERROR(INDEX('2_Data_Pelanggan'!$S:$S,MATCH(D106,'2_Data_Pelanggan'!$P:$P,0)),"")</f>
        <v>46183</v>
      </c>
      <c r="G106" s="169" t="str">
        <f>IF(COUNTIF('2_Data_Pelanggan'!$P:$P,D106)&gt;0,"Terpasang","Stok/Belum Terpasang")</f>
        <v>Terpasang</v>
      </c>
      <c r="H106" s="170" t="str">
        <f t="array" ref="H106">IFERROR(INDEX('2_Data_Pelanggan'!$B:$B,MATCH(D106,'2_Data_Pelanggan'!$P:$P,0)),"-")</f>
        <v>ARM-0099</v>
      </c>
      <c r="I106" s="171" t="str">
        <f t="array" ref="I106">IFERROR(INDEX('2_Data_Pelanggan'!$D:$D,MATCH(D106,'2_Data_Pelanggan'!$P:$P,0)),"-")</f>
        <v>WONDO PRABOWO</v>
      </c>
      <c r="J106" s="172" t="s">
        <v>960</v>
      </c>
      <c r="K106" s="171" t="s">
        <v>1598</v>
      </c>
      <c r="L106" s="171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</row>
    <row r="107" ht="15.0" customHeight="1">
      <c r="A107" s="82">
        <v>99.0</v>
      </c>
      <c r="B107" s="82" t="s">
        <v>1596</v>
      </c>
      <c r="C107" s="82" t="s">
        <v>1597</v>
      </c>
      <c r="D107" s="82" t="s">
        <v>973</v>
      </c>
      <c r="E107" s="73"/>
      <c r="F107" s="168">
        <f t="array" ref="F107">IFERROR(INDEX('2_Data_Pelanggan'!$S:$S,MATCH(D107,'2_Data_Pelanggan'!$P:$P,0)),"")</f>
        <v>46186</v>
      </c>
      <c r="G107" s="169" t="str">
        <f>IF(COUNTIF('2_Data_Pelanggan'!$P:$P,D107)&gt;0,"Terpasang","Stok/Belum Terpasang")</f>
        <v>Terpasang</v>
      </c>
      <c r="H107" s="170" t="str">
        <f t="array" ref="H107">IFERROR(INDEX('2_Data_Pelanggan'!$B:$B,MATCH(D107,'2_Data_Pelanggan'!$P:$P,0)),"-")</f>
        <v>ARM-0100</v>
      </c>
      <c r="I107" s="171" t="str">
        <f t="array" ref="I107">IFERROR(INDEX('2_Data_Pelanggan'!$D:$D,MATCH(D107,'2_Data_Pelanggan'!$P:$P,0)),"-")</f>
        <v>MUHAMMAD ABDUR</v>
      </c>
      <c r="J107" s="172" t="s">
        <v>968</v>
      </c>
      <c r="K107" s="171" t="s">
        <v>1598</v>
      </c>
      <c r="L107" s="171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</row>
    <row r="108" ht="15.0" customHeight="1">
      <c r="A108" s="76">
        <v>100.0</v>
      </c>
      <c r="B108" s="76" t="s">
        <v>1596</v>
      </c>
      <c r="C108" s="76" t="s">
        <v>1597</v>
      </c>
      <c r="D108" s="76" t="s">
        <v>981</v>
      </c>
      <c r="E108" s="119"/>
      <c r="F108" s="173">
        <f t="array" ref="F108">IFERROR(INDEX('2_Data_Pelanggan'!$S:$S,MATCH(D108,'2_Data_Pelanggan'!$P:$P,0)),"")</f>
        <v>46187</v>
      </c>
      <c r="G108" s="169" t="str">
        <f>IF(COUNTIF('2_Data_Pelanggan'!$P:$P,D108)&gt;0,"Terpasang","Stok/Belum Terpasang")</f>
        <v>Terpasang</v>
      </c>
      <c r="H108" s="170" t="str">
        <f t="array" ref="H108">IFERROR(INDEX('2_Data_Pelanggan'!$B:$B,MATCH(D108,'2_Data_Pelanggan'!$P:$P,0)),"-")</f>
        <v>ARM-0101</v>
      </c>
      <c r="I108" s="171" t="str">
        <f t="array" ref="I108">IFERROR(INDEX('2_Data_Pelanggan'!$D:$D,MATCH(D108,'2_Data_Pelanggan'!$P:$P,0)),"-")</f>
        <v>DURYATI</v>
      </c>
      <c r="J108" s="172" t="s">
        <v>976</v>
      </c>
      <c r="K108" s="171" t="s">
        <v>1598</v>
      </c>
      <c r="L108" s="171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</row>
    <row r="109" ht="15.0" customHeight="1">
      <c r="A109" s="82">
        <v>101.0</v>
      </c>
      <c r="B109" s="82" t="s">
        <v>1596</v>
      </c>
      <c r="C109" s="82" t="s">
        <v>1597</v>
      </c>
      <c r="D109" s="82" t="s">
        <v>989</v>
      </c>
      <c r="E109" s="73"/>
      <c r="F109" s="168">
        <f t="array" ref="F109">IFERROR(INDEX('2_Data_Pelanggan'!$S:$S,MATCH(D109,'2_Data_Pelanggan'!$P:$P,0)),"")</f>
        <v>46187</v>
      </c>
      <c r="G109" s="169" t="str">
        <f>IF(COUNTIF('2_Data_Pelanggan'!$P:$P,D109)&gt;0,"Terpasang","Stok/Belum Terpasang")</f>
        <v>Terpasang</v>
      </c>
      <c r="H109" s="170" t="str">
        <f t="array" ref="H109">IFERROR(INDEX('2_Data_Pelanggan'!$B:$B,MATCH(D109,'2_Data_Pelanggan'!$P:$P,0)),"-")</f>
        <v>ARM-0102</v>
      </c>
      <c r="I109" s="171" t="str">
        <f t="array" ref="I109">IFERROR(INDEX('2_Data_Pelanggan'!$D:$D,MATCH(D109,'2_Data_Pelanggan'!$P:$P,0)),"-")</f>
        <v>SITI MARDIYAH</v>
      </c>
      <c r="J109" s="172" t="s">
        <v>984</v>
      </c>
      <c r="K109" s="171" t="s">
        <v>1598</v>
      </c>
      <c r="L109" s="171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</row>
    <row r="110" ht="15.0" customHeight="1">
      <c r="A110" s="76">
        <v>102.0</v>
      </c>
      <c r="B110" s="76" t="s">
        <v>1596</v>
      </c>
      <c r="C110" s="76" t="s">
        <v>1597</v>
      </c>
      <c r="D110" s="76" t="s">
        <v>997</v>
      </c>
      <c r="E110" s="119"/>
      <c r="F110" s="173">
        <f t="array" ref="F110">IFERROR(INDEX('2_Data_Pelanggan'!$S:$S,MATCH(D110,'2_Data_Pelanggan'!$P:$P,0)),"")</f>
        <v>46188</v>
      </c>
      <c r="G110" s="169" t="str">
        <f>IF(COUNTIF('2_Data_Pelanggan'!$P:$P,D110)&gt;0,"Terpasang","Stok/Belum Terpasang")</f>
        <v>Terpasang</v>
      </c>
      <c r="H110" s="170" t="str">
        <f t="array" ref="H110">IFERROR(INDEX('2_Data_Pelanggan'!$B:$B,MATCH(D110,'2_Data_Pelanggan'!$P:$P,0)),"-")</f>
        <v>ARM-0103</v>
      </c>
      <c r="I110" s="171" t="str">
        <f t="array" ref="I110">IFERROR(INDEX('2_Data_Pelanggan'!$D:$D,MATCH(D110,'2_Data_Pelanggan'!$P:$P,0)),"-")</f>
        <v>KUSNIATI</v>
      </c>
      <c r="J110" s="172" t="s">
        <v>992</v>
      </c>
      <c r="K110" s="171" t="s">
        <v>1598</v>
      </c>
      <c r="L110" s="171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</row>
    <row r="111" ht="15.0" customHeight="1">
      <c r="A111" s="82">
        <v>103.0</v>
      </c>
      <c r="B111" s="82" t="s">
        <v>1596</v>
      </c>
      <c r="C111" s="82" t="s">
        <v>1597</v>
      </c>
      <c r="D111" s="82" t="s">
        <v>1005</v>
      </c>
      <c r="E111" s="73"/>
      <c r="F111" s="168">
        <f t="array" ref="F111">IFERROR(INDEX('2_Data_Pelanggan'!$S:$S,MATCH(D111,'2_Data_Pelanggan'!$P:$P,0)),"")</f>
        <v>46188</v>
      </c>
      <c r="G111" s="169" t="str">
        <f>IF(COUNTIF('2_Data_Pelanggan'!$P:$P,D111)&gt;0,"Terpasang","Stok/Belum Terpasang")</f>
        <v>Terpasang</v>
      </c>
      <c r="H111" s="170" t="str">
        <f t="array" ref="H111">IFERROR(INDEX('2_Data_Pelanggan'!$B:$B,MATCH(D111,'2_Data_Pelanggan'!$P:$P,0)),"-")</f>
        <v>ARM-0104</v>
      </c>
      <c r="I111" s="171" t="str">
        <f t="array" ref="I111">IFERROR(INDEX('2_Data_Pelanggan'!$D:$D,MATCH(D111,'2_Data_Pelanggan'!$P:$P,0)),"-")</f>
        <v>WAHYUDI</v>
      </c>
      <c r="J111" s="172" t="s">
        <v>1000</v>
      </c>
      <c r="K111" s="171" t="s">
        <v>1598</v>
      </c>
      <c r="L111" s="171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</row>
    <row r="112" ht="15.0" customHeight="1">
      <c r="A112" s="76">
        <v>104.0</v>
      </c>
      <c r="B112" s="76" t="s">
        <v>1596</v>
      </c>
      <c r="C112" s="76" t="s">
        <v>1597</v>
      </c>
      <c r="D112" s="76" t="s">
        <v>1013</v>
      </c>
      <c r="E112" s="119"/>
      <c r="F112" s="173">
        <f t="array" ref="F112">IFERROR(INDEX('2_Data_Pelanggan'!$S:$S,MATCH(D112,'2_Data_Pelanggan'!$P:$P,0)),"")</f>
        <v>46188</v>
      </c>
      <c r="G112" s="169" t="str">
        <f>IF(COUNTIF('2_Data_Pelanggan'!$P:$P,D112)&gt;0,"Terpasang","Stok/Belum Terpasang")</f>
        <v>Terpasang</v>
      </c>
      <c r="H112" s="170" t="str">
        <f t="array" ref="H112">IFERROR(INDEX('2_Data_Pelanggan'!$B:$B,MATCH(D112,'2_Data_Pelanggan'!$P:$P,0)),"-")</f>
        <v>ARM-0105</v>
      </c>
      <c r="I112" s="171" t="str">
        <f t="array" ref="I112">IFERROR(INDEX('2_Data_Pelanggan'!$D:$D,MATCH(D112,'2_Data_Pelanggan'!$P:$P,0)),"-")</f>
        <v>WATIEM</v>
      </c>
      <c r="J112" s="172" t="s">
        <v>1008</v>
      </c>
      <c r="K112" s="171" t="s">
        <v>1598</v>
      </c>
      <c r="L112" s="171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</row>
    <row r="113" ht="15.0" customHeight="1">
      <c r="A113" s="82">
        <v>105.0</v>
      </c>
      <c r="B113" s="82" t="s">
        <v>1596</v>
      </c>
      <c r="C113" s="82" t="s">
        <v>1597</v>
      </c>
      <c r="D113" s="82" t="s">
        <v>1021</v>
      </c>
      <c r="E113" s="73"/>
      <c r="F113" s="168">
        <f t="array" ref="F113">IFERROR(INDEX('2_Data_Pelanggan'!$S:$S,MATCH(D113,'2_Data_Pelanggan'!$P:$P,0)),"")</f>
        <v>46188</v>
      </c>
      <c r="G113" s="169" t="str">
        <f>IF(COUNTIF('2_Data_Pelanggan'!$P:$P,D113)&gt;0,"Terpasang","Stok/Belum Terpasang")</f>
        <v>Terpasang</v>
      </c>
      <c r="H113" s="170" t="str">
        <f t="array" ref="H113">IFERROR(INDEX('2_Data_Pelanggan'!$B:$B,MATCH(D113,'2_Data_Pelanggan'!$P:$P,0)),"-")</f>
        <v>ARM-0106</v>
      </c>
      <c r="I113" s="171" t="str">
        <f t="array" ref="I113">IFERROR(INDEX('2_Data_Pelanggan'!$D:$D,MATCH(D113,'2_Data_Pelanggan'!$P:$P,0)),"-")</f>
        <v>BUDI PRIYONO</v>
      </c>
      <c r="J113" s="172" t="s">
        <v>1016</v>
      </c>
      <c r="K113" s="171" t="s">
        <v>1598</v>
      </c>
      <c r="L113" s="171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</row>
    <row r="114" ht="15.0" customHeight="1">
      <c r="A114" s="76">
        <v>106.0</v>
      </c>
      <c r="B114" s="76" t="s">
        <v>1596</v>
      </c>
      <c r="C114" s="76" t="s">
        <v>1597</v>
      </c>
      <c r="D114" s="76" t="s">
        <v>1029</v>
      </c>
      <c r="E114" s="119"/>
      <c r="F114" s="173">
        <f t="array" ref="F114">IFERROR(INDEX('2_Data_Pelanggan'!$S:$S,MATCH(D114,'2_Data_Pelanggan'!$P:$P,0)),"")</f>
        <v>46188</v>
      </c>
      <c r="G114" s="169" t="str">
        <f>IF(COUNTIF('2_Data_Pelanggan'!$P:$P,D114)&gt;0,"Terpasang","Stok/Belum Terpasang")</f>
        <v>Terpasang</v>
      </c>
      <c r="H114" s="170" t="str">
        <f t="array" ref="H114">IFERROR(INDEX('2_Data_Pelanggan'!$B:$B,MATCH(D114,'2_Data_Pelanggan'!$P:$P,0)),"-")</f>
        <v>ARM-0107</v>
      </c>
      <c r="I114" s="171" t="str">
        <f t="array" ref="I114">IFERROR(INDEX('2_Data_Pelanggan'!$D:$D,MATCH(D114,'2_Data_Pelanggan'!$P:$P,0)),"-")</f>
        <v>KOMSIFLAH</v>
      </c>
      <c r="J114" s="172" t="s">
        <v>1024</v>
      </c>
      <c r="K114" s="171" t="s">
        <v>1598</v>
      </c>
      <c r="L114" s="171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</row>
    <row r="115" ht="15.0" customHeight="1">
      <c r="A115" s="82">
        <v>107.0</v>
      </c>
      <c r="B115" s="82" t="s">
        <v>1596</v>
      </c>
      <c r="C115" s="82" t="s">
        <v>1597</v>
      </c>
      <c r="D115" s="82" t="s">
        <v>1037</v>
      </c>
      <c r="E115" s="73"/>
      <c r="F115" s="168">
        <f t="array" ref="F115">IFERROR(INDEX('2_Data_Pelanggan'!$S:$S,MATCH(D115,'2_Data_Pelanggan'!$P:$P,0)),"")</f>
        <v>46189</v>
      </c>
      <c r="G115" s="169" t="str">
        <f>IF(COUNTIF('2_Data_Pelanggan'!$P:$P,D115)&gt;0,"Terpasang","Stok/Belum Terpasang")</f>
        <v>Terpasang</v>
      </c>
      <c r="H115" s="170" t="str">
        <f t="array" ref="H115">IFERROR(INDEX('2_Data_Pelanggan'!$B:$B,MATCH(D115,'2_Data_Pelanggan'!$P:$P,0)),"-")</f>
        <v>ARM-0108</v>
      </c>
      <c r="I115" s="171" t="str">
        <f t="array" ref="I115">IFERROR(INDEX('2_Data_Pelanggan'!$D:$D,MATCH(D115,'2_Data_Pelanggan'!$P:$P,0)),"-")</f>
        <v>DURYATMI</v>
      </c>
      <c r="J115" s="172" t="s">
        <v>1032</v>
      </c>
      <c r="K115" s="171" t="s">
        <v>1598</v>
      </c>
      <c r="L115" s="171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</row>
    <row r="116" ht="15.0" customHeight="1">
      <c r="A116" s="76">
        <v>108.0</v>
      </c>
      <c r="B116" s="76" t="s">
        <v>1596</v>
      </c>
      <c r="C116" s="76" t="s">
        <v>1597</v>
      </c>
      <c r="D116" s="76" t="s">
        <v>1045</v>
      </c>
      <c r="E116" s="119"/>
      <c r="F116" s="173">
        <f t="array" ref="F116">IFERROR(INDEX('2_Data_Pelanggan'!$S:$S,MATCH(D116,'2_Data_Pelanggan'!$P:$P,0)),"")</f>
        <v>46189</v>
      </c>
      <c r="G116" s="169" t="str">
        <f>IF(COUNTIF('2_Data_Pelanggan'!$P:$P,D116)&gt;0,"Terpasang","Stok/Belum Terpasang")</f>
        <v>Terpasang</v>
      </c>
      <c r="H116" s="170" t="str">
        <f t="array" ref="H116">IFERROR(INDEX('2_Data_Pelanggan'!$B:$B,MATCH(D116,'2_Data_Pelanggan'!$P:$P,0)),"-")</f>
        <v>ARM-0109</v>
      </c>
      <c r="I116" s="171" t="str">
        <f t="array" ref="I116">IFERROR(INDEX('2_Data_Pelanggan'!$D:$D,MATCH(D116,'2_Data_Pelanggan'!$P:$P,0)),"-")</f>
        <v>AHMAD SOFIE</v>
      </c>
      <c r="J116" s="172" t="s">
        <v>1040</v>
      </c>
      <c r="K116" s="171" t="s">
        <v>1598</v>
      </c>
      <c r="L116" s="171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</row>
    <row r="117" ht="15.0" customHeight="1">
      <c r="A117" s="82">
        <v>109.0</v>
      </c>
      <c r="B117" s="82" t="s">
        <v>1596</v>
      </c>
      <c r="C117" s="82" t="s">
        <v>1597</v>
      </c>
      <c r="D117" s="82" t="s">
        <v>1051</v>
      </c>
      <c r="E117" s="73"/>
      <c r="F117" s="168">
        <f t="array" ref="F117">IFERROR(INDEX('2_Data_Pelanggan'!$S:$S,MATCH(D117,'2_Data_Pelanggan'!$P:$P,0)),"")</f>
        <v>46189</v>
      </c>
      <c r="G117" s="169" t="str">
        <f>IF(COUNTIF('2_Data_Pelanggan'!$P:$P,D117)&gt;0,"Terpasang","Stok/Belum Terpasang")</f>
        <v>Terpasang</v>
      </c>
      <c r="H117" s="170" t="str">
        <f t="array" ref="H117">IFERROR(INDEX('2_Data_Pelanggan'!$B:$B,MATCH(D117,'2_Data_Pelanggan'!$P:$P,0)),"-")</f>
        <v>ARM-0110</v>
      </c>
      <c r="I117" s="171" t="str">
        <f t="array" ref="I117">IFERROR(INDEX('2_Data_Pelanggan'!$D:$D,MATCH(D117,'2_Data_Pelanggan'!$P:$P,0)),"-")</f>
        <v>TRIONO</v>
      </c>
      <c r="J117" s="172" t="s">
        <v>1048</v>
      </c>
      <c r="K117" s="171" t="s">
        <v>1598</v>
      </c>
      <c r="L117" s="171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</row>
    <row r="118" ht="15.0" customHeight="1">
      <c r="A118" s="76">
        <v>110.0</v>
      </c>
      <c r="B118" s="76" t="s">
        <v>1596</v>
      </c>
      <c r="C118" s="76" t="s">
        <v>1597</v>
      </c>
      <c r="D118" s="76" t="s">
        <v>1058</v>
      </c>
      <c r="E118" s="119"/>
      <c r="F118" s="173">
        <f t="array" ref="F118">IFERROR(INDEX('2_Data_Pelanggan'!$S:$S,MATCH(D118,'2_Data_Pelanggan'!$P:$P,0)),"")</f>
        <v>46189</v>
      </c>
      <c r="G118" s="169" t="str">
        <f>IF(COUNTIF('2_Data_Pelanggan'!$P:$P,D118)&gt;0,"Terpasang","Stok/Belum Terpasang")</f>
        <v>Terpasang</v>
      </c>
      <c r="H118" s="170" t="str">
        <f t="array" ref="H118">IFERROR(INDEX('2_Data_Pelanggan'!$B:$B,MATCH(D118,'2_Data_Pelanggan'!$P:$P,0)),"-")</f>
        <v>ARM-0111</v>
      </c>
      <c r="I118" s="171" t="str">
        <f t="array" ref="I118">IFERROR(INDEX('2_Data_Pelanggan'!$D:$D,MATCH(D118,'2_Data_Pelanggan'!$P:$P,0)),"-")</f>
        <v>SUNGSORO</v>
      </c>
      <c r="J118" s="172" t="s">
        <v>1053</v>
      </c>
      <c r="K118" s="171" t="s">
        <v>1598</v>
      </c>
      <c r="L118" s="171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</row>
    <row r="119" ht="15.0" customHeight="1">
      <c r="A119" s="82">
        <v>111.0</v>
      </c>
      <c r="B119" s="82" t="s">
        <v>1596</v>
      </c>
      <c r="C119" s="82" t="s">
        <v>1597</v>
      </c>
      <c r="D119" s="82" t="s">
        <v>1066</v>
      </c>
      <c r="E119" s="73"/>
      <c r="F119" s="168">
        <f t="array" ref="F119">IFERROR(INDEX('2_Data_Pelanggan'!$S:$S,MATCH(D119,'2_Data_Pelanggan'!$P:$P,0)),"")</f>
        <v>46189</v>
      </c>
      <c r="G119" s="169" t="str">
        <f>IF(COUNTIF('2_Data_Pelanggan'!$P:$P,D119)&gt;0,"Terpasang","Stok/Belum Terpasang")</f>
        <v>Terpasang</v>
      </c>
      <c r="H119" s="170" t="str">
        <f t="array" ref="H119">IFERROR(INDEX('2_Data_Pelanggan'!$B:$B,MATCH(D119,'2_Data_Pelanggan'!$P:$P,0)),"-")</f>
        <v>ARM-0112</v>
      </c>
      <c r="I119" s="171" t="str">
        <f t="array" ref="I119">IFERROR(INDEX('2_Data_Pelanggan'!$D:$D,MATCH(D119,'2_Data_Pelanggan'!$P:$P,0)),"-")</f>
        <v>VIDI PRASETYO</v>
      </c>
      <c r="J119" s="172" t="s">
        <v>1061</v>
      </c>
      <c r="K119" s="171" t="s">
        <v>1598</v>
      </c>
      <c r="L119" s="171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</row>
    <row r="120" ht="15.0" customHeight="1">
      <c r="A120" s="76">
        <v>112.0</v>
      </c>
      <c r="B120" s="76" t="s">
        <v>1596</v>
      </c>
      <c r="C120" s="76" t="s">
        <v>1597</v>
      </c>
      <c r="D120" s="76" t="s">
        <v>1074</v>
      </c>
      <c r="E120" s="119"/>
      <c r="F120" s="173">
        <f t="array" ref="F120">IFERROR(INDEX('2_Data_Pelanggan'!$S:$S,MATCH(D120,'2_Data_Pelanggan'!$P:$P,0)),"")</f>
        <v>46189</v>
      </c>
      <c r="G120" s="169" t="str">
        <f>IF(COUNTIF('2_Data_Pelanggan'!$P:$P,D120)&gt;0,"Terpasang","Stok/Belum Terpasang")</f>
        <v>Terpasang</v>
      </c>
      <c r="H120" s="170" t="str">
        <f t="array" ref="H120">IFERROR(INDEX('2_Data_Pelanggan'!$B:$B,MATCH(D120,'2_Data_Pelanggan'!$P:$P,0)),"-")</f>
        <v>ARM-0113</v>
      </c>
      <c r="I120" s="171" t="str">
        <f t="array" ref="I120">IFERROR(INDEX('2_Data_Pelanggan'!$D:$D,MATCH(D120,'2_Data_Pelanggan'!$P:$P,0)),"-")</f>
        <v>MARGONO</v>
      </c>
      <c r="J120" s="172" t="s">
        <v>1069</v>
      </c>
      <c r="K120" s="171" t="s">
        <v>1598</v>
      </c>
      <c r="L120" s="171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</row>
    <row r="121" ht="15.0" customHeight="1">
      <c r="A121" s="82">
        <v>113.0</v>
      </c>
      <c r="B121" s="82" t="s">
        <v>1596</v>
      </c>
      <c r="C121" s="82" t="s">
        <v>1597</v>
      </c>
      <c r="D121" s="82" t="s">
        <v>1081</v>
      </c>
      <c r="E121" s="73"/>
      <c r="F121" s="168">
        <f t="array" ref="F121">IFERROR(INDEX('2_Data_Pelanggan'!$S:$S,MATCH(D121,'2_Data_Pelanggan'!$P:$P,0)),"")</f>
        <v>46189</v>
      </c>
      <c r="G121" s="169" t="str">
        <f>IF(COUNTIF('2_Data_Pelanggan'!$P:$P,D121)&gt;0,"Terpasang","Stok/Belum Terpasang")</f>
        <v>Terpasang</v>
      </c>
      <c r="H121" s="170" t="str">
        <f t="array" ref="H121">IFERROR(INDEX('2_Data_Pelanggan'!$B:$B,MATCH(D121,'2_Data_Pelanggan'!$P:$P,0)),"-")</f>
        <v>ARM-0114</v>
      </c>
      <c r="I121" s="171" t="str">
        <f t="array" ref="I121">IFERROR(INDEX('2_Data_Pelanggan'!$D:$D,MATCH(D121,'2_Data_Pelanggan'!$P:$P,0)),"-")</f>
        <v>WIKI TRIONO</v>
      </c>
      <c r="J121" s="172" t="s">
        <v>1076</v>
      </c>
      <c r="K121" s="171" t="s">
        <v>1598</v>
      </c>
      <c r="L121" s="171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</row>
    <row r="122" ht="15.0" customHeight="1">
      <c r="A122" s="76">
        <v>114.0</v>
      </c>
      <c r="B122" s="76" t="s">
        <v>1596</v>
      </c>
      <c r="C122" s="76" t="s">
        <v>1597</v>
      </c>
      <c r="D122" s="76" t="s">
        <v>1089</v>
      </c>
      <c r="E122" s="119"/>
      <c r="F122" s="173">
        <f t="array" ref="F122">IFERROR(INDEX('2_Data_Pelanggan'!$S:$S,MATCH(D122,'2_Data_Pelanggan'!$P:$P,0)),"")</f>
        <v>46190</v>
      </c>
      <c r="G122" s="169" t="str">
        <f>IF(COUNTIF('2_Data_Pelanggan'!$P:$P,D122)&gt;0,"Terpasang","Stok/Belum Terpasang")</f>
        <v>Terpasang</v>
      </c>
      <c r="H122" s="170" t="str">
        <f t="array" ref="H122">IFERROR(INDEX('2_Data_Pelanggan'!$B:$B,MATCH(D122,'2_Data_Pelanggan'!$P:$P,0)),"-")</f>
        <v>ARM-0115</v>
      </c>
      <c r="I122" s="171" t="str">
        <f t="array" ref="I122">IFERROR(INDEX('2_Data_Pelanggan'!$D:$D,MATCH(D122,'2_Data_Pelanggan'!$P:$P,0)),"-")</f>
        <v>TURSIMAN</v>
      </c>
      <c r="J122" s="172" t="s">
        <v>1084</v>
      </c>
      <c r="K122" s="171" t="s">
        <v>1598</v>
      </c>
      <c r="L122" s="171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</row>
    <row r="123" ht="15.0" customHeight="1">
      <c r="A123" s="82">
        <v>115.0</v>
      </c>
      <c r="B123" s="82" t="s">
        <v>1596</v>
      </c>
      <c r="C123" s="82" t="s">
        <v>1597</v>
      </c>
      <c r="D123" s="82" t="s">
        <v>1097</v>
      </c>
      <c r="E123" s="73"/>
      <c r="F123" s="168">
        <f t="array" ref="F123">IFERROR(INDEX('2_Data_Pelanggan'!$S:$S,MATCH(D123,'2_Data_Pelanggan'!$P:$P,0)),"")</f>
        <v>46190</v>
      </c>
      <c r="G123" s="169" t="str">
        <f>IF(COUNTIF('2_Data_Pelanggan'!$P:$P,D123)&gt;0,"Terpasang","Stok/Belum Terpasang")</f>
        <v>Terpasang</v>
      </c>
      <c r="H123" s="170" t="str">
        <f t="array" ref="H123">IFERROR(INDEX('2_Data_Pelanggan'!$B:$B,MATCH(D123,'2_Data_Pelanggan'!$P:$P,0)),"-")</f>
        <v>ARM-0116</v>
      </c>
      <c r="I123" s="171" t="str">
        <f t="array" ref="I123">IFERROR(INDEX('2_Data_Pelanggan'!$D:$D,MATCH(D123,'2_Data_Pelanggan'!$P:$P,0)),"-")</f>
        <v>SUTRISNO</v>
      </c>
      <c r="J123" s="172" t="s">
        <v>1092</v>
      </c>
      <c r="K123" s="171" t="s">
        <v>1598</v>
      </c>
      <c r="L123" s="171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</row>
    <row r="124" ht="15.0" customHeight="1">
      <c r="A124" s="76">
        <v>116.0</v>
      </c>
      <c r="B124" s="76" t="s">
        <v>1596</v>
      </c>
      <c r="C124" s="76" t="s">
        <v>1597</v>
      </c>
      <c r="D124" s="76" t="s">
        <v>1106</v>
      </c>
      <c r="E124" s="119"/>
      <c r="F124" s="173">
        <f t="array" ref="F124">IFERROR(INDEX('2_Data_Pelanggan'!$S:$S,MATCH(D124,'2_Data_Pelanggan'!$P:$P,0)),"")</f>
        <v>46190</v>
      </c>
      <c r="G124" s="169" t="str">
        <f>IF(COUNTIF('2_Data_Pelanggan'!$P:$P,D124)&gt;0,"Terpasang","Stok/Belum Terpasang")</f>
        <v>Terpasang</v>
      </c>
      <c r="H124" s="170" t="str">
        <f t="array" ref="H124">IFERROR(INDEX('2_Data_Pelanggan'!$B:$B,MATCH(D124,'2_Data_Pelanggan'!$P:$P,0)),"-")</f>
        <v>ARM-0117</v>
      </c>
      <c r="I124" s="171" t="str">
        <f t="array" ref="I124">IFERROR(INDEX('2_Data_Pelanggan'!$D:$D,MATCH(D124,'2_Data_Pelanggan'!$P:$P,0)),"-")</f>
        <v>TANTI</v>
      </c>
      <c r="J124" s="172" t="s">
        <v>1100</v>
      </c>
      <c r="K124" s="171" t="s">
        <v>1598</v>
      </c>
      <c r="L124" s="171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</row>
    <row r="125" ht="15.0" customHeight="1">
      <c r="A125" s="82">
        <v>117.0</v>
      </c>
      <c r="B125" s="82" t="s">
        <v>1596</v>
      </c>
      <c r="C125" s="82" t="s">
        <v>1597</v>
      </c>
      <c r="D125" s="82" t="s">
        <v>1114</v>
      </c>
      <c r="E125" s="73"/>
      <c r="F125" s="168">
        <f t="array" ref="F125">IFERROR(INDEX('2_Data_Pelanggan'!$S:$S,MATCH(D125,'2_Data_Pelanggan'!$P:$P,0)),"")</f>
        <v>46190</v>
      </c>
      <c r="G125" s="169" t="str">
        <f>IF(COUNTIF('2_Data_Pelanggan'!$P:$P,D125)&gt;0,"Terpasang","Stok/Belum Terpasang")</f>
        <v>Terpasang</v>
      </c>
      <c r="H125" s="170" t="str">
        <f t="array" ref="H125">IFERROR(INDEX('2_Data_Pelanggan'!$B:$B,MATCH(D125,'2_Data_Pelanggan'!$P:$P,0)),"-")</f>
        <v>ARM-0118</v>
      </c>
      <c r="I125" s="171" t="str">
        <f t="array" ref="I125">IFERROR(INDEX('2_Data_Pelanggan'!$D:$D,MATCH(D125,'2_Data_Pelanggan'!$P:$P,0)),"-")</f>
        <v>DARYANTO</v>
      </c>
      <c r="J125" s="172" t="s">
        <v>1109</v>
      </c>
      <c r="K125" s="171" t="s">
        <v>1598</v>
      </c>
      <c r="L125" s="171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</row>
    <row r="126" ht="15.0" customHeight="1">
      <c r="A126" s="76">
        <v>118.0</v>
      </c>
      <c r="B126" s="76" t="s">
        <v>1596</v>
      </c>
      <c r="C126" s="76" t="s">
        <v>1597</v>
      </c>
      <c r="D126" s="76" t="s">
        <v>1122</v>
      </c>
      <c r="E126" s="119"/>
      <c r="F126" s="173">
        <f t="array" ref="F126">IFERROR(INDEX('2_Data_Pelanggan'!$S:$S,MATCH(D126,'2_Data_Pelanggan'!$P:$P,0)),"")</f>
        <v>46191</v>
      </c>
      <c r="G126" s="169" t="str">
        <f>IF(COUNTIF('2_Data_Pelanggan'!$P:$P,D126)&gt;0,"Terpasang","Stok/Belum Terpasang")</f>
        <v>Terpasang</v>
      </c>
      <c r="H126" s="170" t="str">
        <f t="array" ref="H126">IFERROR(INDEX('2_Data_Pelanggan'!$B:$B,MATCH(D126,'2_Data_Pelanggan'!$P:$P,0)),"-")</f>
        <v>ARM-0119</v>
      </c>
      <c r="I126" s="171" t="str">
        <f t="array" ref="I126">IFERROR(INDEX('2_Data_Pelanggan'!$D:$D,MATCH(D126,'2_Data_Pelanggan'!$P:$P,0)),"-")</f>
        <v>DARWONO</v>
      </c>
      <c r="J126" s="172" t="s">
        <v>1117</v>
      </c>
      <c r="K126" s="171" t="s">
        <v>1598</v>
      </c>
      <c r="L126" s="171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</row>
    <row r="127" ht="15.0" customHeight="1">
      <c r="A127" s="82">
        <v>119.0</v>
      </c>
      <c r="B127" s="82" t="s">
        <v>1596</v>
      </c>
      <c r="C127" s="82" t="s">
        <v>1597</v>
      </c>
      <c r="D127" s="82" t="s">
        <v>1130</v>
      </c>
      <c r="E127" s="73"/>
      <c r="F127" s="168">
        <f t="array" ref="F127">IFERROR(INDEX('2_Data_Pelanggan'!$S:$S,MATCH(D127,'2_Data_Pelanggan'!$P:$P,0)),"")</f>
        <v>46191</v>
      </c>
      <c r="G127" s="169" t="str">
        <f>IF(COUNTIF('2_Data_Pelanggan'!$P:$P,D127)&gt;0,"Terpasang","Stok/Belum Terpasang")</f>
        <v>Terpasang</v>
      </c>
      <c r="H127" s="170" t="str">
        <f t="array" ref="H127">IFERROR(INDEX('2_Data_Pelanggan'!$B:$B,MATCH(D127,'2_Data_Pelanggan'!$P:$P,0)),"-")</f>
        <v>ARM-0120</v>
      </c>
      <c r="I127" s="171" t="str">
        <f t="array" ref="I127">IFERROR(INDEX('2_Data_Pelanggan'!$D:$D,MATCH(D127,'2_Data_Pelanggan'!$P:$P,0)),"-")</f>
        <v>SIGIT ARYANTO</v>
      </c>
      <c r="J127" s="172" t="s">
        <v>1125</v>
      </c>
      <c r="K127" s="171" t="s">
        <v>1598</v>
      </c>
      <c r="L127" s="171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</row>
    <row r="128" ht="15.0" customHeight="1">
      <c r="A128" s="76">
        <v>120.0</v>
      </c>
      <c r="B128" s="76" t="s">
        <v>1596</v>
      </c>
      <c r="C128" s="76" t="s">
        <v>1597</v>
      </c>
      <c r="D128" s="76" t="s">
        <v>1138</v>
      </c>
      <c r="E128" s="119"/>
      <c r="F128" s="173">
        <f t="array" ref="F128">IFERROR(INDEX('2_Data_Pelanggan'!$S:$S,MATCH(D128,'2_Data_Pelanggan'!$P:$P,0)),"")</f>
        <v>46191</v>
      </c>
      <c r="G128" s="169" t="str">
        <f>IF(COUNTIF('2_Data_Pelanggan'!$P:$P,D128)&gt;0,"Terpasang","Stok/Belum Terpasang")</f>
        <v>Terpasang</v>
      </c>
      <c r="H128" s="170" t="str">
        <f t="array" ref="H128">IFERROR(INDEX('2_Data_Pelanggan'!$B:$B,MATCH(D128,'2_Data_Pelanggan'!$P:$P,0)),"-")</f>
        <v>ARM-0121</v>
      </c>
      <c r="I128" s="171" t="str">
        <f t="array" ref="I128">IFERROR(INDEX('2_Data_Pelanggan'!$D:$D,MATCH(D128,'2_Data_Pelanggan'!$P:$P,0)),"-")</f>
        <v>OKI GUNAWAN</v>
      </c>
      <c r="J128" s="172" t="s">
        <v>1133</v>
      </c>
      <c r="K128" s="171" t="s">
        <v>1598</v>
      </c>
      <c r="L128" s="171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</row>
    <row r="129" ht="15.0" customHeight="1">
      <c r="A129" s="82">
        <v>121.0</v>
      </c>
      <c r="B129" s="82" t="s">
        <v>1596</v>
      </c>
      <c r="C129" s="82" t="s">
        <v>1597</v>
      </c>
      <c r="D129" s="82" t="s">
        <v>1146</v>
      </c>
      <c r="E129" s="73"/>
      <c r="F129" s="168">
        <f t="array" ref="F129">IFERROR(INDEX('2_Data_Pelanggan'!$S:$S,MATCH(D129,'2_Data_Pelanggan'!$P:$P,0)),"")</f>
        <v>46191</v>
      </c>
      <c r="G129" s="169" t="str">
        <f>IF(COUNTIF('2_Data_Pelanggan'!$P:$P,D129)&gt;0,"Terpasang","Stok/Belum Terpasang")</f>
        <v>Terpasang</v>
      </c>
      <c r="H129" s="170" t="str">
        <f t="array" ref="H129">IFERROR(INDEX('2_Data_Pelanggan'!$B:$B,MATCH(D129,'2_Data_Pelanggan'!$P:$P,0)),"-")</f>
        <v>ARM-0122</v>
      </c>
      <c r="I129" s="171" t="str">
        <f t="array" ref="I129">IFERROR(INDEX('2_Data_Pelanggan'!$D:$D,MATCH(D129,'2_Data_Pelanggan'!$P:$P,0)),"-")</f>
        <v>ANGGRES PERMANA</v>
      </c>
      <c r="J129" s="172" t="s">
        <v>1141</v>
      </c>
      <c r="K129" s="171" t="s">
        <v>1598</v>
      </c>
      <c r="L129" s="171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</row>
    <row r="130" ht="15.0" customHeight="1">
      <c r="A130" s="76">
        <v>122.0</v>
      </c>
      <c r="B130" s="76" t="s">
        <v>1596</v>
      </c>
      <c r="C130" s="76" t="s">
        <v>1597</v>
      </c>
      <c r="D130" s="76" t="s">
        <v>1154</v>
      </c>
      <c r="E130" s="119"/>
      <c r="F130" s="173">
        <f t="array" ref="F130">IFERROR(INDEX('2_Data_Pelanggan'!$S:$S,MATCH(D130,'2_Data_Pelanggan'!$P:$P,0)),"")</f>
        <v>46191</v>
      </c>
      <c r="G130" s="169" t="str">
        <f>IF(COUNTIF('2_Data_Pelanggan'!$P:$P,D130)&gt;0,"Terpasang","Stok/Belum Terpasang")</f>
        <v>Terpasang</v>
      </c>
      <c r="H130" s="170" t="str">
        <f t="array" ref="H130">IFERROR(INDEX('2_Data_Pelanggan'!$B:$B,MATCH(D130,'2_Data_Pelanggan'!$P:$P,0)),"-")</f>
        <v>ARM-0123</v>
      </c>
      <c r="I130" s="171" t="str">
        <f t="array" ref="I130">IFERROR(INDEX('2_Data_Pelanggan'!$D:$D,MATCH(D130,'2_Data_Pelanggan'!$P:$P,0)),"-")</f>
        <v>DASLIM</v>
      </c>
      <c r="J130" s="172" t="s">
        <v>1149</v>
      </c>
      <c r="K130" s="171" t="s">
        <v>1598</v>
      </c>
      <c r="L130" s="171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</row>
    <row r="131" ht="15.0" customHeight="1">
      <c r="A131" s="82">
        <v>123.0</v>
      </c>
      <c r="B131" s="82" t="s">
        <v>1596</v>
      </c>
      <c r="C131" s="82" t="s">
        <v>1597</v>
      </c>
      <c r="D131" s="82" t="s">
        <v>1161</v>
      </c>
      <c r="E131" s="73"/>
      <c r="F131" s="168">
        <f t="array" ref="F131">IFERROR(INDEX('2_Data_Pelanggan'!$S:$S,MATCH(D131,'2_Data_Pelanggan'!$P:$P,0)),"")</f>
        <v>46192</v>
      </c>
      <c r="G131" s="169" t="str">
        <f>IF(COUNTIF('2_Data_Pelanggan'!$P:$P,D131)&gt;0,"Terpasang","Stok/Belum Terpasang")</f>
        <v>Terpasang</v>
      </c>
      <c r="H131" s="170" t="str">
        <f t="array" ref="H131">IFERROR(INDEX('2_Data_Pelanggan'!$B:$B,MATCH(D131,'2_Data_Pelanggan'!$P:$P,0)),"-")</f>
        <v>ARM-0124</v>
      </c>
      <c r="I131" s="171" t="str">
        <f t="array" ref="I131">IFERROR(INDEX('2_Data_Pelanggan'!$D:$D,MATCH(D131,'2_Data_Pelanggan'!$P:$P,0)),"-")</f>
        <v>HERWATI</v>
      </c>
      <c r="J131" s="172" t="s">
        <v>1156</v>
      </c>
      <c r="K131" s="171" t="s">
        <v>1598</v>
      </c>
      <c r="L131" s="171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</row>
    <row r="132" ht="15.0" customHeight="1">
      <c r="A132" s="76">
        <v>124.0</v>
      </c>
      <c r="B132" s="76" t="s">
        <v>1596</v>
      </c>
      <c r="C132" s="76" t="s">
        <v>1597</v>
      </c>
      <c r="D132" s="76" t="s">
        <v>1169</v>
      </c>
      <c r="E132" s="119"/>
      <c r="F132" s="173" t="str">
        <f t="array" ref="F132">IFERROR(INDEX('2_Data_Pelanggan'!$S:$S,MATCH(D132,'2_Data_Pelanggan'!$P:$P,0)),"")</f>
        <v>19/06/2026</v>
      </c>
      <c r="G132" s="169" t="str">
        <f>IF(COUNTIF('2_Data_Pelanggan'!$P:$P,D132)&gt;0,"Terpasang","Stok/Belum Terpasang")</f>
        <v>Terpasang</v>
      </c>
      <c r="H132" s="170" t="str">
        <f t="array" ref="H132">IFERROR(INDEX('2_Data_Pelanggan'!$B:$B,MATCH(D132,'2_Data_Pelanggan'!$P:$P,0)),"-")</f>
        <v>ARM-0125</v>
      </c>
      <c r="I132" s="171" t="str">
        <f t="array" ref="I132">IFERROR(INDEX('2_Data_Pelanggan'!$D:$D,MATCH(D132,'2_Data_Pelanggan'!$P:$P,0)),"-")</f>
        <v>RAKUM RUSTOYO</v>
      </c>
      <c r="J132" s="172" t="s">
        <v>1164</v>
      </c>
      <c r="K132" s="171" t="s">
        <v>1598</v>
      </c>
      <c r="L132" s="171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</row>
    <row r="133" ht="15.0" customHeight="1">
      <c r="A133" s="82">
        <v>125.0</v>
      </c>
      <c r="B133" s="82" t="s">
        <v>1596</v>
      </c>
      <c r="C133" s="82" t="s">
        <v>1597</v>
      </c>
      <c r="D133" s="82" t="s">
        <v>1178</v>
      </c>
      <c r="E133" s="140" t="s">
        <v>1179</v>
      </c>
      <c r="F133" s="168">
        <f t="array" ref="F133">IFERROR(INDEX('2_Data_Pelanggan'!$S:$S,MATCH(D133,'2_Data_Pelanggan'!$P:$P,0)),"")</f>
        <v>46192</v>
      </c>
      <c r="G133" s="78" t="str">
        <f>IF(COUNTIF('2_Data_Pelanggan'!$P:$P,D133)&gt;0,"Terpasang","Stok/Belum Terpasang")</f>
        <v>Terpasang</v>
      </c>
      <c r="H133" s="170" t="str">
        <f t="array" ref="H133">IFERROR(INDEX('2_Data_Pelanggan'!$B:$B,MATCH(D133,'2_Data_Pelanggan'!$P:$P,0)),"-")</f>
        <v>ARM-0126</v>
      </c>
      <c r="I133" s="171" t="str">
        <f t="array" ref="I133">IFERROR(INDEX('2_Data_Pelanggan'!$D:$D,MATCH(D133,'2_Data_Pelanggan'!$P:$P,0)),"-")</f>
        <v>KISWADI</v>
      </c>
      <c r="J133" s="172" t="s">
        <v>1173</v>
      </c>
      <c r="K133" s="171" t="s">
        <v>1598</v>
      </c>
      <c r="L133" s="171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</row>
    <row r="134" ht="15.0" customHeight="1">
      <c r="A134" s="76">
        <v>126.0</v>
      </c>
      <c r="B134" s="76" t="s">
        <v>1596</v>
      </c>
      <c r="C134" s="76" t="s">
        <v>1597</v>
      </c>
      <c r="D134" s="76" t="s">
        <v>1186</v>
      </c>
      <c r="E134" s="119"/>
      <c r="F134" s="173">
        <f t="array" ref="F134">IFERROR(INDEX('2_Data_Pelanggan'!$S:$S,MATCH(D134,'2_Data_Pelanggan'!$P:$P,0)),"")</f>
        <v>46192</v>
      </c>
      <c r="G134" s="169" t="str">
        <f>IF(COUNTIF('2_Data_Pelanggan'!$P:$P,D134)&gt;0,"Terpasang","Stok/Belum Terpasang")</f>
        <v>Terpasang</v>
      </c>
      <c r="H134" s="170" t="str">
        <f t="array" ref="H134">IFERROR(INDEX('2_Data_Pelanggan'!$B:$B,MATCH(D134,'2_Data_Pelanggan'!$P:$P,0)),"-")</f>
        <v>ARM-0127</v>
      </c>
      <c r="I134" s="171" t="str">
        <f t="array" ref="I134">IFERROR(INDEX('2_Data_Pelanggan'!$D:$D,MATCH(D134,'2_Data_Pelanggan'!$P:$P,0)),"-")</f>
        <v>ADZAM ARIEL TIMBULENG</v>
      </c>
      <c r="J134" s="172" t="s">
        <v>1181</v>
      </c>
      <c r="K134" s="171" t="s">
        <v>1598</v>
      </c>
      <c r="L134" s="171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</row>
    <row r="135" ht="15.0" customHeight="1">
      <c r="A135" s="82">
        <v>127.0</v>
      </c>
      <c r="B135" s="82" t="s">
        <v>1596</v>
      </c>
      <c r="C135" s="82" t="s">
        <v>1597</v>
      </c>
      <c r="D135" s="82" t="s">
        <v>1194</v>
      </c>
      <c r="E135" s="73"/>
      <c r="F135" s="168">
        <f t="array" ref="F135">IFERROR(INDEX('2_Data_Pelanggan'!$S:$S,MATCH(D135,'2_Data_Pelanggan'!$P:$P,0)),"")</f>
        <v>46190</v>
      </c>
      <c r="G135" s="169" t="str">
        <f>IF(COUNTIF('2_Data_Pelanggan'!$P:$P,D135)&gt;0,"Terpasang","Stok/Belum Terpasang")</f>
        <v>Terpasang</v>
      </c>
      <c r="H135" s="170" t="str">
        <f t="array" ref="H135">IFERROR(INDEX('2_Data_Pelanggan'!$B:$B,MATCH(D135,'2_Data_Pelanggan'!$P:$P,0)),"-")</f>
        <v>ARM-0128</v>
      </c>
      <c r="I135" s="171" t="str">
        <f t="array" ref="I135">IFERROR(INDEX('2_Data_Pelanggan'!$D:$D,MATCH(D135,'2_Data_Pelanggan'!$P:$P,0)),"-")</f>
        <v>NURIANTI</v>
      </c>
      <c r="J135" s="172" t="s">
        <v>1189</v>
      </c>
      <c r="K135" s="171" t="s">
        <v>1598</v>
      </c>
      <c r="L135" s="171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</row>
    <row r="136" ht="15.0" customHeight="1">
      <c r="A136" s="76">
        <v>128.0</v>
      </c>
      <c r="B136" s="76" t="s">
        <v>1596</v>
      </c>
      <c r="C136" s="76" t="s">
        <v>1597</v>
      </c>
      <c r="D136" s="76" t="s">
        <v>1201</v>
      </c>
      <c r="E136" s="119"/>
      <c r="F136" s="173">
        <f t="array" ref="F136">IFERROR(INDEX('2_Data_Pelanggan'!$S:$S,MATCH(D136,'2_Data_Pelanggan'!$P:$P,0)),"")</f>
        <v>46193</v>
      </c>
      <c r="G136" s="169" t="str">
        <f>IF(COUNTIF('2_Data_Pelanggan'!$P:$P,D136)&gt;0,"Terpasang","Stok/Belum Terpasang")</f>
        <v>Terpasang</v>
      </c>
      <c r="H136" s="170" t="str">
        <f t="array" ref="H136">IFERROR(INDEX('2_Data_Pelanggan'!$B:$B,MATCH(D136,'2_Data_Pelanggan'!$P:$P,0)),"-")</f>
        <v>ARM-0129</v>
      </c>
      <c r="I136" s="171" t="str">
        <f t="array" ref="I136">IFERROR(INDEX('2_Data_Pelanggan'!$D:$D,MATCH(D136,'2_Data_Pelanggan'!$P:$P,0)),"-")</f>
        <v>SUJITO</v>
      </c>
      <c r="J136" s="172" t="s">
        <v>1197</v>
      </c>
      <c r="K136" s="171" t="s">
        <v>1598</v>
      </c>
      <c r="L136" s="171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</row>
    <row r="137" ht="15.0" customHeight="1">
      <c r="A137" s="82">
        <v>129.0</v>
      </c>
      <c r="B137" s="82" t="s">
        <v>1596</v>
      </c>
      <c r="C137" s="82" t="s">
        <v>1597</v>
      </c>
      <c r="D137" s="82" t="s">
        <v>1210</v>
      </c>
      <c r="E137" s="73"/>
      <c r="F137" s="168">
        <f t="array" ref="F137">IFERROR(INDEX('2_Data_Pelanggan'!$S:$S,MATCH(D137,'2_Data_Pelanggan'!$P:$P,0)),"")</f>
        <v>46194</v>
      </c>
      <c r="G137" s="169" t="str">
        <f>IF(COUNTIF('2_Data_Pelanggan'!$P:$P,D137)&gt;0,"Terpasang","Stok/Belum Terpasang")</f>
        <v>Terpasang</v>
      </c>
      <c r="H137" s="170" t="str">
        <f t="array" ref="H137">IFERROR(INDEX('2_Data_Pelanggan'!$B:$B,MATCH(D137,'2_Data_Pelanggan'!$P:$P,0)),"-")</f>
        <v>ARM-0130</v>
      </c>
      <c r="I137" s="171" t="str">
        <f t="array" ref="I137">IFERROR(INDEX('2_Data_Pelanggan'!$D:$D,MATCH(D137,'2_Data_Pelanggan'!$P:$P,0)),"-")</f>
        <v>DEDI SISWOYO</v>
      </c>
      <c r="J137" s="172" t="s">
        <v>1204</v>
      </c>
      <c r="K137" s="171" t="s">
        <v>1598</v>
      </c>
      <c r="L137" s="171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</row>
    <row r="138" ht="15.0" customHeight="1">
      <c r="A138" s="76">
        <v>130.0</v>
      </c>
      <c r="B138" s="76" t="s">
        <v>1596</v>
      </c>
      <c r="C138" s="76" t="s">
        <v>1597</v>
      </c>
      <c r="D138" s="76" t="s">
        <v>1218</v>
      </c>
      <c r="E138" s="119"/>
      <c r="F138" s="173">
        <f t="array" ref="F138">IFERROR(INDEX('2_Data_Pelanggan'!$S:$S,MATCH(D138,'2_Data_Pelanggan'!$P:$P,0)),"")</f>
        <v>46194</v>
      </c>
      <c r="G138" s="169" t="str">
        <f>IF(COUNTIF('2_Data_Pelanggan'!$P:$P,D138)&gt;0,"Terpasang","Stok/Belum Terpasang")</f>
        <v>Terpasang</v>
      </c>
      <c r="H138" s="170" t="str">
        <f t="array" ref="H138">IFERROR(INDEX('2_Data_Pelanggan'!$B:$B,MATCH(D138,'2_Data_Pelanggan'!$P:$P,0)),"-")</f>
        <v>ARM-0131</v>
      </c>
      <c r="I138" s="171" t="str">
        <f t="array" ref="I138">IFERROR(INDEX('2_Data_Pelanggan'!$D:$D,MATCH(D138,'2_Data_Pelanggan'!$P:$P,0)),"-")</f>
        <v>WINDA EKA SARI</v>
      </c>
      <c r="J138" s="172" t="s">
        <v>1213</v>
      </c>
      <c r="K138" s="171" t="s">
        <v>1598</v>
      </c>
      <c r="L138" s="171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</row>
    <row r="139" ht="15.0" customHeight="1">
      <c r="A139" s="82">
        <v>131.0</v>
      </c>
      <c r="B139" s="82" t="s">
        <v>1596</v>
      </c>
      <c r="C139" s="82" t="s">
        <v>1597</v>
      </c>
      <c r="D139" s="82" t="s">
        <v>1226</v>
      </c>
      <c r="E139" s="73"/>
      <c r="F139" s="168">
        <f t="array" ref="F139">IFERROR(INDEX('2_Data_Pelanggan'!$S:$S,MATCH(D139,'2_Data_Pelanggan'!$P:$P,0)),"")</f>
        <v>46195</v>
      </c>
      <c r="G139" s="169" t="str">
        <f>IF(COUNTIF('2_Data_Pelanggan'!$P:$P,D139)&gt;0,"Terpasang","Stok/Belum Terpasang")</f>
        <v>Terpasang</v>
      </c>
      <c r="H139" s="170" t="str">
        <f t="array" ref="H139">IFERROR(INDEX('2_Data_Pelanggan'!$B:$B,MATCH(D139,'2_Data_Pelanggan'!$P:$P,0)),"-")</f>
        <v>ARM-0132</v>
      </c>
      <c r="I139" s="171" t="str">
        <f t="array" ref="I139">IFERROR(INDEX('2_Data_Pelanggan'!$D:$D,MATCH(D139,'2_Data_Pelanggan'!$P:$P,0)),"-")</f>
        <v>WAHYONO</v>
      </c>
      <c r="J139" s="172" t="s">
        <v>1221</v>
      </c>
      <c r="K139" s="171" t="s">
        <v>1598</v>
      </c>
      <c r="L139" s="171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</row>
    <row r="140" ht="15.0" customHeight="1">
      <c r="A140" s="76">
        <v>132.0</v>
      </c>
      <c r="B140" s="76" t="s">
        <v>1596</v>
      </c>
      <c r="C140" s="76" t="s">
        <v>1597</v>
      </c>
      <c r="D140" s="76" t="s">
        <v>1234</v>
      </c>
      <c r="E140" s="119"/>
      <c r="F140" s="173">
        <f t="array" ref="F140">IFERROR(INDEX('2_Data_Pelanggan'!$S:$S,MATCH(D140,'2_Data_Pelanggan'!$P:$P,0)),"")</f>
        <v>46196</v>
      </c>
      <c r="G140" s="169" t="str">
        <f>IF(COUNTIF('2_Data_Pelanggan'!$P:$P,D140)&gt;0,"Terpasang","Stok/Belum Terpasang")</f>
        <v>Terpasang</v>
      </c>
      <c r="H140" s="170" t="str">
        <f t="array" ref="H140">IFERROR(INDEX('2_Data_Pelanggan'!$B:$B,MATCH(D140,'2_Data_Pelanggan'!$P:$P,0)),"-")</f>
        <v>ARM-0133</v>
      </c>
      <c r="I140" s="171" t="str">
        <f t="array" ref="I140">IFERROR(INDEX('2_Data_Pelanggan'!$D:$D,MATCH(D140,'2_Data_Pelanggan'!$P:$P,0)),"-")</f>
        <v>ANDONO TRI SARI P</v>
      </c>
      <c r="J140" s="172" t="s">
        <v>1229</v>
      </c>
      <c r="K140" s="171" t="s">
        <v>1598</v>
      </c>
      <c r="L140" s="171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</row>
    <row r="141" ht="15.0" customHeight="1">
      <c r="A141" s="82">
        <v>133.0</v>
      </c>
      <c r="B141" s="82" t="s">
        <v>1596</v>
      </c>
      <c r="C141" s="82" t="s">
        <v>1597</v>
      </c>
      <c r="D141" s="82" t="s">
        <v>1606</v>
      </c>
      <c r="E141" s="73"/>
      <c r="F141" s="168" t="str">
        <f t="array" ref="F141">IFERROR(INDEX('2_Data_Pelanggan'!$S:$S,MATCH(D141,'2_Data_Pelanggan'!$P:$P,0)),"")</f>
        <v/>
      </c>
      <c r="G141" s="78" t="str">
        <f>IF(COUNTIF('2_Data_Pelanggan'!$P:$P,D141)&gt;0,"Terpasang","Stok/Belum Terpasang")</f>
        <v>Stok/Belum Terpasang</v>
      </c>
      <c r="H141" s="170" t="str">
        <f t="array" ref="H141">IFERROR(INDEX('2_Data_Pelanggan'!$B:$B,MATCH(D141,'2_Data_Pelanggan'!$P:$P,0)),"-")</f>
        <v>-</v>
      </c>
      <c r="I141" s="171" t="str">
        <f t="array" ref="I141">IFERROR(INDEX('2_Data_Pelanggan'!$D:$D,MATCH(D141,'2_Data_Pelanggan'!$P:$P,0)),"-")</f>
        <v>-</v>
      </c>
      <c r="J141" s="172" t="s">
        <v>1605</v>
      </c>
      <c r="K141" s="171" t="s">
        <v>1598</v>
      </c>
      <c r="L141" s="171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</row>
    <row r="142" ht="15.0" customHeight="1">
      <c r="A142" s="76">
        <v>134.0</v>
      </c>
      <c r="B142" s="76" t="s">
        <v>1596</v>
      </c>
      <c r="C142" s="76" t="s">
        <v>1597</v>
      </c>
      <c r="D142" s="76" t="s">
        <v>1607</v>
      </c>
      <c r="E142" s="119"/>
      <c r="F142" s="173" t="str">
        <f t="array" ref="F142">IFERROR(INDEX('2_Data_Pelanggan'!$S:$S,MATCH(D142,'2_Data_Pelanggan'!$P:$P,0)),"")</f>
        <v/>
      </c>
      <c r="G142" s="78" t="str">
        <f>IF(COUNTIF('2_Data_Pelanggan'!$P:$P,D142)&gt;0,"Terpasang","Stok/Belum Terpasang")</f>
        <v>Stok/Belum Terpasang</v>
      </c>
      <c r="H142" s="170" t="str">
        <f t="array" ref="H142">IFERROR(INDEX('2_Data_Pelanggan'!$B:$B,MATCH(D142,'2_Data_Pelanggan'!$P:$P,0)),"-")</f>
        <v>-</v>
      </c>
      <c r="I142" s="171" t="str">
        <f t="array" ref="I142">IFERROR(INDEX('2_Data_Pelanggan'!$D:$D,MATCH(D142,'2_Data_Pelanggan'!$P:$P,0)),"-")</f>
        <v>-</v>
      </c>
      <c r="J142" s="172" t="s">
        <v>1605</v>
      </c>
      <c r="K142" s="171" t="s">
        <v>1598</v>
      </c>
      <c r="L142" s="171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</row>
    <row r="143" ht="15.0" customHeight="1">
      <c r="A143" s="82">
        <v>135.0</v>
      </c>
      <c r="B143" s="82" t="s">
        <v>1596</v>
      </c>
      <c r="C143" s="82" t="s">
        <v>1597</v>
      </c>
      <c r="D143" s="82" t="s">
        <v>1608</v>
      </c>
      <c r="E143" s="73"/>
      <c r="F143" s="168" t="str">
        <f t="array" ref="F143">IFERROR(INDEX('2_Data_Pelanggan'!$S:$S,MATCH(D143,'2_Data_Pelanggan'!$P:$P,0)),"")</f>
        <v/>
      </c>
      <c r="G143" s="78" t="str">
        <f>IF(COUNTIF('2_Data_Pelanggan'!$P:$P,D143)&gt;0,"Terpasang","Stok/Belum Terpasang")</f>
        <v>Stok/Belum Terpasang</v>
      </c>
      <c r="H143" s="170" t="str">
        <f t="array" ref="H143">IFERROR(INDEX('2_Data_Pelanggan'!$B:$B,MATCH(D143,'2_Data_Pelanggan'!$P:$P,0)),"-")</f>
        <v>-</v>
      </c>
      <c r="I143" s="171" t="str">
        <f t="array" ref="I143">IFERROR(INDEX('2_Data_Pelanggan'!$D:$D,MATCH(D143,'2_Data_Pelanggan'!$P:$P,0)),"-")</f>
        <v>-</v>
      </c>
      <c r="J143" s="172" t="s">
        <v>1605</v>
      </c>
      <c r="K143" s="171" t="s">
        <v>1598</v>
      </c>
      <c r="L143" s="171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</row>
    <row r="144" ht="15.0" customHeight="1">
      <c r="A144" s="76">
        <v>136.0</v>
      </c>
      <c r="B144" s="76" t="s">
        <v>1596</v>
      </c>
      <c r="C144" s="76" t="s">
        <v>1597</v>
      </c>
      <c r="D144" s="76" t="s">
        <v>1609</v>
      </c>
      <c r="E144" s="119"/>
      <c r="F144" s="173" t="str">
        <f t="array" ref="F144">IFERROR(INDEX('2_Data_Pelanggan'!$S:$S,MATCH(D144,'2_Data_Pelanggan'!$P:$P,0)),"")</f>
        <v/>
      </c>
      <c r="G144" s="78" t="str">
        <f>IF(COUNTIF('2_Data_Pelanggan'!$P:$P,D144)&gt;0,"Terpasang","Stok/Belum Terpasang")</f>
        <v>Stok/Belum Terpasang</v>
      </c>
      <c r="H144" s="170" t="str">
        <f t="array" ref="H144">IFERROR(INDEX('2_Data_Pelanggan'!$B:$B,MATCH(D144,'2_Data_Pelanggan'!$P:$P,0)),"-")</f>
        <v>-</v>
      </c>
      <c r="I144" s="171" t="str">
        <f t="array" ref="I144">IFERROR(INDEX('2_Data_Pelanggan'!$D:$D,MATCH(D144,'2_Data_Pelanggan'!$P:$P,0)),"-")</f>
        <v>-</v>
      </c>
      <c r="J144" s="172" t="s">
        <v>1605</v>
      </c>
      <c r="K144" s="171" t="s">
        <v>1598</v>
      </c>
      <c r="L144" s="171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</row>
    <row r="145" ht="15.0" customHeight="1">
      <c r="A145" s="82">
        <v>137.0</v>
      </c>
      <c r="B145" s="82" t="s">
        <v>1596</v>
      </c>
      <c r="C145" s="82" t="s">
        <v>1597</v>
      </c>
      <c r="D145" s="82" t="s">
        <v>1610</v>
      </c>
      <c r="E145" s="73"/>
      <c r="F145" s="168" t="str">
        <f t="array" ref="F145">IFERROR(INDEX('2_Data_Pelanggan'!$S:$S,MATCH(D145,'2_Data_Pelanggan'!$P:$P,0)),"")</f>
        <v/>
      </c>
      <c r="G145" s="78" t="str">
        <f>IF(COUNTIF('2_Data_Pelanggan'!$P:$P,D145)&gt;0,"Terpasang","Stok/Belum Terpasang")</f>
        <v>Stok/Belum Terpasang</v>
      </c>
      <c r="H145" s="170" t="str">
        <f t="array" ref="H145">IFERROR(INDEX('2_Data_Pelanggan'!$B:$B,MATCH(D145,'2_Data_Pelanggan'!$P:$P,0)),"-")</f>
        <v>-</v>
      </c>
      <c r="I145" s="171" t="str">
        <f t="array" ref="I145">IFERROR(INDEX('2_Data_Pelanggan'!$D:$D,MATCH(D145,'2_Data_Pelanggan'!$P:$P,0)),"-")</f>
        <v>-</v>
      </c>
      <c r="J145" s="172" t="s">
        <v>1605</v>
      </c>
      <c r="K145" s="171" t="s">
        <v>1598</v>
      </c>
      <c r="L145" s="171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</row>
    <row r="146" ht="15.0" customHeight="1">
      <c r="A146" s="76">
        <v>138.0</v>
      </c>
      <c r="B146" s="76" t="s">
        <v>1596</v>
      </c>
      <c r="C146" s="76" t="s">
        <v>1597</v>
      </c>
      <c r="D146" s="76" t="s">
        <v>1611</v>
      </c>
      <c r="E146" s="119"/>
      <c r="F146" s="173" t="str">
        <f t="array" ref="F146">IFERROR(INDEX('2_Data_Pelanggan'!$S:$S,MATCH(D146,'2_Data_Pelanggan'!$P:$P,0)),"")</f>
        <v/>
      </c>
      <c r="G146" s="78" t="str">
        <f>IF(COUNTIF('2_Data_Pelanggan'!$P:$P,D146)&gt;0,"Terpasang","Stok/Belum Terpasang")</f>
        <v>Stok/Belum Terpasang</v>
      </c>
      <c r="H146" s="170" t="str">
        <f t="array" ref="H146">IFERROR(INDEX('2_Data_Pelanggan'!$B:$B,MATCH(D146,'2_Data_Pelanggan'!$P:$P,0)),"-")</f>
        <v>-</v>
      </c>
      <c r="I146" s="171" t="str">
        <f t="array" ref="I146">IFERROR(INDEX('2_Data_Pelanggan'!$D:$D,MATCH(D146,'2_Data_Pelanggan'!$P:$P,0)),"-")</f>
        <v>-</v>
      </c>
      <c r="J146" s="172" t="s">
        <v>1605</v>
      </c>
      <c r="K146" s="171" t="s">
        <v>1598</v>
      </c>
      <c r="L146" s="171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</row>
    <row r="147" ht="15.0" customHeight="1">
      <c r="A147" s="82">
        <v>139.0</v>
      </c>
      <c r="B147" s="82" t="s">
        <v>1596</v>
      </c>
      <c r="C147" s="82" t="s">
        <v>1597</v>
      </c>
      <c r="D147" s="82" t="s">
        <v>1288</v>
      </c>
      <c r="E147" s="73"/>
      <c r="F147" s="168">
        <f t="array" ref="F147">IFERROR(INDEX('2_Data_Pelanggan'!$S:$S,MATCH(D147,'2_Data_Pelanggan'!$P:$P,0)),"")</f>
        <v>46203</v>
      </c>
      <c r="G147" s="169" t="str">
        <f>IF(COUNTIF('2_Data_Pelanggan'!$P:$P,D147)&gt;0,"Terpasang","Stok/Belum Terpasang")</f>
        <v>Terpasang</v>
      </c>
      <c r="H147" s="170" t="str">
        <f t="array" ref="H147">IFERROR(INDEX('2_Data_Pelanggan'!$B:$B,MATCH(D147,'2_Data_Pelanggan'!$P:$P,0)),"-")</f>
        <v>ARM-0140</v>
      </c>
      <c r="I147" s="171" t="str">
        <f t="array" ref="I147">IFERROR(INDEX('2_Data_Pelanggan'!$D:$D,MATCH(D147,'2_Data_Pelanggan'!$P:$P,0)),"-")</f>
        <v>DWI HANTORO</v>
      </c>
      <c r="J147" s="172" t="s">
        <v>1283</v>
      </c>
      <c r="K147" s="171" t="s">
        <v>1598</v>
      </c>
      <c r="L147" s="171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</row>
    <row r="148" ht="15.0" customHeight="1">
      <c r="A148" s="76">
        <v>140.0</v>
      </c>
      <c r="B148" s="76" t="s">
        <v>1596</v>
      </c>
      <c r="C148" s="76" t="s">
        <v>1597</v>
      </c>
      <c r="D148" s="76" t="s">
        <v>1295</v>
      </c>
      <c r="E148" s="119"/>
      <c r="F148" s="173">
        <f t="array" ref="F148">IFERROR(INDEX('2_Data_Pelanggan'!$S:$S,MATCH(D148,'2_Data_Pelanggan'!$P:$P,0)),"")</f>
        <v>46203</v>
      </c>
      <c r="G148" s="169" t="str">
        <f>IF(COUNTIF('2_Data_Pelanggan'!$P:$P,D148)&gt;0,"Terpasang","Stok/Belum Terpasang")</f>
        <v>Terpasang</v>
      </c>
      <c r="H148" s="170" t="str">
        <f t="array" ref="H148">IFERROR(INDEX('2_Data_Pelanggan'!$B:$B,MATCH(D148,'2_Data_Pelanggan'!$P:$P,0)),"-")</f>
        <v>ARM-0141</v>
      </c>
      <c r="I148" s="171" t="str">
        <f t="array" ref="I148">IFERROR(INDEX('2_Data_Pelanggan'!$D:$D,MATCH(D148,'2_Data_Pelanggan'!$P:$P,0)),"-")</f>
        <v>ATIK PURWANTI </v>
      </c>
      <c r="J148" s="172" t="s">
        <v>1291</v>
      </c>
      <c r="K148" s="171" t="s">
        <v>1598</v>
      </c>
      <c r="L148" s="171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</row>
    <row r="149" ht="15.0" customHeight="1">
      <c r="A149" s="82">
        <v>141.0</v>
      </c>
      <c r="B149" s="82" t="s">
        <v>1596</v>
      </c>
      <c r="C149" s="82" t="s">
        <v>1597</v>
      </c>
      <c r="D149" s="82" t="s">
        <v>1303</v>
      </c>
      <c r="E149" s="73"/>
      <c r="F149" s="168">
        <f t="array" ref="F149">IFERROR(INDEX('2_Data_Pelanggan'!$S:$S,MATCH(D149,'2_Data_Pelanggan'!$P:$P,0)),"")</f>
        <v>46203</v>
      </c>
      <c r="G149" s="169" t="str">
        <f>IF(COUNTIF('2_Data_Pelanggan'!$P:$P,D149)&gt;0,"Terpasang","Stok/Belum Terpasang")</f>
        <v>Terpasang</v>
      </c>
      <c r="H149" s="170" t="str">
        <f t="array" ref="H149">IFERROR(INDEX('2_Data_Pelanggan'!$B:$B,MATCH(D149,'2_Data_Pelanggan'!$P:$P,0)),"-")</f>
        <v>ARM-0142</v>
      </c>
      <c r="I149" s="171" t="str">
        <f t="array" ref="I149">IFERROR(INDEX('2_Data_Pelanggan'!$D:$D,MATCH(D149,'2_Data_Pelanggan'!$P:$P,0)),"-")</f>
        <v>WINA PUTRI MEILIANI</v>
      </c>
      <c r="J149" s="172" t="s">
        <v>1298</v>
      </c>
      <c r="K149" s="171" t="s">
        <v>1598</v>
      </c>
      <c r="L149" s="171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</row>
    <row r="150" ht="15.0" customHeight="1">
      <c r="A150" s="76">
        <v>142.0</v>
      </c>
      <c r="B150" s="76" t="s">
        <v>1596</v>
      </c>
      <c r="C150" s="76" t="s">
        <v>1597</v>
      </c>
      <c r="D150" s="76" t="s">
        <v>1311</v>
      </c>
      <c r="E150" s="119"/>
      <c r="F150" s="173">
        <f t="array" ref="F150">IFERROR(INDEX('2_Data_Pelanggan'!$S:$S,MATCH(D150,'2_Data_Pelanggan'!$P:$P,0)),"")</f>
        <v>46204</v>
      </c>
      <c r="G150" s="169" t="str">
        <f>IF(COUNTIF('2_Data_Pelanggan'!$P:$P,D150)&gt;0,"Terpasang","Stok/Belum Terpasang")</f>
        <v>Terpasang</v>
      </c>
      <c r="H150" s="170" t="str">
        <f t="array" ref="H150">IFERROR(INDEX('2_Data_Pelanggan'!$B:$B,MATCH(D150,'2_Data_Pelanggan'!$P:$P,0)),"-")</f>
        <v>ARM-0143</v>
      </c>
      <c r="I150" s="171" t="str">
        <f t="array" ref="I150">IFERROR(INDEX('2_Data_Pelanggan'!$D:$D,MATCH(D150,'2_Data_Pelanggan'!$P:$P,0)),"-")</f>
        <v>ROBY AGUS PRIYANTO </v>
      </c>
      <c r="J150" s="172" t="s">
        <v>1306</v>
      </c>
      <c r="K150" s="171" t="s">
        <v>1598</v>
      </c>
      <c r="L150" s="171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</row>
    <row r="151" ht="15.0" customHeight="1">
      <c r="A151" s="82">
        <v>143.0</v>
      </c>
      <c r="B151" s="82" t="s">
        <v>1596</v>
      </c>
      <c r="C151" s="82" t="s">
        <v>1597</v>
      </c>
      <c r="D151" s="82" t="s">
        <v>1319</v>
      </c>
      <c r="E151" s="73"/>
      <c r="F151" s="168">
        <f t="array" ref="F151">IFERROR(INDEX('2_Data_Pelanggan'!$S:$S,MATCH(D151,'2_Data_Pelanggan'!$P:$P,0)),"")</f>
        <v>46204</v>
      </c>
      <c r="G151" s="169" t="str">
        <f>IF(COUNTIF('2_Data_Pelanggan'!$P:$P,D151)&gt;0,"Terpasang","Stok/Belum Terpasang")</f>
        <v>Terpasang</v>
      </c>
      <c r="H151" s="170" t="str">
        <f t="array" ref="H151">IFERROR(INDEX('2_Data_Pelanggan'!$B:$B,MATCH(D151,'2_Data_Pelanggan'!$P:$P,0)),"-")</f>
        <v>ARM-0144</v>
      </c>
      <c r="I151" s="171" t="str">
        <f t="array" ref="I151">IFERROR(INDEX('2_Data_Pelanggan'!$D:$D,MATCH(D151,'2_Data_Pelanggan'!$P:$P,0)),"-")</f>
        <v>RAWEN</v>
      </c>
      <c r="J151" s="172" t="s">
        <v>1314</v>
      </c>
      <c r="K151" s="171" t="s">
        <v>1598</v>
      </c>
      <c r="L151" s="171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</row>
    <row r="152" ht="15.0" customHeight="1">
      <c r="A152" s="76">
        <v>144.0</v>
      </c>
      <c r="B152" s="76" t="s">
        <v>1596</v>
      </c>
      <c r="C152" s="76" t="s">
        <v>1597</v>
      </c>
      <c r="D152" s="76" t="s">
        <v>1326</v>
      </c>
      <c r="E152" s="119"/>
      <c r="F152" s="173">
        <f t="array" ref="F152">IFERROR(INDEX('2_Data_Pelanggan'!$S:$S,MATCH(D152,'2_Data_Pelanggan'!$P:$P,0)),"")</f>
        <v>46205</v>
      </c>
      <c r="G152" s="169" t="str">
        <f>IF(COUNTIF('2_Data_Pelanggan'!$P:$P,D152)&gt;0,"Terpasang","Stok/Belum Terpasang")</f>
        <v>Terpasang</v>
      </c>
      <c r="H152" s="170" t="str">
        <f t="array" ref="H152">IFERROR(INDEX('2_Data_Pelanggan'!$B:$B,MATCH(D152,'2_Data_Pelanggan'!$P:$P,0)),"-")</f>
        <v>ARM-0145</v>
      </c>
      <c r="I152" s="171" t="str">
        <f t="array" ref="I152">IFERROR(INDEX('2_Data_Pelanggan'!$D:$D,MATCH(D152,'2_Data_Pelanggan'!$P:$P,0)),"-")</f>
        <v>TARWONO</v>
      </c>
      <c r="J152" s="172" t="s">
        <v>1322</v>
      </c>
      <c r="K152" s="171" t="s">
        <v>1598</v>
      </c>
      <c r="L152" s="171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</row>
    <row r="153" ht="15.0" customHeight="1">
      <c r="A153" s="82">
        <v>145.0</v>
      </c>
      <c r="B153" s="82" t="s">
        <v>1596</v>
      </c>
      <c r="C153" s="82" t="s">
        <v>1597</v>
      </c>
      <c r="D153" s="82" t="s">
        <v>1334</v>
      </c>
      <c r="E153" s="73"/>
      <c r="F153" s="168">
        <f t="array" ref="F153">IFERROR(INDEX('2_Data_Pelanggan'!$S:$S,MATCH(D153,'2_Data_Pelanggan'!$P:$P,0)),"")</f>
        <v>46204</v>
      </c>
      <c r="G153" s="169" t="str">
        <f>IF(COUNTIF('2_Data_Pelanggan'!$P:$P,D153)&gt;0,"Terpasang","Stok/Belum Terpasang")</f>
        <v>Terpasang</v>
      </c>
      <c r="H153" s="170" t="str">
        <f t="array" ref="H153">IFERROR(INDEX('2_Data_Pelanggan'!$B:$B,MATCH(D153,'2_Data_Pelanggan'!$P:$P,0)),"-")</f>
        <v>ARM-0146</v>
      </c>
      <c r="I153" s="171" t="str">
        <f t="array" ref="I153">IFERROR(INDEX('2_Data_Pelanggan'!$D:$D,MATCH(D153,'2_Data_Pelanggan'!$P:$P,0)),"-")</f>
        <v>RICKY CANDRA PURNAMA</v>
      </c>
      <c r="J153" s="172" t="s">
        <v>1329</v>
      </c>
      <c r="K153" s="171" t="s">
        <v>1598</v>
      </c>
      <c r="L153" s="171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</row>
    <row r="154" ht="15.0" customHeight="1">
      <c r="A154" s="76">
        <v>146.0</v>
      </c>
      <c r="B154" s="76" t="s">
        <v>1596</v>
      </c>
      <c r="C154" s="76" t="s">
        <v>1597</v>
      </c>
      <c r="D154" s="76" t="s">
        <v>1338</v>
      </c>
      <c r="E154" s="119"/>
      <c r="F154" s="173">
        <f t="array" ref="F154">IFERROR(INDEX('2_Data_Pelanggan'!$S:$S,MATCH(D154,'2_Data_Pelanggan'!$P:$P,0)),"")</f>
        <v>46205</v>
      </c>
      <c r="G154" s="169" t="str">
        <f>IF(COUNTIF('2_Data_Pelanggan'!$P:$P,D154)&gt;0,"Terpasang","Stok/Belum Terpasang")</f>
        <v>Terpasang</v>
      </c>
      <c r="H154" s="170" t="str">
        <f t="array" ref="H154">IFERROR(INDEX('2_Data_Pelanggan'!$B:$B,MATCH(D154,'2_Data_Pelanggan'!$P:$P,0)),"-")</f>
        <v>ARM-0147</v>
      </c>
      <c r="I154" s="171" t="str">
        <f t="array" ref="I154">IFERROR(INDEX('2_Data_Pelanggan'!$D:$D,MATCH(D154,'2_Data_Pelanggan'!$P:$P,0)),"-")</f>
        <v>TARWONO</v>
      </c>
      <c r="J154" s="172" t="s">
        <v>1336</v>
      </c>
      <c r="K154" s="171" t="s">
        <v>1598</v>
      </c>
      <c r="L154" s="171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</row>
    <row r="155" ht="15.0" customHeight="1">
      <c r="A155" s="82">
        <v>147.0</v>
      </c>
      <c r="B155" s="82" t="s">
        <v>1596</v>
      </c>
      <c r="C155" s="82" t="s">
        <v>1597</v>
      </c>
      <c r="D155" s="82" t="s">
        <v>1345</v>
      </c>
      <c r="E155" s="73"/>
      <c r="F155" s="168">
        <f t="array" ref="F155">IFERROR(INDEX('2_Data_Pelanggan'!$S:$S,MATCH(D155,'2_Data_Pelanggan'!$P:$P,0)),"")</f>
        <v>46205</v>
      </c>
      <c r="G155" s="169" t="str">
        <f>IF(COUNTIF('2_Data_Pelanggan'!$P:$P,D155)&gt;0,"Terpasang","Stok/Belum Terpasang")</f>
        <v>Terpasang</v>
      </c>
      <c r="H155" s="170" t="str">
        <f t="array" ref="H155">IFERROR(INDEX('2_Data_Pelanggan'!$B:$B,MATCH(D155,'2_Data_Pelanggan'!$P:$P,0)),"-")</f>
        <v>ARM-0148</v>
      </c>
      <c r="I155" s="171" t="str">
        <f t="array" ref="I155">IFERROR(INDEX('2_Data_Pelanggan'!$D:$D,MATCH(D155,'2_Data_Pelanggan'!$P:$P,0)),"-")</f>
        <v>SAINO</v>
      </c>
      <c r="J155" s="172" t="s">
        <v>1340</v>
      </c>
      <c r="K155" s="171" t="s">
        <v>1598</v>
      </c>
      <c r="L155" s="171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</row>
    <row r="156" ht="15.0" customHeight="1">
      <c r="A156" s="76">
        <v>148.0</v>
      </c>
      <c r="B156" s="76" t="s">
        <v>1596</v>
      </c>
      <c r="C156" s="76" t="s">
        <v>1597</v>
      </c>
      <c r="D156" s="76" t="s">
        <v>1352</v>
      </c>
      <c r="E156" s="119"/>
      <c r="F156" s="173">
        <f t="array" ref="F156">IFERROR(INDEX('2_Data_Pelanggan'!$S:$S,MATCH(D156,'2_Data_Pelanggan'!$P:$P,0)),"")</f>
        <v>46205</v>
      </c>
      <c r="G156" s="169" t="str">
        <f>IF(COUNTIF('2_Data_Pelanggan'!$P:$P,D156)&gt;0,"Terpasang","Stok/Belum Terpasang")</f>
        <v>Terpasang</v>
      </c>
      <c r="H156" s="170" t="str">
        <f t="array" ref="H156">IFERROR(INDEX('2_Data_Pelanggan'!$B:$B,MATCH(D156,'2_Data_Pelanggan'!$P:$P,0)),"-")</f>
        <v>ARM-0149</v>
      </c>
      <c r="I156" s="171" t="str">
        <f t="array" ref="I156">IFERROR(INDEX('2_Data_Pelanggan'!$D:$D,MATCH(D156,'2_Data_Pelanggan'!$P:$P,0)),"-")</f>
        <v>HENI KURLIYAH</v>
      </c>
      <c r="J156" s="172" t="s">
        <v>1348</v>
      </c>
      <c r="K156" s="171" t="s">
        <v>1598</v>
      </c>
      <c r="L156" s="171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</row>
    <row r="157" ht="15.0" customHeight="1">
      <c r="A157" s="82">
        <v>149.0</v>
      </c>
      <c r="B157" s="82" t="s">
        <v>1596</v>
      </c>
      <c r="C157" s="82" t="s">
        <v>1597</v>
      </c>
      <c r="D157" s="82" t="s">
        <v>1360</v>
      </c>
      <c r="E157" s="73"/>
      <c r="F157" s="168">
        <f t="array" ref="F157">IFERROR(INDEX('2_Data_Pelanggan'!$S:$S,MATCH(D157,'2_Data_Pelanggan'!$P:$P,0)),"")</f>
        <v>46206</v>
      </c>
      <c r="G157" s="169" t="str">
        <f>IF(COUNTIF('2_Data_Pelanggan'!$P:$P,D157)&gt;0,"Terpasang","Stok/Belum Terpasang")</f>
        <v>Terpasang</v>
      </c>
      <c r="H157" s="170" t="str">
        <f t="array" ref="H157">IFERROR(INDEX('2_Data_Pelanggan'!$B:$B,MATCH(D157,'2_Data_Pelanggan'!$P:$P,0)),"-")</f>
        <v>ARM-0150</v>
      </c>
      <c r="I157" s="171" t="str">
        <f t="array" ref="I157">IFERROR(INDEX('2_Data_Pelanggan'!$D:$D,MATCH(D157,'2_Data_Pelanggan'!$P:$P,0)),"-")</f>
        <v>NETI</v>
      </c>
      <c r="J157" s="172" t="s">
        <v>1355</v>
      </c>
      <c r="K157" s="171" t="s">
        <v>1598</v>
      </c>
      <c r="L157" s="171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</row>
    <row r="158" ht="15.0" customHeight="1">
      <c r="A158" s="76">
        <v>150.0</v>
      </c>
      <c r="B158" s="76" t="s">
        <v>1596</v>
      </c>
      <c r="C158" s="76" t="s">
        <v>1597</v>
      </c>
      <c r="D158" s="76" t="s">
        <v>1368</v>
      </c>
      <c r="E158" s="119"/>
      <c r="F158" s="173">
        <f t="array" ref="F158">IFERROR(INDEX('2_Data_Pelanggan'!$S:$S,MATCH(D158,'2_Data_Pelanggan'!$P:$P,0)),"")</f>
        <v>46206</v>
      </c>
      <c r="G158" s="169" t="str">
        <f>IF(COUNTIF('2_Data_Pelanggan'!$P:$P,D158)&gt;0,"Terpasang","Stok/Belum Terpasang")</f>
        <v>Terpasang</v>
      </c>
      <c r="H158" s="170" t="str">
        <f t="array" ref="H158">IFERROR(INDEX('2_Data_Pelanggan'!$B:$B,MATCH(D158,'2_Data_Pelanggan'!$P:$P,0)),"-")</f>
        <v>ARM-0151</v>
      </c>
      <c r="I158" s="171" t="str">
        <f t="array" ref="I158">IFERROR(INDEX('2_Data_Pelanggan'!$D:$D,MATCH(D158,'2_Data_Pelanggan'!$P:$P,0)),"-")</f>
        <v>HERRY SUPRAPTO </v>
      </c>
      <c r="J158" s="172" t="s">
        <v>1363</v>
      </c>
      <c r="K158" s="171" t="s">
        <v>1598</v>
      </c>
      <c r="L158" s="171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</row>
    <row r="159" ht="15.0" customHeight="1">
      <c r="A159" s="82">
        <v>151.0</v>
      </c>
      <c r="B159" s="82" t="s">
        <v>1596</v>
      </c>
      <c r="C159" s="82" t="s">
        <v>1597</v>
      </c>
      <c r="D159" s="82" t="s">
        <v>1375</v>
      </c>
      <c r="E159" s="73"/>
      <c r="F159" s="168">
        <f t="array" ref="F159">IFERROR(INDEX('2_Data_Pelanggan'!$S:$S,MATCH(D159,'2_Data_Pelanggan'!$P:$P,0)),"")</f>
        <v>46206</v>
      </c>
      <c r="G159" s="169" t="str">
        <f>IF(COUNTIF('2_Data_Pelanggan'!$P:$P,D159)&gt;0,"Terpasang","Stok/Belum Terpasang")</f>
        <v>Terpasang</v>
      </c>
      <c r="H159" s="170" t="str">
        <f t="array" ref="H159">IFERROR(INDEX('2_Data_Pelanggan'!$B:$B,MATCH(D159,'2_Data_Pelanggan'!$P:$P,0)),"-")</f>
        <v>ARM-0152</v>
      </c>
      <c r="I159" s="171" t="str">
        <f t="array" ref="I159">IFERROR(INDEX('2_Data_Pelanggan'!$D:$D,MATCH(D159,'2_Data_Pelanggan'!$P:$P,0)),"-")</f>
        <v>WASINGUN</v>
      </c>
      <c r="J159" s="172" t="s">
        <v>1370</v>
      </c>
      <c r="K159" s="171" t="s">
        <v>1598</v>
      </c>
      <c r="L159" s="171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</row>
    <row r="160" ht="15.0" customHeight="1">
      <c r="A160" s="76">
        <v>152.0</v>
      </c>
      <c r="B160" s="76" t="s">
        <v>1596</v>
      </c>
      <c r="C160" s="76" t="s">
        <v>1597</v>
      </c>
      <c r="D160" s="76" t="s">
        <v>1383</v>
      </c>
      <c r="E160" s="119"/>
      <c r="F160" s="173">
        <f t="array" ref="F160">IFERROR(INDEX('2_Data_Pelanggan'!$S:$S,MATCH(D160,'2_Data_Pelanggan'!$P:$P,0)),"")</f>
        <v>46206</v>
      </c>
      <c r="G160" s="169" t="str">
        <f>IF(COUNTIF('2_Data_Pelanggan'!$P:$P,D160)&gt;0,"Terpasang","Stok/Belum Terpasang")</f>
        <v>Terpasang</v>
      </c>
      <c r="H160" s="170" t="str">
        <f t="array" ref="H160">IFERROR(INDEX('2_Data_Pelanggan'!$B:$B,MATCH(D160,'2_Data_Pelanggan'!$P:$P,0)),"-")</f>
        <v>ARM-0153</v>
      </c>
      <c r="I160" s="171" t="str">
        <f t="array" ref="I160">IFERROR(INDEX('2_Data_Pelanggan'!$D:$D,MATCH(D160,'2_Data_Pelanggan'!$P:$P,0)),"-")</f>
        <v>MARJITO</v>
      </c>
      <c r="J160" s="172" t="s">
        <v>1378</v>
      </c>
      <c r="K160" s="171" t="s">
        <v>1598</v>
      </c>
      <c r="L160" s="171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</row>
    <row r="161" ht="15.0" customHeight="1">
      <c r="A161" s="82">
        <v>153.0</v>
      </c>
      <c r="B161" s="82" t="s">
        <v>1596</v>
      </c>
      <c r="C161" s="82" t="s">
        <v>1597</v>
      </c>
      <c r="D161" s="82" t="s">
        <v>1391</v>
      </c>
      <c r="E161" s="73"/>
      <c r="F161" s="168">
        <f t="array" ref="F161">IFERROR(INDEX('2_Data_Pelanggan'!$S:$S,MATCH(D161,'2_Data_Pelanggan'!$P:$P,0)),"")</f>
        <v>46207</v>
      </c>
      <c r="G161" s="169" t="str">
        <f>IF(COUNTIF('2_Data_Pelanggan'!$P:$P,D161)&gt;0,"Terpasang","Stok/Belum Terpasang")</f>
        <v>Terpasang</v>
      </c>
      <c r="H161" s="170" t="str">
        <f t="array" ref="H161">IFERROR(INDEX('2_Data_Pelanggan'!$B:$B,MATCH(D161,'2_Data_Pelanggan'!$P:$P,0)),"-")</f>
        <v>ARM-0154</v>
      </c>
      <c r="I161" s="171" t="str">
        <f t="array" ref="I161">IFERROR(INDEX('2_Data_Pelanggan'!$D:$D,MATCH(D161,'2_Data_Pelanggan'!$P:$P,0)),"-")</f>
        <v>ANITA YUNITA</v>
      </c>
      <c r="J161" s="172" t="s">
        <v>1386</v>
      </c>
      <c r="K161" s="171" t="s">
        <v>1598</v>
      </c>
      <c r="L161" s="171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</row>
    <row r="162" ht="15.0" customHeight="1">
      <c r="A162" s="76">
        <v>154.0</v>
      </c>
      <c r="B162" s="76" t="s">
        <v>1596</v>
      </c>
      <c r="C162" s="76" t="s">
        <v>1597</v>
      </c>
      <c r="D162" s="76" t="s">
        <v>1399</v>
      </c>
      <c r="E162" s="119"/>
      <c r="F162" s="173">
        <f t="array" ref="F162">IFERROR(INDEX('2_Data_Pelanggan'!$S:$S,MATCH(D162,'2_Data_Pelanggan'!$P:$P,0)),"")</f>
        <v>46206</v>
      </c>
      <c r="G162" s="169" t="str">
        <f>IF(COUNTIF('2_Data_Pelanggan'!$P:$P,D162)&gt;0,"Terpasang","Stok/Belum Terpasang")</f>
        <v>Terpasang</v>
      </c>
      <c r="H162" s="170" t="str">
        <f t="array" ref="H162">IFERROR(INDEX('2_Data_Pelanggan'!$B:$B,MATCH(D162,'2_Data_Pelanggan'!$P:$P,0)),"-")</f>
        <v>ARM-0155</v>
      </c>
      <c r="I162" s="171" t="str">
        <f t="array" ref="I162">IFERROR(INDEX('2_Data_Pelanggan'!$D:$D,MATCH(D162,'2_Data_Pelanggan'!$P:$P,0)),"-")</f>
        <v>TARYONO</v>
      </c>
      <c r="J162" s="172" t="s">
        <v>1394</v>
      </c>
      <c r="K162" s="171" t="s">
        <v>1598</v>
      </c>
      <c r="L162" s="171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</row>
    <row r="163" ht="15.0" customHeight="1">
      <c r="A163" s="82">
        <v>155.0</v>
      </c>
      <c r="B163" s="82" t="s">
        <v>1596</v>
      </c>
      <c r="C163" s="82" t="s">
        <v>1597</v>
      </c>
      <c r="D163" s="82" t="s">
        <v>1407</v>
      </c>
      <c r="E163" s="73"/>
      <c r="F163" s="168">
        <f t="array" ref="F163">IFERROR(INDEX('2_Data_Pelanggan'!$S:$S,MATCH(D163,'2_Data_Pelanggan'!$P:$P,0)),"")</f>
        <v>46209</v>
      </c>
      <c r="G163" s="169" t="str">
        <f>IF(COUNTIF('2_Data_Pelanggan'!$P:$P,D163)&gt;0,"Terpasang","Stok/Belum Terpasang")</f>
        <v>Terpasang</v>
      </c>
      <c r="H163" s="170" t="str">
        <f t="array" ref="H163">IFERROR(INDEX('2_Data_Pelanggan'!$B:$B,MATCH(D163,'2_Data_Pelanggan'!$P:$P,0)),"-")</f>
        <v>ARM-0156</v>
      </c>
      <c r="I163" s="171" t="str">
        <f t="array" ref="I163">IFERROR(INDEX('2_Data_Pelanggan'!$D:$D,MATCH(D163,'2_Data_Pelanggan'!$P:$P,0)),"-")</f>
        <v>SULISTIYONO</v>
      </c>
      <c r="J163" s="172" t="s">
        <v>1402</v>
      </c>
      <c r="K163" s="171" t="s">
        <v>1598</v>
      </c>
      <c r="L163" s="171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</row>
    <row r="164" ht="15.0" customHeight="1">
      <c r="A164" s="76">
        <v>156.0</v>
      </c>
      <c r="B164" s="76" t="s">
        <v>1596</v>
      </c>
      <c r="C164" s="76" t="s">
        <v>1597</v>
      </c>
      <c r="D164" s="76" t="s">
        <v>1415</v>
      </c>
      <c r="E164" s="119"/>
      <c r="F164" s="173">
        <f t="array" ref="F164">IFERROR(INDEX('2_Data_Pelanggan'!$S:$S,MATCH(D164,'2_Data_Pelanggan'!$P:$P,0)),"")</f>
        <v>46206</v>
      </c>
      <c r="G164" s="169" t="str">
        <f>IF(COUNTIF('2_Data_Pelanggan'!$P:$P,D164)&gt;0,"Terpasang","Stok/Belum Terpasang")</f>
        <v>Terpasang</v>
      </c>
      <c r="H164" s="170" t="str">
        <f t="array" ref="H164">IFERROR(INDEX('2_Data_Pelanggan'!$B:$B,MATCH(D164,'2_Data_Pelanggan'!$P:$P,0)),"-")</f>
        <v>ARM-0157</v>
      </c>
      <c r="I164" s="171" t="str">
        <f t="array" ref="I164">IFERROR(INDEX('2_Data_Pelanggan'!$D:$D,MATCH(D164,'2_Data_Pelanggan'!$P:$P,0)),"-")</f>
        <v>TITIN RESTIYANI</v>
      </c>
      <c r="J164" s="172" t="s">
        <v>1410</v>
      </c>
      <c r="K164" s="171" t="s">
        <v>1598</v>
      </c>
      <c r="L164" s="171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</row>
    <row r="165" ht="15.0" customHeight="1">
      <c r="A165" s="82">
        <v>157.0</v>
      </c>
      <c r="B165" s="82" t="s">
        <v>1596</v>
      </c>
      <c r="C165" s="82" t="s">
        <v>1597</v>
      </c>
      <c r="D165" s="82" t="s">
        <v>1423</v>
      </c>
      <c r="E165" s="73"/>
      <c r="F165" s="168">
        <f t="array" ref="F165">IFERROR(INDEX('2_Data_Pelanggan'!$S:$S,MATCH(D165,'2_Data_Pelanggan'!$P:$P,0)),"")</f>
        <v>46209</v>
      </c>
      <c r="G165" s="169" t="str">
        <f>IF(COUNTIF('2_Data_Pelanggan'!$P:$P,D165)&gt;0,"Terpasang","Stok/Belum Terpasang")</f>
        <v>Terpasang</v>
      </c>
      <c r="H165" s="170" t="str">
        <f t="array" ref="H165">IFERROR(INDEX('2_Data_Pelanggan'!$B:$B,MATCH(D165,'2_Data_Pelanggan'!$P:$P,0)),"-")</f>
        <v>ARM-0158</v>
      </c>
      <c r="I165" s="171" t="str">
        <f t="array" ref="I165">IFERROR(INDEX('2_Data_Pelanggan'!$D:$D,MATCH(D165,'2_Data_Pelanggan'!$P:$P,0)),"-")</f>
        <v>SRIYATI NINGRUM</v>
      </c>
      <c r="J165" s="172" t="s">
        <v>1418</v>
      </c>
      <c r="K165" s="171" t="s">
        <v>1598</v>
      </c>
      <c r="L165" s="171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</row>
    <row r="166" ht="15.0" customHeight="1">
      <c r="A166" s="76">
        <v>158.0</v>
      </c>
      <c r="B166" s="76" t="s">
        <v>1596</v>
      </c>
      <c r="C166" s="76" t="s">
        <v>1597</v>
      </c>
      <c r="D166" s="76" t="s">
        <v>1429</v>
      </c>
      <c r="E166" s="119"/>
      <c r="F166" s="173">
        <f t="array" ref="F166">IFERROR(INDEX('2_Data_Pelanggan'!$S:$S,MATCH(D166,'2_Data_Pelanggan'!$P:$P,0)),"")</f>
        <v>46210</v>
      </c>
      <c r="G166" s="169" t="str">
        <f>IF(COUNTIF('2_Data_Pelanggan'!$P:$P,D166)&gt;0,"Terpasang","Stok/Belum Terpasang")</f>
        <v>Terpasang</v>
      </c>
      <c r="H166" s="170" t="str">
        <f t="array" ref="H166">IFERROR(INDEX('2_Data_Pelanggan'!$B:$B,MATCH(D166,'2_Data_Pelanggan'!$P:$P,0)),"-")</f>
        <v>ARM-0159</v>
      </c>
      <c r="I166" s="171" t="str">
        <f t="array" ref="I166">IFERROR(INDEX('2_Data_Pelanggan'!$D:$D,MATCH(D166,'2_Data_Pelanggan'!$P:$P,0)),"-")</f>
        <v>SURIPNO</v>
      </c>
      <c r="J166" s="172" t="s">
        <v>1426</v>
      </c>
      <c r="K166" s="171" t="s">
        <v>1598</v>
      </c>
      <c r="L166" s="171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</row>
    <row r="167" ht="15.0" customHeight="1">
      <c r="A167" s="82">
        <v>159.0</v>
      </c>
      <c r="B167" s="82" t="s">
        <v>1596</v>
      </c>
      <c r="C167" s="82" t="s">
        <v>1597</v>
      </c>
      <c r="D167" s="82" t="s">
        <v>1438</v>
      </c>
      <c r="E167" s="73"/>
      <c r="F167" s="168">
        <f t="array" ref="F167">IFERROR(INDEX('2_Data_Pelanggan'!$S:$S,MATCH(D167,'2_Data_Pelanggan'!$P:$P,0)),"")</f>
        <v>46210</v>
      </c>
      <c r="G167" s="169" t="str">
        <f>IF(COUNTIF('2_Data_Pelanggan'!$P:$P,D167)&gt;0,"Terpasang","Stok/Belum Terpasang")</f>
        <v>Terpasang</v>
      </c>
      <c r="H167" s="170" t="str">
        <f t="array" ref="H167">IFERROR(INDEX('2_Data_Pelanggan'!$B:$B,MATCH(D167,'2_Data_Pelanggan'!$P:$P,0)),"-")</f>
        <v>ARM-0160</v>
      </c>
      <c r="I167" s="171" t="str">
        <f t="array" ref="I167">IFERROR(INDEX('2_Data_Pelanggan'!$D:$D,MATCH(D167,'2_Data_Pelanggan'!$P:$P,0)),"-")</f>
        <v>SUMINTO</v>
      </c>
      <c r="J167" s="172" t="s">
        <v>1432</v>
      </c>
      <c r="K167" s="171" t="s">
        <v>1598</v>
      </c>
      <c r="L167" s="171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</row>
    <row r="168" ht="15.0" customHeight="1">
      <c r="A168" s="76">
        <v>160.0</v>
      </c>
      <c r="B168" s="76" t="s">
        <v>1596</v>
      </c>
      <c r="C168" s="76" t="s">
        <v>1597</v>
      </c>
      <c r="D168" s="76" t="s">
        <v>1444</v>
      </c>
      <c r="E168" s="119"/>
      <c r="F168" s="173">
        <f t="array" ref="F168">IFERROR(INDEX('2_Data_Pelanggan'!$S:$S,MATCH(D168,'2_Data_Pelanggan'!$P:$P,0)),"")</f>
        <v>46211.63234</v>
      </c>
      <c r="G168" s="169" t="str">
        <f>IF(COUNTIF('2_Data_Pelanggan'!$P:$P,D168)&gt;0,"Terpasang","Stok/Belum Terpasang")</f>
        <v>Terpasang</v>
      </c>
      <c r="H168" s="170" t="str">
        <f t="array" ref="H168">IFERROR(INDEX('2_Data_Pelanggan'!$B:$B,MATCH(D168,'2_Data_Pelanggan'!$P:$P,0)),"-")</f>
        <v>ARM-0161</v>
      </c>
      <c r="I168" s="171" t="str">
        <f t="array" ref="I168">IFERROR(INDEX('2_Data_Pelanggan'!$D:$D,MATCH(D168,'2_Data_Pelanggan'!$P:$P,0)),"-")</f>
        <v>ANDHIKA DWI SAPUTRA</v>
      </c>
      <c r="J168" s="172" t="s">
        <v>1440</v>
      </c>
      <c r="K168" s="171" t="s">
        <v>1598</v>
      </c>
      <c r="L168" s="171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</row>
    <row r="169" ht="15.0" customHeight="1">
      <c r="A169" s="82">
        <v>161.0</v>
      </c>
      <c r="B169" s="82" t="s">
        <v>1596</v>
      </c>
      <c r="C169" s="82" t="s">
        <v>1597</v>
      </c>
      <c r="D169" s="82" t="s">
        <v>1452</v>
      </c>
      <c r="E169" s="73"/>
      <c r="F169" s="168">
        <f t="array" ref="F169">IFERROR(INDEX('2_Data_Pelanggan'!$S:$S,MATCH(D169,'2_Data_Pelanggan'!$P:$P,0)),"")</f>
        <v>46205</v>
      </c>
      <c r="G169" s="78" t="str">
        <f>IF(COUNTIF('2_Data_Pelanggan'!$P:$P,D169)&gt;0,"Terpasang","Stok/Belum Terpasang")</f>
        <v>Terpasang</v>
      </c>
      <c r="H169" s="170" t="str">
        <f t="array" ref="H169">IFERROR(INDEX('2_Data_Pelanggan'!$B:$B,MATCH(D169,'2_Data_Pelanggan'!$P:$P,0)),"-")</f>
        <v>ARM-0162</v>
      </c>
      <c r="I169" s="171" t="str">
        <f t="array" ref="I169">IFERROR(INDEX('2_Data_Pelanggan'!$D:$D,MATCH(D169,'2_Data_Pelanggan'!$P:$P,0)),"-")</f>
        <v>SUYATI</v>
      </c>
      <c r="J169" s="172" t="s">
        <v>1605</v>
      </c>
      <c r="K169" s="171" t="s">
        <v>1598</v>
      </c>
      <c r="L169" s="171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</row>
    <row r="170" ht="15.0" customHeight="1">
      <c r="A170" s="76">
        <v>162.0</v>
      </c>
      <c r="B170" s="76" t="s">
        <v>1596</v>
      </c>
      <c r="C170" s="76" t="s">
        <v>1597</v>
      </c>
      <c r="D170" s="76" t="s">
        <v>1457</v>
      </c>
      <c r="E170" s="119"/>
      <c r="F170" s="173">
        <f t="array" ref="F170">IFERROR(INDEX('2_Data_Pelanggan'!$S:$S,MATCH(D170,'2_Data_Pelanggan'!$P:$P,0)),"")</f>
        <v>46272</v>
      </c>
      <c r="G170" s="78" t="str">
        <f>IF(COUNTIF('2_Data_Pelanggan'!$P:$P,D170)&gt;0,"Terpasang","Stok/Belum Terpasang")</f>
        <v>Terpasang</v>
      </c>
      <c r="H170" s="170" t="str">
        <f t="array" ref="H170">IFERROR(INDEX('2_Data_Pelanggan'!$B:$B,MATCH(D170,'2_Data_Pelanggan'!$P:$P,0)),"-")</f>
        <v>ARM-0163</v>
      </c>
      <c r="I170" s="171" t="str">
        <f t="array" ref="I170">IFERROR(INDEX('2_Data_Pelanggan'!$D:$D,MATCH(D170,'2_Data_Pelanggan'!$P:$P,0)),"-")</f>
        <v>RAMINAH</v>
      </c>
      <c r="J170" s="172" t="s">
        <v>1605</v>
      </c>
      <c r="K170" s="171" t="s">
        <v>1598</v>
      </c>
      <c r="L170" s="171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</row>
    <row r="171" ht="15.0" customHeight="1">
      <c r="A171" s="82">
        <v>163.0</v>
      </c>
      <c r="B171" s="82" t="s">
        <v>1596</v>
      </c>
      <c r="C171" s="82" t="s">
        <v>1597</v>
      </c>
      <c r="D171" s="82" t="s">
        <v>1466</v>
      </c>
      <c r="E171" s="73"/>
      <c r="F171" s="168">
        <f t="array" ref="F171">IFERROR(INDEX('2_Data_Pelanggan'!$S:$S,MATCH(D171,'2_Data_Pelanggan'!$P:$P,0)),"")</f>
        <v>46272</v>
      </c>
      <c r="G171" s="78" t="str">
        <f>IF(COUNTIF('2_Data_Pelanggan'!$P:$P,D171)&gt;0,"Terpasang","Stok/Belum Terpasang")</f>
        <v>Terpasang</v>
      </c>
      <c r="H171" s="170" t="str">
        <f t="array" ref="H171">IFERROR(INDEX('2_Data_Pelanggan'!$B:$B,MATCH(D171,'2_Data_Pelanggan'!$P:$P,0)),"-")</f>
        <v>ARM-0164</v>
      </c>
      <c r="I171" s="171" t="str">
        <f t="array" ref="I171">IFERROR(INDEX('2_Data_Pelanggan'!$D:$D,MATCH(D171,'2_Data_Pelanggan'!$P:$P,0)),"-")</f>
        <v>SULIYAH</v>
      </c>
      <c r="J171" s="172" t="s">
        <v>1605</v>
      </c>
      <c r="K171" s="171" t="s">
        <v>1598</v>
      </c>
      <c r="L171" s="171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</row>
    <row r="172" ht="15.0" customHeight="1">
      <c r="A172" s="76">
        <v>164.0</v>
      </c>
      <c r="B172" s="76" t="s">
        <v>1596</v>
      </c>
      <c r="C172" s="76" t="s">
        <v>1597</v>
      </c>
      <c r="D172" s="76" t="s">
        <v>1473</v>
      </c>
      <c r="E172" s="119"/>
      <c r="F172" s="173">
        <f t="array" ref="F172">IFERROR(INDEX('2_Data_Pelanggan'!$S:$S,MATCH(D172,'2_Data_Pelanggan'!$P:$P,0)),"")</f>
        <v>46302</v>
      </c>
      <c r="G172" s="78" t="str">
        <f>IF(COUNTIF('2_Data_Pelanggan'!$P:$P,D172)&gt;0,"Terpasang","Stok/Belum Terpasang")</f>
        <v>Terpasang</v>
      </c>
      <c r="H172" s="170" t="str">
        <f t="array" ref="H172">IFERROR(INDEX('2_Data_Pelanggan'!$B:$B,MATCH(D172,'2_Data_Pelanggan'!$P:$P,0)),"-")</f>
        <v>ARM-0165</v>
      </c>
      <c r="I172" s="171" t="str">
        <f t="array" ref="I172">IFERROR(INDEX('2_Data_Pelanggan'!$D:$D,MATCH(D172,'2_Data_Pelanggan'!$P:$P,0)),"-")</f>
        <v>SALSADILA NAHDIATUL AWALIYAH</v>
      </c>
      <c r="J172" s="172" t="s">
        <v>1605</v>
      </c>
      <c r="K172" s="171" t="s">
        <v>1598</v>
      </c>
      <c r="L172" s="171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</row>
    <row r="173" ht="15.0" customHeight="1">
      <c r="A173" s="82">
        <v>165.0</v>
      </c>
      <c r="B173" s="82" t="s">
        <v>1596</v>
      </c>
      <c r="C173" s="82" t="s">
        <v>1597</v>
      </c>
      <c r="D173" s="82" t="s">
        <v>1479</v>
      </c>
      <c r="E173" s="73"/>
      <c r="F173" s="168">
        <f t="array" ref="F173">IFERROR(INDEX('2_Data_Pelanggan'!$S:$S,MATCH(D173,'2_Data_Pelanggan'!$P:$P,0)),"")</f>
        <v>46302</v>
      </c>
      <c r="G173" s="78" t="str">
        <f>IF(COUNTIF('2_Data_Pelanggan'!$P:$P,D173)&gt;0,"Terpasang","Stok/Belum Terpasang")</f>
        <v>Terpasang</v>
      </c>
      <c r="H173" s="170" t="str">
        <f t="array" ref="H173">IFERROR(INDEX('2_Data_Pelanggan'!$B:$B,MATCH(D173,'2_Data_Pelanggan'!$P:$P,0)),"-")</f>
        <v>ARM-0166</v>
      </c>
      <c r="I173" s="171" t="str">
        <f t="array" ref="I173">IFERROR(INDEX('2_Data_Pelanggan'!$D:$D,MATCH(D173,'2_Data_Pelanggan'!$P:$P,0)),"-")</f>
        <v>RUMYATNI</v>
      </c>
      <c r="J173" s="172" t="s">
        <v>1605</v>
      </c>
      <c r="K173" s="171" t="s">
        <v>1598</v>
      </c>
      <c r="L173" s="171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</row>
    <row r="174" ht="15.0" customHeight="1">
      <c r="A174" s="76">
        <v>166.0</v>
      </c>
      <c r="B174" s="76" t="s">
        <v>1596</v>
      </c>
      <c r="C174" s="76" t="s">
        <v>1597</v>
      </c>
      <c r="D174" s="76" t="s">
        <v>1487</v>
      </c>
      <c r="E174" s="119"/>
      <c r="F174" s="173">
        <f t="array" ref="F174">IFERROR(INDEX('2_Data_Pelanggan'!$S:$S,MATCH(D174,'2_Data_Pelanggan'!$P:$P,0)),"")</f>
        <v>46302</v>
      </c>
      <c r="G174" s="78" t="str">
        <f>IF(COUNTIF('2_Data_Pelanggan'!$P:$P,D174)&gt;0,"Terpasang","Stok/Belum Terpasang")</f>
        <v>Terpasang</v>
      </c>
      <c r="H174" s="170" t="str">
        <f t="array" ref="H174">IFERROR(INDEX('2_Data_Pelanggan'!$B:$B,MATCH(D174,'2_Data_Pelanggan'!$P:$P,0)),"-")</f>
        <v>ARM-0167</v>
      </c>
      <c r="I174" s="171" t="str">
        <f t="array" ref="I174">IFERROR(INDEX('2_Data_Pelanggan'!$D:$D,MATCH(D174,'2_Data_Pelanggan'!$P:$P,0)),"-")</f>
        <v>LILIS PRIYANI</v>
      </c>
      <c r="J174" s="172" t="s">
        <v>1605</v>
      </c>
      <c r="K174" s="171" t="s">
        <v>1598</v>
      </c>
      <c r="L174" s="171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</row>
    <row r="175" ht="15.0" customHeight="1">
      <c r="A175" s="82">
        <v>167.0</v>
      </c>
      <c r="B175" s="82" t="s">
        <v>1596</v>
      </c>
      <c r="C175" s="82" t="s">
        <v>1597</v>
      </c>
      <c r="D175" s="82" t="s">
        <v>1495</v>
      </c>
      <c r="E175" s="73"/>
      <c r="F175" s="168">
        <f t="array" ref="F175">IFERROR(INDEX('2_Data_Pelanggan'!$S:$S,MATCH(D175,'2_Data_Pelanggan'!$P:$P,0)),"")</f>
        <v>46302</v>
      </c>
      <c r="G175" s="78" t="str">
        <f>IF(COUNTIF('2_Data_Pelanggan'!$P:$P,D175)&gt;0,"Terpasang","Stok/Belum Terpasang")</f>
        <v>Terpasang</v>
      </c>
      <c r="H175" s="170" t="str">
        <f t="array" ref="H175">IFERROR(INDEX('2_Data_Pelanggan'!$B:$B,MATCH(D175,'2_Data_Pelanggan'!$P:$P,0)),"-")</f>
        <v>ARM-0168</v>
      </c>
      <c r="I175" s="171" t="str">
        <f t="array" ref="I175">IFERROR(INDEX('2_Data_Pelanggan'!$D:$D,MATCH(D175,'2_Data_Pelanggan'!$P:$P,0)),"-")</f>
        <v>WASIM</v>
      </c>
      <c r="J175" s="172" t="s">
        <v>1605</v>
      </c>
      <c r="K175" s="171" t="s">
        <v>1598</v>
      </c>
      <c r="L175" s="171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</row>
    <row r="176" ht="15.0" customHeight="1">
      <c r="A176" s="76">
        <v>168.0</v>
      </c>
      <c r="B176" s="76" t="s">
        <v>1596</v>
      </c>
      <c r="C176" s="76" t="s">
        <v>1597</v>
      </c>
      <c r="D176" s="76" t="s">
        <v>1501</v>
      </c>
      <c r="E176" s="119"/>
      <c r="F176" s="173">
        <f t="array" ref="F176">IFERROR(INDEX('2_Data_Pelanggan'!$S:$S,MATCH(D176,'2_Data_Pelanggan'!$P:$P,0)),"")</f>
        <v>46302</v>
      </c>
      <c r="G176" s="78" t="str">
        <f>IF(COUNTIF('2_Data_Pelanggan'!$P:$P,D176)&gt;0,"Terpasang","Stok/Belum Terpasang")</f>
        <v>Terpasang</v>
      </c>
      <c r="H176" s="170" t="str">
        <f t="array" ref="H176">IFERROR(INDEX('2_Data_Pelanggan'!$B:$B,MATCH(D176,'2_Data_Pelanggan'!$P:$P,0)),"-")</f>
        <v>ARM-0169</v>
      </c>
      <c r="I176" s="171" t="str">
        <f t="array" ref="I176">IFERROR(INDEX('2_Data_Pelanggan'!$D:$D,MATCH(D176,'2_Data_Pelanggan'!$P:$P,0)),"-")</f>
        <v>KUSTILAH</v>
      </c>
      <c r="J176" s="172" t="s">
        <v>1605</v>
      </c>
      <c r="K176" s="171" t="s">
        <v>1598</v>
      </c>
      <c r="L176" s="171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</row>
    <row r="177" ht="15.0" customHeight="1">
      <c r="A177" s="82">
        <v>169.0</v>
      </c>
      <c r="B177" s="82" t="s">
        <v>1596</v>
      </c>
      <c r="C177" s="82" t="s">
        <v>1597</v>
      </c>
      <c r="D177" s="82" t="s">
        <v>1507</v>
      </c>
      <c r="E177" s="73"/>
      <c r="F177" s="168">
        <f t="array" ref="F177">IFERROR(INDEX('2_Data_Pelanggan'!$S:$S,MATCH(D177,'2_Data_Pelanggan'!$P:$P,0)),"")</f>
        <v>46333</v>
      </c>
      <c r="G177" s="78" t="str">
        <f>IF(COUNTIF('2_Data_Pelanggan'!$P:$P,D177)&gt;0,"Terpasang","Stok/Belum Terpasang")</f>
        <v>Terpasang</v>
      </c>
      <c r="H177" s="170" t="str">
        <f t="array" ref="H177">IFERROR(INDEX('2_Data_Pelanggan'!$B:$B,MATCH(D177,'2_Data_Pelanggan'!$P:$P,0)),"-")</f>
        <v>ARM-0170</v>
      </c>
      <c r="I177" s="171" t="str">
        <f t="array" ref="I177">IFERROR(INDEX('2_Data_Pelanggan'!$D:$D,MATCH(D177,'2_Data_Pelanggan'!$P:$P,0)),"-")</f>
        <v>JAMHARI</v>
      </c>
      <c r="J177" s="172" t="s">
        <v>1605</v>
      </c>
      <c r="K177" s="171" t="s">
        <v>1598</v>
      </c>
      <c r="L177" s="171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</row>
    <row r="178" ht="15.0" customHeight="1">
      <c r="A178" s="76">
        <v>170.0</v>
      </c>
      <c r="B178" s="76" t="s">
        <v>1596</v>
      </c>
      <c r="C178" s="76" t="s">
        <v>1597</v>
      </c>
      <c r="D178" s="76" t="s">
        <v>1513</v>
      </c>
      <c r="E178" s="119"/>
      <c r="F178" s="173">
        <f t="array" ref="F178">IFERROR(INDEX('2_Data_Pelanggan'!$S:$S,MATCH(D178,'2_Data_Pelanggan'!$P:$P,0)),"")</f>
        <v>46333</v>
      </c>
      <c r="G178" s="78" t="str">
        <f>IF(COUNTIF('2_Data_Pelanggan'!$P:$P,D178)&gt;0,"Terpasang","Stok/Belum Terpasang")</f>
        <v>Terpasang</v>
      </c>
      <c r="H178" s="170" t="str">
        <f t="array" ref="H178">IFERROR(INDEX('2_Data_Pelanggan'!$B:$B,MATCH(D178,'2_Data_Pelanggan'!$P:$P,0)),"-")</f>
        <v>ARM-0171</v>
      </c>
      <c r="I178" s="171" t="str">
        <f t="array" ref="I178">IFERROR(INDEX('2_Data_Pelanggan'!$D:$D,MATCH(D178,'2_Data_Pelanggan'!$P:$P,0)),"-")</f>
        <v>FIRDOS PRIO GUNAWAN</v>
      </c>
      <c r="J178" s="172" t="s">
        <v>1605</v>
      </c>
      <c r="K178" s="171" t="s">
        <v>1598</v>
      </c>
      <c r="L178" s="171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</row>
    <row r="179" ht="15.0" customHeight="1">
      <c r="A179" s="82">
        <v>171.0</v>
      </c>
      <c r="B179" s="82" t="s">
        <v>1596</v>
      </c>
      <c r="C179" s="82" t="s">
        <v>1597</v>
      </c>
      <c r="D179" s="82" t="s">
        <v>1521</v>
      </c>
      <c r="E179" s="73"/>
      <c r="F179" s="168">
        <f t="array" ref="F179">IFERROR(INDEX('2_Data_Pelanggan'!$S:$S,MATCH(D179,'2_Data_Pelanggan'!$P:$P,0)),"")</f>
        <v>46216</v>
      </c>
      <c r="G179" s="78" t="str">
        <f>IF(COUNTIF('2_Data_Pelanggan'!$P:$P,D179)&gt;0,"Terpasang","Stok/Belum Terpasang")</f>
        <v>Terpasang</v>
      </c>
      <c r="H179" s="170" t="str">
        <f t="array" ref="H179">IFERROR(INDEX('2_Data_Pelanggan'!$B:$B,MATCH(D179,'2_Data_Pelanggan'!$P:$P,0)),"-")</f>
        <v>ARM-0172</v>
      </c>
      <c r="I179" s="171" t="str">
        <f t="array" ref="I179">IFERROR(INDEX('2_Data_Pelanggan'!$D:$D,MATCH(D179,'2_Data_Pelanggan'!$P:$P,0)),"-")</f>
        <v>SHOLICHIN</v>
      </c>
      <c r="J179" s="172" t="s">
        <v>1605</v>
      </c>
      <c r="K179" s="171" t="s">
        <v>1598</v>
      </c>
      <c r="L179" s="171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</row>
    <row r="180" ht="15.0" customHeight="1">
      <c r="A180" s="76">
        <v>172.0</v>
      </c>
      <c r="B180" s="76" t="s">
        <v>1596</v>
      </c>
      <c r="C180" s="76" t="s">
        <v>1597</v>
      </c>
      <c r="D180" s="76" t="s">
        <v>1526</v>
      </c>
      <c r="E180" s="119"/>
      <c r="F180" s="173">
        <f t="array" ref="F180">IFERROR(INDEX('2_Data_Pelanggan'!$S:$S,MATCH(D180,'2_Data_Pelanggan'!$P:$P,0)),"")</f>
        <v>46217</v>
      </c>
      <c r="G180" s="78" t="str">
        <f>IF(COUNTIF('2_Data_Pelanggan'!$P:$P,D180)&gt;0,"Terpasang","Stok/Belum Terpasang")</f>
        <v>Terpasang</v>
      </c>
      <c r="H180" s="170" t="str">
        <f t="array" ref="H180">IFERROR(INDEX('2_Data_Pelanggan'!$B:$B,MATCH(D180,'2_Data_Pelanggan'!$P:$P,0)),"-")</f>
        <v>ARM-0173</v>
      </c>
      <c r="I180" s="171" t="str">
        <f t="array" ref="I180">IFERROR(INDEX('2_Data_Pelanggan'!$D:$D,MATCH(D180,'2_Data_Pelanggan'!$P:$P,0)),"-")</f>
        <v>RIMBOWO</v>
      </c>
      <c r="J180" s="172" t="s">
        <v>1605</v>
      </c>
      <c r="K180" s="171" t="s">
        <v>1598</v>
      </c>
      <c r="L180" s="171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</row>
    <row r="181" ht="15.0" customHeight="1">
      <c r="A181" s="82">
        <v>173.0</v>
      </c>
      <c r="B181" s="82" t="s">
        <v>1596</v>
      </c>
      <c r="C181" s="82" t="s">
        <v>1597</v>
      </c>
      <c r="D181" s="82" t="s">
        <v>1534</v>
      </c>
      <c r="E181" s="73"/>
      <c r="F181" s="168">
        <f t="array" ref="F181">IFERROR(INDEX('2_Data_Pelanggan'!$S:$S,MATCH(D181,'2_Data_Pelanggan'!$P:$P,0)),"")</f>
        <v>46218</v>
      </c>
      <c r="G181" s="78" t="str">
        <f>IF(COUNTIF('2_Data_Pelanggan'!$P:$P,D181)&gt;0,"Terpasang","Stok/Belum Terpasang")</f>
        <v>Terpasang</v>
      </c>
      <c r="H181" s="170" t="str">
        <f t="array" ref="H181">IFERROR(INDEX('2_Data_Pelanggan'!$B:$B,MATCH(D181,'2_Data_Pelanggan'!$P:$P,0)),"-")</f>
        <v>ARM-0174</v>
      </c>
      <c r="I181" s="171" t="str">
        <f t="array" ref="I181">IFERROR(INDEX('2_Data_Pelanggan'!$D:$D,MATCH(D181,'2_Data_Pelanggan'!$P:$P,0)),"-")</f>
        <v>YUDHI ROBATA</v>
      </c>
      <c r="J181" s="172" t="s">
        <v>1605</v>
      </c>
      <c r="K181" s="171" t="s">
        <v>1598</v>
      </c>
      <c r="L181" s="171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</row>
    <row r="182" ht="15.0" customHeight="1">
      <c r="A182" s="76">
        <v>174.0</v>
      </c>
      <c r="B182" s="76" t="s">
        <v>1596</v>
      </c>
      <c r="C182" s="76" t="s">
        <v>1597</v>
      </c>
      <c r="D182" s="76" t="s">
        <v>1542</v>
      </c>
      <c r="E182" s="119"/>
      <c r="F182" s="173">
        <f t="array" ref="F182">IFERROR(INDEX('2_Data_Pelanggan'!$S:$S,MATCH(D182,'2_Data_Pelanggan'!$P:$P,0)),"")</f>
        <v>46219</v>
      </c>
      <c r="G182" s="78" t="str">
        <f>IF(COUNTIF('2_Data_Pelanggan'!$P:$P,D182)&gt;0,"Terpasang","Stok/Belum Terpasang")</f>
        <v>Terpasang</v>
      </c>
      <c r="H182" s="170" t="str">
        <f t="array" ref="H182">IFERROR(INDEX('2_Data_Pelanggan'!$B:$B,MATCH(D182,'2_Data_Pelanggan'!$P:$P,0)),"-")</f>
        <v>ARM-0175</v>
      </c>
      <c r="I182" s="171" t="str">
        <f t="array" ref="I182">IFERROR(INDEX('2_Data_Pelanggan'!$D:$D,MATCH(D182,'2_Data_Pelanggan'!$P:$P,0)),"-")</f>
        <v>RISTO</v>
      </c>
      <c r="J182" s="172" t="s">
        <v>1605</v>
      </c>
      <c r="K182" s="171" t="s">
        <v>1598</v>
      </c>
      <c r="L182" s="171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</row>
    <row r="183" ht="15.0" customHeight="1">
      <c r="A183" s="82">
        <v>175.0</v>
      </c>
      <c r="B183" s="82" t="s">
        <v>1596</v>
      </c>
      <c r="C183" s="82" t="s">
        <v>1597</v>
      </c>
      <c r="D183" s="82" t="s">
        <v>1547</v>
      </c>
      <c r="E183" s="73"/>
      <c r="F183" s="168">
        <f t="array" ref="F183">IFERROR(INDEX('2_Data_Pelanggan'!$S:$S,MATCH(D183,'2_Data_Pelanggan'!$P:$P,0)),"")</f>
        <v>46220</v>
      </c>
      <c r="G183" s="78" t="str">
        <f>IF(COUNTIF('2_Data_Pelanggan'!$P:$P,D183)&gt;0,"Terpasang","Stok/Belum Terpasang")</f>
        <v>Terpasang</v>
      </c>
      <c r="H183" s="170" t="str">
        <f t="array" ref="H183">IFERROR(INDEX('2_Data_Pelanggan'!$B:$B,MATCH(D183,'2_Data_Pelanggan'!$P:$P,0)),"-")</f>
        <v>ARM-0176</v>
      </c>
      <c r="I183" s="171" t="str">
        <f t="array" ref="I183">IFERROR(INDEX('2_Data_Pelanggan'!$D:$D,MATCH(D183,'2_Data_Pelanggan'!$P:$P,0)),"-")</f>
        <v>SRIYANTI LESTARI</v>
      </c>
      <c r="J183" s="172" t="s">
        <v>1605</v>
      </c>
      <c r="K183" s="171" t="s">
        <v>1598</v>
      </c>
      <c r="L183" s="171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</row>
    <row r="184" ht="15.0" customHeight="1">
      <c r="A184" s="76">
        <v>176.0</v>
      </c>
      <c r="B184" s="76" t="s">
        <v>1596</v>
      </c>
      <c r="C184" s="76" t="s">
        <v>1597</v>
      </c>
      <c r="D184" s="76" t="s">
        <v>1554</v>
      </c>
      <c r="E184" s="119"/>
      <c r="F184" s="173">
        <f t="array" ref="F184">IFERROR(INDEX('2_Data_Pelanggan'!$S:$S,MATCH(D184,'2_Data_Pelanggan'!$P:$P,0)),"")</f>
        <v>46220</v>
      </c>
      <c r="G184" s="78" t="str">
        <f>IF(COUNTIF('2_Data_Pelanggan'!$P:$P,D184)&gt;0,"Terpasang","Stok/Belum Terpasang")</f>
        <v>Terpasang</v>
      </c>
      <c r="H184" s="170" t="str">
        <f t="array" ref="H184">IFERROR(INDEX('2_Data_Pelanggan'!$B:$B,MATCH(D184,'2_Data_Pelanggan'!$P:$P,0)),"-")</f>
        <v>ARM-0177</v>
      </c>
      <c r="I184" s="171" t="str">
        <f t="array" ref="I184">IFERROR(INDEX('2_Data_Pelanggan'!$D:$D,MATCH(D184,'2_Data_Pelanggan'!$P:$P,0)),"-")</f>
        <v>DUSWIYATI</v>
      </c>
      <c r="J184" s="172" t="s">
        <v>1605</v>
      </c>
      <c r="K184" s="171" t="s">
        <v>1598</v>
      </c>
      <c r="L184" s="171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</row>
    <row r="185" ht="15.0" customHeight="1">
      <c r="A185" s="82">
        <v>177.0</v>
      </c>
      <c r="B185" s="82" t="s">
        <v>1596</v>
      </c>
      <c r="C185" s="82" t="s">
        <v>1597</v>
      </c>
      <c r="D185" s="82" t="s">
        <v>1561</v>
      </c>
      <c r="E185" s="73"/>
      <c r="F185" s="168">
        <f t="array" ref="F185">IFERROR(INDEX('2_Data_Pelanggan'!$S:$S,MATCH(D185,'2_Data_Pelanggan'!$P:$P,0)),"")</f>
        <v>46221</v>
      </c>
      <c r="G185" s="78" t="str">
        <f>IF(COUNTIF('2_Data_Pelanggan'!$P:$P,D185)&gt;0,"Terpasang","Stok/Belum Terpasang")</f>
        <v>Terpasang</v>
      </c>
      <c r="H185" s="170" t="str">
        <f t="array" ref="H185">IFERROR(INDEX('2_Data_Pelanggan'!$B:$B,MATCH(D185,'2_Data_Pelanggan'!$P:$P,0)),"-")</f>
        <v>ARM-0178</v>
      </c>
      <c r="I185" s="171" t="str">
        <f t="array" ref="I185">IFERROR(INDEX('2_Data_Pelanggan'!$D:$D,MATCH(D185,'2_Data_Pelanggan'!$P:$P,0)),"-")</f>
        <v>WARUN WIDIYANTO</v>
      </c>
      <c r="J185" s="172" t="s">
        <v>1605</v>
      </c>
      <c r="K185" s="171" t="s">
        <v>1598</v>
      </c>
      <c r="L185" s="171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</row>
    <row r="186" ht="15.0" customHeight="1">
      <c r="A186" s="76">
        <v>178.0</v>
      </c>
      <c r="B186" s="76" t="s">
        <v>1596</v>
      </c>
      <c r="C186" s="76" t="s">
        <v>1597</v>
      </c>
      <c r="D186" s="76" t="s">
        <v>1568</v>
      </c>
      <c r="E186" s="119"/>
      <c r="F186" s="173">
        <f t="array" ref="F186">IFERROR(INDEX('2_Data_Pelanggan'!$S:$S,MATCH(D186,'2_Data_Pelanggan'!$P:$P,0)),"")</f>
        <v>46221</v>
      </c>
      <c r="G186" s="78" t="str">
        <f>IF(COUNTIF('2_Data_Pelanggan'!$P:$P,D186)&gt;0,"Terpasang","Stok/Belum Terpasang")</f>
        <v>Terpasang</v>
      </c>
      <c r="H186" s="170" t="str">
        <f t="array" ref="H186">IFERROR(INDEX('2_Data_Pelanggan'!$B:$B,MATCH(D186,'2_Data_Pelanggan'!$P:$P,0)),"-")</f>
        <v>ARM-0179</v>
      </c>
      <c r="I186" s="171" t="str">
        <f t="array" ref="I186">IFERROR(INDEX('2_Data_Pelanggan'!$D:$D,MATCH(D186,'2_Data_Pelanggan'!$P:$P,0)),"-")</f>
        <v>DARYATI</v>
      </c>
      <c r="J186" s="172" t="s">
        <v>1605</v>
      </c>
      <c r="K186" s="171" t="s">
        <v>1598</v>
      </c>
      <c r="L186" s="171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</row>
    <row r="187" ht="15.0" customHeight="1">
      <c r="A187" s="82">
        <v>179.0</v>
      </c>
      <c r="B187" s="82" t="s">
        <v>1596</v>
      </c>
      <c r="C187" s="82" t="s">
        <v>1597</v>
      </c>
      <c r="D187" s="82" t="s">
        <v>1574</v>
      </c>
      <c r="E187" s="73"/>
      <c r="F187" s="168">
        <f t="array" ref="F187">IFERROR(INDEX('2_Data_Pelanggan'!$S:$S,MATCH(D187,'2_Data_Pelanggan'!$P:$P,0)),"")</f>
        <v>46222</v>
      </c>
      <c r="G187" s="78" t="str">
        <f>IF(COUNTIF('2_Data_Pelanggan'!$P:$P,D187)&gt;0,"Terpasang","Stok/Belum Terpasang")</f>
        <v>Terpasang</v>
      </c>
      <c r="H187" s="170" t="str">
        <f t="array" ref="H187">IFERROR(INDEX('2_Data_Pelanggan'!$B:$B,MATCH(D187,'2_Data_Pelanggan'!$P:$P,0)),"-")</f>
        <v>ARM-0180</v>
      </c>
      <c r="I187" s="171" t="str">
        <f t="array" ref="I187">IFERROR(INDEX('2_Data_Pelanggan'!$D:$D,MATCH(D187,'2_Data_Pelanggan'!$P:$P,0)),"-")</f>
        <v>SITI SOLEHATI</v>
      </c>
      <c r="J187" s="172" t="s">
        <v>1605</v>
      </c>
      <c r="K187" s="171" t="s">
        <v>1598</v>
      </c>
      <c r="L187" s="171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</row>
    <row r="188" ht="15.0" customHeight="1">
      <c r="A188" s="76">
        <v>180.0</v>
      </c>
      <c r="B188" s="76" t="s">
        <v>1596</v>
      </c>
      <c r="C188" s="76" t="s">
        <v>1597</v>
      </c>
      <c r="D188" s="76" t="s">
        <v>1580</v>
      </c>
      <c r="E188" s="119"/>
      <c r="F188" s="173">
        <f t="array" ref="F188">IFERROR(INDEX('2_Data_Pelanggan'!$S:$S,MATCH(D188,'2_Data_Pelanggan'!$P:$P,0)),"")</f>
        <v>46222</v>
      </c>
      <c r="G188" s="78" t="str">
        <f>IF(COUNTIF('2_Data_Pelanggan'!$P:$P,D188)&gt;0,"Terpasang","Stok/Belum Terpasang")</f>
        <v>Terpasang</v>
      </c>
      <c r="H188" s="170" t="str">
        <f t="array" ref="H188">IFERROR(INDEX('2_Data_Pelanggan'!$B:$B,MATCH(D188,'2_Data_Pelanggan'!$P:$P,0)),"-")</f>
        <v>ARM-0181</v>
      </c>
      <c r="I188" s="171" t="str">
        <f t="array" ref="I188">IFERROR(INDEX('2_Data_Pelanggan'!$D:$D,MATCH(D188,'2_Data_Pelanggan'!$P:$P,0)),"-")</f>
        <v>FIKA NANDA FIRMANA</v>
      </c>
      <c r="J188" s="172" t="s">
        <v>1605</v>
      </c>
      <c r="K188" s="171" t="s">
        <v>1598</v>
      </c>
      <c r="L188" s="171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</row>
    <row r="189" ht="15.0" customHeight="1">
      <c r="A189" s="82">
        <v>181.0</v>
      </c>
      <c r="B189" s="82" t="s">
        <v>1596</v>
      </c>
      <c r="C189" s="82" t="s">
        <v>1597</v>
      </c>
      <c r="D189" s="82" t="s">
        <v>1612</v>
      </c>
      <c r="E189" s="73"/>
      <c r="F189" s="168" t="str">
        <f t="array" ref="F189">IFERROR(INDEX('2_Data_Pelanggan'!$S:$S,MATCH(D189,'2_Data_Pelanggan'!$P:$P,0)),"")</f>
        <v/>
      </c>
      <c r="G189" s="78" t="str">
        <f>IF(COUNTIF('2_Data_Pelanggan'!$P:$P,D189)&gt;0,"Terpasang","Stok/Belum Terpasang")</f>
        <v>Stok/Belum Terpasang</v>
      </c>
      <c r="H189" s="170" t="str">
        <f t="array" ref="H189">IFERROR(INDEX('2_Data_Pelanggan'!$B:$B,MATCH(D189,'2_Data_Pelanggan'!$P:$P,0)),"-")</f>
        <v>-</v>
      </c>
      <c r="I189" s="171" t="str">
        <f t="array" ref="I189">IFERROR(INDEX('2_Data_Pelanggan'!$D:$D,MATCH(D189,'2_Data_Pelanggan'!$P:$P,0)),"-")</f>
        <v>-</v>
      </c>
      <c r="J189" s="172" t="s">
        <v>1605</v>
      </c>
      <c r="K189" s="171" t="s">
        <v>1598</v>
      </c>
      <c r="L189" s="171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</row>
    <row r="190" ht="15.0" customHeight="1">
      <c r="A190" s="76">
        <v>182.0</v>
      </c>
      <c r="B190" s="76" t="s">
        <v>1596</v>
      </c>
      <c r="C190" s="76" t="s">
        <v>1597</v>
      </c>
      <c r="D190" s="76" t="s">
        <v>1613</v>
      </c>
      <c r="E190" s="119"/>
      <c r="F190" s="173" t="str">
        <f t="array" ref="F190">IFERROR(INDEX('2_Data_Pelanggan'!$S:$S,MATCH(D190,'2_Data_Pelanggan'!$P:$P,0)),"")</f>
        <v/>
      </c>
      <c r="G190" s="78" t="str">
        <f>IF(COUNTIF('2_Data_Pelanggan'!$P:$P,D190)&gt;0,"Terpasang","Stok/Belum Terpasang")</f>
        <v>Stok/Belum Terpasang</v>
      </c>
      <c r="H190" s="170" t="str">
        <f t="array" ref="H190">IFERROR(INDEX('2_Data_Pelanggan'!$B:$B,MATCH(D190,'2_Data_Pelanggan'!$P:$P,0)),"-")</f>
        <v>-</v>
      </c>
      <c r="I190" s="171" t="str">
        <f t="array" ref="I190">IFERROR(INDEX('2_Data_Pelanggan'!$D:$D,MATCH(D190,'2_Data_Pelanggan'!$P:$P,0)),"-")</f>
        <v>-</v>
      </c>
      <c r="J190" s="172" t="s">
        <v>1605</v>
      </c>
      <c r="K190" s="171" t="s">
        <v>1598</v>
      </c>
      <c r="L190" s="171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</row>
    <row r="191" ht="15.0" customHeight="1">
      <c r="A191" s="82">
        <v>183.0</v>
      </c>
      <c r="B191" s="82" t="s">
        <v>1596</v>
      </c>
      <c r="C191" s="82" t="s">
        <v>1597</v>
      </c>
      <c r="D191" s="82" t="s">
        <v>1614</v>
      </c>
      <c r="E191" s="73"/>
      <c r="F191" s="168" t="str">
        <f t="array" ref="F191">IFERROR(INDEX('2_Data_Pelanggan'!$S:$S,MATCH(D191,'2_Data_Pelanggan'!$P:$P,0)),"")</f>
        <v/>
      </c>
      <c r="G191" s="78" t="str">
        <f>IF(COUNTIF('2_Data_Pelanggan'!$P:$P,D191)&gt;0,"Terpasang","Stok/Belum Terpasang")</f>
        <v>Stok/Belum Terpasang</v>
      </c>
      <c r="H191" s="170" t="str">
        <f t="array" ref="H191">IFERROR(INDEX('2_Data_Pelanggan'!$B:$B,MATCH(D191,'2_Data_Pelanggan'!$P:$P,0)),"-")</f>
        <v>-</v>
      </c>
      <c r="I191" s="171" t="str">
        <f t="array" ref="I191">IFERROR(INDEX('2_Data_Pelanggan'!$D:$D,MATCH(D191,'2_Data_Pelanggan'!$P:$P,0)),"-")</f>
        <v>-</v>
      </c>
      <c r="J191" s="172" t="s">
        <v>1605</v>
      </c>
      <c r="K191" s="171" t="s">
        <v>1598</v>
      </c>
      <c r="L191" s="171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</row>
    <row r="192" ht="15.0" customHeight="1">
      <c r="A192" s="76">
        <v>184.0</v>
      </c>
      <c r="B192" s="76" t="s">
        <v>1596</v>
      </c>
      <c r="C192" s="76" t="s">
        <v>1597</v>
      </c>
      <c r="D192" s="76" t="s">
        <v>1615</v>
      </c>
      <c r="E192" s="119"/>
      <c r="F192" s="173" t="str">
        <f t="array" ref="F192">IFERROR(INDEX('2_Data_Pelanggan'!$S:$S,MATCH(D192,'2_Data_Pelanggan'!$P:$P,0)),"")</f>
        <v/>
      </c>
      <c r="G192" s="78" t="str">
        <f>IF(COUNTIF('2_Data_Pelanggan'!$P:$P,D192)&gt;0,"Terpasang","Stok/Belum Terpasang")</f>
        <v>Stok/Belum Terpasang</v>
      </c>
      <c r="H192" s="170" t="str">
        <f t="array" ref="H192">IFERROR(INDEX('2_Data_Pelanggan'!$B:$B,MATCH(D192,'2_Data_Pelanggan'!$P:$P,0)),"-")</f>
        <v>-</v>
      </c>
      <c r="I192" s="171" t="str">
        <f t="array" ref="I192">IFERROR(INDEX('2_Data_Pelanggan'!$D:$D,MATCH(D192,'2_Data_Pelanggan'!$P:$P,0)),"-")</f>
        <v>-</v>
      </c>
      <c r="J192" s="172" t="s">
        <v>1605</v>
      </c>
      <c r="K192" s="171" t="s">
        <v>1598</v>
      </c>
      <c r="L192" s="171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</row>
    <row r="193" ht="15.0" customHeight="1">
      <c r="A193" s="82">
        <v>185.0</v>
      </c>
      <c r="B193" s="82" t="s">
        <v>1596</v>
      </c>
      <c r="C193" s="82" t="s">
        <v>1597</v>
      </c>
      <c r="D193" s="82" t="s">
        <v>1616</v>
      </c>
      <c r="E193" s="73"/>
      <c r="F193" s="168" t="str">
        <f t="array" ref="F193">IFERROR(INDEX('2_Data_Pelanggan'!$S:$S,MATCH(D193,'2_Data_Pelanggan'!$P:$P,0)),"")</f>
        <v/>
      </c>
      <c r="G193" s="78" t="str">
        <f>IF(COUNTIF('2_Data_Pelanggan'!$P:$P,D193)&gt;0,"Terpasang","Stok/Belum Terpasang")</f>
        <v>Stok/Belum Terpasang</v>
      </c>
      <c r="H193" s="170" t="str">
        <f t="array" ref="H193">IFERROR(INDEX('2_Data_Pelanggan'!$B:$B,MATCH(D193,'2_Data_Pelanggan'!$P:$P,0)),"-")</f>
        <v>-</v>
      </c>
      <c r="I193" s="171" t="str">
        <f t="array" ref="I193">IFERROR(INDEX('2_Data_Pelanggan'!$D:$D,MATCH(D193,'2_Data_Pelanggan'!$P:$P,0)),"-")</f>
        <v>-</v>
      </c>
      <c r="J193" s="172" t="s">
        <v>1605</v>
      </c>
      <c r="K193" s="171" t="s">
        <v>1598</v>
      </c>
      <c r="L193" s="171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</row>
    <row r="194" ht="15.0" customHeight="1">
      <c r="A194" s="76">
        <v>186.0</v>
      </c>
      <c r="B194" s="76" t="s">
        <v>1596</v>
      </c>
      <c r="C194" s="76" t="s">
        <v>1597</v>
      </c>
      <c r="D194" s="76" t="s">
        <v>1617</v>
      </c>
      <c r="E194" s="119"/>
      <c r="F194" s="173" t="str">
        <f t="array" ref="F194">IFERROR(INDEX('2_Data_Pelanggan'!$S:$S,MATCH(D194,'2_Data_Pelanggan'!$P:$P,0)),"")</f>
        <v/>
      </c>
      <c r="G194" s="78" t="str">
        <f>IF(COUNTIF('2_Data_Pelanggan'!$P:$P,D194)&gt;0,"Terpasang","Stok/Belum Terpasang")</f>
        <v>Stok/Belum Terpasang</v>
      </c>
      <c r="H194" s="170" t="str">
        <f t="array" ref="H194">IFERROR(INDEX('2_Data_Pelanggan'!$B:$B,MATCH(D194,'2_Data_Pelanggan'!$P:$P,0)),"-")</f>
        <v>-</v>
      </c>
      <c r="I194" s="171" t="str">
        <f t="array" ref="I194">IFERROR(INDEX('2_Data_Pelanggan'!$D:$D,MATCH(D194,'2_Data_Pelanggan'!$P:$P,0)),"-")</f>
        <v>-</v>
      </c>
      <c r="J194" s="172" t="s">
        <v>1605</v>
      </c>
      <c r="K194" s="171" t="s">
        <v>1598</v>
      </c>
      <c r="L194" s="171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</row>
    <row r="195" ht="15.0" customHeight="1">
      <c r="A195" s="82">
        <v>187.0</v>
      </c>
      <c r="B195" s="82" t="s">
        <v>1596</v>
      </c>
      <c r="C195" s="82" t="s">
        <v>1597</v>
      </c>
      <c r="D195" s="82" t="s">
        <v>1618</v>
      </c>
      <c r="E195" s="73"/>
      <c r="F195" s="168" t="str">
        <f t="array" ref="F195">IFERROR(INDEX('2_Data_Pelanggan'!$S:$S,MATCH(D195,'2_Data_Pelanggan'!$P:$P,0)),"")</f>
        <v/>
      </c>
      <c r="G195" s="78" t="str">
        <f>IF(COUNTIF('2_Data_Pelanggan'!$P:$P,D195)&gt;0,"Terpasang","Stok/Belum Terpasang")</f>
        <v>Stok/Belum Terpasang</v>
      </c>
      <c r="H195" s="170" t="str">
        <f t="array" ref="H195">IFERROR(INDEX('2_Data_Pelanggan'!$B:$B,MATCH(D195,'2_Data_Pelanggan'!$P:$P,0)),"-")</f>
        <v>-</v>
      </c>
      <c r="I195" s="171" t="str">
        <f t="array" ref="I195">IFERROR(INDEX('2_Data_Pelanggan'!$D:$D,MATCH(D195,'2_Data_Pelanggan'!$P:$P,0)),"-")</f>
        <v>-</v>
      </c>
      <c r="J195" s="172" t="s">
        <v>1605</v>
      </c>
      <c r="K195" s="171" t="s">
        <v>1598</v>
      </c>
      <c r="L195" s="171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</row>
    <row r="196" ht="15.0" customHeight="1">
      <c r="A196" s="76">
        <v>188.0</v>
      </c>
      <c r="B196" s="76" t="s">
        <v>1596</v>
      </c>
      <c r="C196" s="76" t="s">
        <v>1597</v>
      </c>
      <c r="D196" s="76" t="s">
        <v>1619</v>
      </c>
      <c r="E196" s="119"/>
      <c r="F196" s="173" t="str">
        <f t="array" ref="F196">IFERROR(INDEX('2_Data_Pelanggan'!$S:$S,MATCH(D196,'2_Data_Pelanggan'!$P:$P,0)),"")</f>
        <v/>
      </c>
      <c r="G196" s="78" t="str">
        <f>IF(COUNTIF('2_Data_Pelanggan'!$P:$P,D196)&gt;0,"Terpasang","Stok/Belum Terpasang")</f>
        <v>Stok/Belum Terpasang</v>
      </c>
      <c r="H196" s="170" t="str">
        <f t="array" ref="H196">IFERROR(INDEX('2_Data_Pelanggan'!$B:$B,MATCH(D196,'2_Data_Pelanggan'!$P:$P,0)),"-")</f>
        <v>-</v>
      </c>
      <c r="I196" s="171" t="str">
        <f t="array" ref="I196">IFERROR(INDEX('2_Data_Pelanggan'!$D:$D,MATCH(D196,'2_Data_Pelanggan'!$P:$P,0)),"-")</f>
        <v>-</v>
      </c>
      <c r="J196" s="172" t="s">
        <v>1605</v>
      </c>
      <c r="K196" s="171" t="s">
        <v>1598</v>
      </c>
      <c r="L196" s="171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</row>
    <row r="197" ht="15.0" customHeight="1">
      <c r="A197" s="82">
        <v>189.0</v>
      </c>
      <c r="B197" s="82" t="s">
        <v>1596</v>
      </c>
      <c r="C197" s="82" t="s">
        <v>1597</v>
      </c>
      <c r="D197" s="82" t="s">
        <v>1620</v>
      </c>
      <c r="E197" s="73"/>
      <c r="F197" s="168" t="str">
        <f t="array" ref="F197">IFERROR(INDEX('2_Data_Pelanggan'!$S:$S,MATCH(D197,'2_Data_Pelanggan'!$P:$P,0)),"")</f>
        <v/>
      </c>
      <c r="G197" s="78" t="str">
        <f>IF(COUNTIF('2_Data_Pelanggan'!$P:$P,D197)&gt;0,"Terpasang","Stok/Belum Terpasang")</f>
        <v>Stok/Belum Terpasang</v>
      </c>
      <c r="H197" s="170" t="str">
        <f t="array" ref="H197">IFERROR(INDEX('2_Data_Pelanggan'!$B:$B,MATCH(D197,'2_Data_Pelanggan'!$P:$P,0)),"-")</f>
        <v>-</v>
      </c>
      <c r="I197" s="171" t="str">
        <f t="array" ref="I197">IFERROR(INDEX('2_Data_Pelanggan'!$D:$D,MATCH(D197,'2_Data_Pelanggan'!$P:$P,0)),"-")</f>
        <v>-</v>
      </c>
      <c r="J197" s="172" t="s">
        <v>1605</v>
      </c>
      <c r="K197" s="171" t="s">
        <v>1598</v>
      </c>
      <c r="L197" s="171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</row>
    <row r="198" ht="15.0" customHeight="1">
      <c r="A198" s="76">
        <v>190.0</v>
      </c>
      <c r="B198" s="76" t="s">
        <v>1596</v>
      </c>
      <c r="C198" s="76" t="s">
        <v>1597</v>
      </c>
      <c r="D198" s="76" t="s">
        <v>1621</v>
      </c>
      <c r="E198" s="119"/>
      <c r="F198" s="173" t="str">
        <f t="array" ref="F198">IFERROR(INDEX('2_Data_Pelanggan'!$S:$S,MATCH(D198,'2_Data_Pelanggan'!$P:$P,0)),"")</f>
        <v/>
      </c>
      <c r="G198" s="78" t="str">
        <f>IF(COUNTIF('2_Data_Pelanggan'!$P:$P,D198)&gt;0,"Terpasang","Stok/Belum Terpasang")</f>
        <v>Stok/Belum Terpasang</v>
      </c>
      <c r="H198" s="170" t="str">
        <f t="array" ref="H198">IFERROR(INDEX('2_Data_Pelanggan'!$B:$B,MATCH(D198,'2_Data_Pelanggan'!$P:$P,0)),"-")</f>
        <v>-</v>
      </c>
      <c r="I198" s="171" t="str">
        <f t="array" ref="I198">IFERROR(INDEX('2_Data_Pelanggan'!$D:$D,MATCH(D198,'2_Data_Pelanggan'!$P:$P,0)),"-")</f>
        <v>-</v>
      </c>
      <c r="J198" s="172" t="s">
        <v>1605</v>
      </c>
      <c r="K198" s="171" t="s">
        <v>1598</v>
      </c>
      <c r="L198" s="171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</row>
    <row r="199" ht="15.0" customHeight="1">
      <c r="A199" s="82">
        <v>191.0</v>
      </c>
      <c r="B199" s="82" t="s">
        <v>1596</v>
      </c>
      <c r="C199" s="82" t="s">
        <v>1597</v>
      </c>
      <c r="D199" s="82" t="s">
        <v>1622</v>
      </c>
      <c r="E199" s="73"/>
      <c r="F199" s="168" t="str">
        <f t="array" ref="F199">IFERROR(INDEX('2_Data_Pelanggan'!$S:$S,MATCH(D199,'2_Data_Pelanggan'!$P:$P,0)),"")</f>
        <v/>
      </c>
      <c r="G199" s="78" t="str">
        <f>IF(COUNTIF('2_Data_Pelanggan'!$P:$P,D199)&gt;0,"Terpasang","Stok/Belum Terpasang")</f>
        <v>Stok/Belum Terpasang</v>
      </c>
      <c r="H199" s="170" t="str">
        <f t="array" ref="H199">IFERROR(INDEX('2_Data_Pelanggan'!$B:$B,MATCH(D199,'2_Data_Pelanggan'!$P:$P,0)),"-")</f>
        <v>-</v>
      </c>
      <c r="I199" s="171" t="str">
        <f t="array" ref="I199">IFERROR(INDEX('2_Data_Pelanggan'!$D:$D,MATCH(D199,'2_Data_Pelanggan'!$P:$P,0)),"-")</f>
        <v>-</v>
      </c>
      <c r="J199" s="172" t="s">
        <v>1605</v>
      </c>
      <c r="K199" s="171" t="s">
        <v>1598</v>
      </c>
      <c r="L199" s="171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</row>
    <row r="200" ht="15.0" customHeight="1">
      <c r="A200" s="76">
        <v>192.0</v>
      </c>
      <c r="B200" s="76" t="s">
        <v>1596</v>
      </c>
      <c r="C200" s="76" t="s">
        <v>1597</v>
      </c>
      <c r="D200" s="76" t="s">
        <v>1623</v>
      </c>
      <c r="E200" s="119"/>
      <c r="F200" s="173" t="str">
        <f t="array" ref="F200">IFERROR(INDEX('2_Data_Pelanggan'!$S:$S,MATCH(D200,'2_Data_Pelanggan'!$P:$P,0)),"")</f>
        <v/>
      </c>
      <c r="G200" s="78" t="str">
        <f>IF(COUNTIF('2_Data_Pelanggan'!$P:$P,D200)&gt;0,"Terpasang","Stok/Belum Terpasang")</f>
        <v>Stok/Belum Terpasang</v>
      </c>
      <c r="H200" s="170" t="str">
        <f t="array" ref="H200">IFERROR(INDEX('2_Data_Pelanggan'!$B:$B,MATCH(D200,'2_Data_Pelanggan'!$P:$P,0)),"-")</f>
        <v>-</v>
      </c>
      <c r="I200" s="171" t="str">
        <f t="array" ref="I200">IFERROR(INDEX('2_Data_Pelanggan'!$D:$D,MATCH(D200,'2_Data_Pelanggan'!$P:$P,0)),"-")</f>
        <v>-</v>
      </c>
      <c r="J200" s="172" t="s">
        <v>1605</v>
      </c>
      <c r="K200" s="171" t="s">
        <v>1598</v>
      </c>
      <c r="L200" s="171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</row>
    <row r="201" ht="15.0" customHeight="1">
      <c r="A201" s="82">
        <v>193.0</v>
      </c>
      <c r="B201" s="82" t="s">
        <v>1596</v>
      </c>
      <c r="C201" s="82" t="s">
        <v>1597</v>
      </c>
      <c r="D201" s="82" t="s">
        <v>1624</v>
      </c>
      <c r="E201" s="73"/>
      <c r="F201" s="168" t="str">
        <f t="array" ref="F201">IFERROR(INDEX('2_Data_Pelanggan'!$S:$S,MATCH(D201,'2_Data_Pelanggan'!$P:$P,0)),"")</f>
        <v/>
      </c>
      <c r="G201" s="78" t="str">
        <f>IF(COUNTIF('2_Data_Pelanggan'!$P:$P,D201)&gt;0,"Terpasang","Stok/Belum Terpasang")</f>
        <v>Stok/Belum Terpasang</v>
      </c>
      <c r="H201" s="170" t="str">
        <f t="array" ref="H201">IFERROR(INDEX('2_Data_Pelanggan'!$B:$B,MATCH(D201,'2_Data_Pelanggan'!$P:$P,0)),"-")</f>
        <v>-</v>
      </c>
      <c r="I201" s="171" t="str">
        <f t="array" ref="I201">IFERROR(INDEX('2_Data_Pelanggan'!$D:$D,MATCH(D201,'2_Data_Pelanggan'!$P:$P,0)),"-")</f>
        <v>-</v>
      </c>
      <c r="J201" s="172" t="s">
        <v>1605</v>
      </c>
      <c r="K201" s="171" t="s">
        <v>1598</v>
      </c>
      <c r="L201" s="171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</row>
    <row r="202" ht="15.0" customHeight="1">
      <c r="A202" s="76">
        <v>194.0</v>
      </c>
      <c r="B202" s="76" t="s">
        <v>1596</v>
      </c>
      <c r="C202" s="76" t="s">
        <v>1597</v>
      </c>
      <c r="D202" s="76" t="s">
        <v>1625</v>
      </c>
      <c r="E202" s="119"/>
      <c r="F202" s="173" t="str">
        <f t="array" ref="F202">IFERROR(INDEX('2_Data_Pelanggan'!$S:$S,MATCH(D202,'2_Data_Pelanggan'!$P:$P,0)),"")</f>
        <v/>
      </c>
      <c r="G202" s="78" t="str">
        <f>IF(COUNTIF('2_Data_Pelanggan'!$P:$P,D202)&gt;0,"Terpasang","Stok/Belum Terpasang")</f>
        <v>Stok/Belum Terpasang</v>
      </c>
      <c r="H202" s="170" t="str">
        <f t="array" ref="H202">IFERROR(INDEX('2_Data_Pelanggan'!$B:$B,MATCH(D202,'2_Data_Pelanggan'!$P:$P,0)),"-")</f>
        <v>-</v>
      </c>
      <c r="I202" s="171" t="str">
        <f t="array" ref="I202">IFERROR(INDEX('2_Data_Pelanggan'!$D:$D,MATCH(D202,'2_Data_Pelanggan'!$P:$P,0)),"-")</f>
        <v>-</v>
      </c>
      <c r="J202" s="172" t="s">
        <v>1605</v>
      </c>
      <c r="K202" s="171" t="s">
        <v>1598</v>
      </c>
      <c r="L202" s="171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</row>
    <row r="203" ht="15.0" customHeight="1">
      <c r="A203" s="82">
        <v>195.0</v>
      </c>
      <c r="B203" s="82" t="s">
        <v>1596</v>
      </c>
      <c r="C203" s="82" t="s">
        <v>1597</v>
      </c>
      <c r="D203" s="82" t="s">
        <v>1626</v>
      </c>
      <c r="E203" s="73"/>
      <c r="F203" s="168" t="str">
        <f t="array" ref="F203">IFERROR(INDEX('2_Data_Pelanggan'!$S:$S,MATCH(D203,'2_Data_Pelanggan'!$P:$P,0)),"")</f>
        <v/>
      </c>
      <c r="G203" s="78" t="str">
        <f>IF(COUNTIF('2_Data_Pelanggan'!$P:$P,D203)&gt;0,"Terpasang","Stok/Belum Terpasang")</f>
        <v>Stok/Belum Terpasang</v>
      </c>
      <c r="H203" s="170" t="str">
        <f t="array" ref="H203">IFERROR(INDEX('2_Data_Pelanggan'!$B:$B,MATCH(D203,'2_Data_Pelanggan'!$P:$P,0)),"-")</f>
        <v>-</v>
      </c>
      <c r="I203" s="171" t="str">
        <f t="array" ref="I203">IFERROR(INDEX('2_Data_Pelanggan'!$D:$D,MATCH(D203,'2_Data_Pelanggan'!$P:$P,0)),"-")</f>
        <v>-</v>
      </c>
      <c r="J203" s="172" t="s">
        <v>1605</v>
      </c>
      <c r="K203" s="171" t="s">
        <v>1598</v>
      </c>
      <c r="L203" s="171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</row>
    <row r="204" ht="15.0" customHeight="1">
      <c r="A204" s="76">
        <v>196.0</v>
      </c>
      <c r="B204" s="76" t="s">
        <v>1596</v>
      </c>
      <c r="C204" s="76" t="s">
        <v>1597</v>
      </c>
      <c r="D204" s="76" t="s">
        <v>1627</v>
      </c>
      <c r="E204" s="119"/>
      <c r="F204" s="173" t="str">
        <f t="array" ref="F204">IFERROR(INDEX('2_Data_Pelanggan'!$S:$S,MATCH(D204,'2_Data_Pelanggan'!$P:$P,0)),"")</f>
        <v/>
      </c>
      <c r="G204" s="78" t="str">
        <f>IF(COUNTIF('2_Data_Pelanggan'!$P:$P,D204)&gt;0,"Terpasang","Stok/Belum Terpasang")</f>
        <v>Stok/Belum Terpasang</v>
      </c>
      <c r="H204" s="170" t="str">
        <f t="array" ref="H204">IFERROR(INDEX('2_Data_Pelanggan'!$B:$B,MATCH(D204,'2_Data_Pelanggan'!$P:$P,0)),"-")</f>
        <v>-</v>
      </c>
      <c r="I204" s="171" t="str">
        <f t="array" ref="I204">IFERROR(INDEX('2_Data_Pelanggan'!$D:$D,MATCH(D204,'2_Data_Pelanggan'!$P:$P,0)),"-")</f>
        <v>-</v>
      </c>
      <c r="J204" s="172" t="s">
        <v>1605</v>
      </c>
      <c r="K204" s="171" t="s">
        <v>1598</v>
      </c>
      <c r="L204" s="171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</row>
    <row r="205" ht="15.0" customHeight="1">
      <c r="A205" s="82">
        <v>197.0</v>
      </c>
      <c r="B205" s="82" t="s">
        <v>1596</v>
      </c>
      <c r="C205" s="82" t="s">
        <v>1597</v>
      </c>
      <c r="D205" s="82" t="s">
        <v>1628</v>
      </c>
      <c r="E205" s="73"/>
      <c r="F205" s="168" t="str">
        <f t="array" ref="F205">IFERROR(INDEX('2_Data_Pelanggan'!$S:$S,MATCH(D205,'2_Data_Pelanggan'!$P:$P,0)),"")</f>
        <v/>
      </c>
      <c r="G205" s="78" t="str">
        <f>IF(COUNTIF('2_Data_Pelanggan'!$P:$P,D205)&gt;0,"Terpasang","Stok/Belum Terpasang")</f>
        <v>Stok/Belum Terpasang</v>
      </c>
      <c r="H205" s="170" t="str">
        <f t="array" ref="H205">IFERROR(INDEX('2_Data_Pelanggan'!$B:$B,MATCH(D205,'2_Data_Pelanggan'!$P:$P,0)),"-")</f>
        <v>-</v>
      </c>
      <c r="I205" s="171" t="str">
        <f t="array" ref="I205">IFERROR(INDEX('2_Data_Pelanggan'!$D:$D,MATCH(D205,'2_Data_Pelanggan'!$P:$P,0)),"-")</f>
        <v>-</v>
      </c>
      <c r="J205" s="172" t="s">
        <v>1605</v>
      </c>
      <c r="K205" s="171" t="s">
        <v>1598</v>
      </c>
      <c r="L205" s="171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</row>
    <row r="206" ht="15.0" customHeight="1">
      <c r="A206" s="76">
        <v>198.0</v>
      </c>
      <c r="B206" s="76" t="s">
        <v>1596</v>
      </c>
      <c r="C206" s="76" t="s">
        <v>1597</v>
      </c>
      <c r="D206" s="76" t="s">
        <v>1629</v>
      </c>
      <c r="E206" s="119"/>
      <c r="F206" s="173" t="str">
        <f t="array" ref="F206">IFERROR(INDEX('2_Data_Pelanggan'!$S:$S,MATCH(D206,'2_Data_Pelanggan'!$P:$P,0)),"")</f>
        <v/>
      </c>
      <c r="G206" s="78" t="str">
        <f>IF(COUNTIF('2_Data_Pelanggan'!$P:$P,D206)&gt;0,"Terpasang","Stok/Belum Terpasang")</f>
        <v>Stok/Belum Terpasang</v>
      </c>
      <c r="H206" s="170" t="str">
        <f t="array" ref="H206">IFERROR(INDEX('2_Data_Pelanggan'!$B:$B,MATCH(D206,'2_Data_Pelanggan'!$P:$P,0)),"-")</f>
        <v>-</v>
      </c>
      <c r="I206" s="171" t="str">
        <f t="array" ref="I206">IFERROR(INDEX('2_Data_Pelanggan'!$D:$D,MATCH(D206,'2_Data_Pelanggan'!$P:$P,0)),"-")</f>
        <v>-</v>
      </c>
      <c r="J206" s="172" t="s">
        <v>1605</v>
      </c>
      <c r="K206" s="171" t="s">
        <v>1598</v>
      </c>
      <c r="L206" s="171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</row>
    <row r="207" ht="15.0" customHeight="1">
      <c r="A207" s="82">
        <v>199.0</v>
      </c>
      <c r="B207" s="82" t="s">
        <v>1596</v>
      </c>
      <c r="C207" s="82" t="s">
        <v>1597</v>
      </c>
      <c r="D207" s="82" t="s">
        <v>1630</v>
      </c>
      <c r="E207" s="73"/>
      <c r="F207" s="168" t="str">
        <f t="array" ref="F207">IFERROR(INDEX('2_Data_Pelanggan'!$S:$S,MATCH(D207,'2_Data_Pelanggan'!$P:$P,0)),"")</f>
        <v/>
      </c>
      <c r="G207" s="78" t="str">
        <f>IF(COUNTIF('2_Data_Pelanggan'!$P:$P,D207)&gt;0,"Terpasang","Stok/Belum Terpasang")</f>
        <v>Stok/Belum Terpasang</v>
      </c>
      <c r="H207" s="170" t="str">
        <f t="array" ref="H207">IFERROR(INDEX('2_Data_Pelanggan'!$B:$B,MATCH(D207,'2_Data_Pelanggan'!$P:$P,0)),"-")</f>
        <v>-</v>
      </c>
      <c r="I207" s="171" t="str">
        <f t="array" ref="I207">IFERROR(INDEX('2_Data_Pelanggan'!$D:$D,MATCH(D207,'2_Data_Pelanggan'!$P:$P,0)),"-")</f>
        <v>-</v>
      </c>
      <c r="J207" s="172" t="s">
        <v>1605</v>
      </c>
      <c r="K207" s="171" t="s">
        <v>1598</v>
      </c>
      <c r="L207" s="171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</row>
    <row r="208" ht="15.0" customHeight="1">
      <c r="A208" s="76">
        <v>200.0</v>
      </c>
      <c r="B208" s="76" t="s">
        <v>1596</v>
      </c>
      <c r="C208" s="76" t="s">
        <v>1597</v>
      </c>
      <c r="D208" s="76" t="s">
        <v>1631</v>
      </c>
      <c r="E208" s="119"/>
      <c r="F208" s="173" t="str">
        <f t="array" ref="F208">IFERROR(INDEX('2_Data_Pelanggan'!$S:$S,MATCH(D208,'2_Data_Pelanggan'!$P:$P,0)),"")</f>
        <v/>
      </c>
      <c r="G208" s="78" t="str">
        <f>IF(COUNTIF('2_Data_Pelanggan'!$P:$P,D208)&gt;0,"Terpasang","Stok/Belum Terpasang")</f>
        <v>Stok/Belum Terpasang</v>
      </c>
      <c r="H208" s="170" t="str">
        <f t="array" ref="H208">IFERROR(INDEX('2_Data_Pelanggan'!$B:$B,MATCH(D208,'2_Data_Pelanggan'!$P:$P,0)),"-")</f>
        <v>-</v>
      </c>
      <c r="I208" s="171" t="str">
        <f t="array" ref="I208">IFERROR(INDEX('2_Data_Pelanggan'!$D:$D,MATCH(D208,'2_Data_Pelanggan'!$P:$P,0)),"-")</f>
        <v>-</v>
      </c>
      <c r="J208" s="172" t="s">
        <v>1605</v>
      </c>
      <c r="K208" s="171" t="s">
        <v>1598</v>
      </c>
      <c r="L208" s="171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</row>
    <row r="209" ht="15.0" customHeight="1">
      <c r="A209" s="82">
        <v>201.0</v>
      </c>
      <c r="B209" s="82" t="s">
        <v>1596</v>
      </c>
      <c r="C209" s="82" t="s">
        <v>1597</v>
      </c>
      <c r="D209" s="82" t="s">
        <v>1632</v>
      </c>
      <c r="E209" s="73"/>
      <c r="F209" s="168" t="str">
        <f t="array" ref="F209">IFERROR(INDEX('2_Data_Pelanggan'!$S:$S,MATCH(D209,'2_Data_Pelanggan'!$P:$P,0)),"")</f>
        <v/>
      </c>
      <c r="G209" s="78" t="str">
        <f>IF(COUNTIF('2_Data_Pelanggan'!$P:$P,D209)&gt;0,"Terpasang","Stok/Belum Terpasang")</f>
        <v>Stok/Belum Terpasang</v>
      </c>
      <c r="H209" s="170" t="str">
        <f t="array" ref="H209">IFERROR(INDEX('2_Data_Pelanggan'!$B:$B,MATCH(D209,'2_Data_Pelanggan'!$P:$P,0)),"-")</f>
        <v>-</v>
      </c>
      <c r="I209" s="171" t="str">
        <f t="array" ref="I209">IFERROR(INDEX('2_Data_Pelanggan'!$D:$D,MATCH(D209,'2_Data_Pelanggan'!$P:$P,0)),"-")</f>
        <v>-</v>
      </c>
      <c r="J209" s="172" t="s">
        <v>1605</v>
      </c>
      <c r="K209" s="171" t="s">
        <v>1598</v>
      </c>
      <c r="L209" s="171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</row>
    <row r="210" ht="15.0" customHeight="1">
      <c r="A210" s="76">
        <v>202.0</v>
      </c>
      <c r="B210" s="76" t="s">
        <v>1596</v>
      </c>
      <c r="C210" s="76" t="s">
        <v>1597</v>
      </c>
      <c r="D210" s="76" t="s">
        <v>1633</v>
      </c>
      <c r="E210" s="119"/>
      <c r="F210" s="173" t="str">
        <f t="array" ref="F210">IFERROR(INDEX('2_Data_Pelanggan'!$S:$S,MATCH(D210,'2_Data_Pelanggan'!$P:$P,0)),"")</f>
        <v/>
      </c>
      <c r="G210" s="78" t="str">
        <f>IF(COUNTIF('2_Data_Pelanggan'!$P:$P,D210)&gt;0,"Terpasang","Stok/Belum Terpasang")</f>
        <v>Stok/Belum Terpasang</v>
      </c>
      <c r="H210" s="170" t="str">
        <f t="array" ref="H210">IFERROR(INDEX('2_Data_Pelanggan'!$B:$B,MATCH(D210,'2_Data_Pelanggan'!$P:$P,0)),"-")</f>
        <v>-</v>
      </c>
      <c r="I210" s="171" t="str">
        <f t="array" ref="I210">IFERROR(INDEX('2_Data_Pelanggan'!$D:$D,MATCH(D210,'2_Data_Pelanggan'!$P:$P,0)),"-")</f>
        <v>-</v>
      </c>
      <c r="J210" s="172" t="s">
        <v>1605</v>
      </c>
      <c r="K210" s="171" t="s">
        <v>1598</v>
      </c>
      <c r="L210" s="171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</row>
    <row r="211" ht="15.0" customHeight="1">
      <c r="A211" s="82">
        <v>203.0</v>
      </c>
      <c r="B211" s="82" t="s">
        <v>1596</v>
      </c>
      <c r="C211" s="82" t="s">
        <v>1597</v>
      </c>
      <c r="D211" s="82" t="s">
        <v>1634</v>
      </c>
      <c r="E211" s="73"/>
      <c r="F211" s="168" t="str">
        <f t="array" ref="F211">IFERROR(INDEX('2_Data_Pelanggan'!$S:$S,MATCH(D211,'2_Data_Pelanggan'!$P:$P,0)),"")</f>
        <v/>
      </c>
      <c r="G211" s="78" t="str">
        <f>IF(COUNTIF('2_Data_Pelanggan'!$P:$P,D211)&gt;0,"Terpasang","Stok/Belum Terpasang")</f>
        <v>Stok/Belum Terpasang</v>
      </c>
      <c r="H211" s="170" t="str">
        <f t="array" ref="H211">IFERROR(INDEX('2_Data_Pelanggan'!$B:$B,MATCH(D211,'2_Data_Pelanggan'!$P:$P,0)),"-")</f>
        <v>-</v>
      </c>
      <c r="I211" s="171" t="str">
        <f t="array" ref="I211">IFERROR(INDEX('2_Data_Pelanggan'!$D:$D,MATCH(D211,'2_Data_Pelanggan'!$P:$P,0)),"-")</f>
        <v>-</v>
      </c>
      <c r="J211" s="172" t="s">
        <v>1605</v>
      </c>
      <c r="K211" s="171" t="s">
        <v>1598</v>
      </c>
      <c r="L211" s="171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</row>
    <row r="212" ht="15.0" customHeight="1">
      <c r="A212" s="76">
        <v>204.0</v>
      </c>
      <c r="B212" s="76" t="s">
        <v>1596</v>
      </c>
      <c r="C212" s="76" t="s">
        <v>1597</v>
      </c>
      <c r="D212" s="76" t="s">
        <v>1635</v>
      </c>
      <c r="E212" s="119"/>
      <c r="F212" s="173" t="str">
        <f t="array" ref="F212">IFERROR(INDEX('2_Data_Pelanggan'!$S:$S,MATCH(D212,'2_Data_Pelanggan'!$P:$P,0)),"")</f>
        <v/>
      </c>
      <c r="G212" s="78" t="str">
        <f>IF(COUNTIF('2_Data_Pelanggan'!$P:$P,D212)&gt;0,"Terpasang","Stok/Belum Terpasang")</f>
        <v>Stok/Belum Terpasang</v>
      </c>
      <c r="H212" s="170" t="str">
        <f t="array" ref="H212">IFERROR(INDEX('2_Data_Pelanggan'!$B:$B,MATCH(D212,'2_Data_Pelanggan'!$P:$P,0)),"-")</f>
        <v>-</v>
      </c>
      <c r="I212" s="171" t="str">
        <f t="array" ref="I212">IFERROR(INDEX('2_Data_Pelanggan'!$D:$D,MATCH(D212,'2_Data_Pelanggan'!$P:$P,0)),"-")</f>
        <v>-</v>
      </c>
      <c r="J212" s="172" t="s">
        <v>1605</v>
      </c>
      <c r="K212" s="171" t="s">
        <v>1598</v>
      </c>
      <c r="L212" s="171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</row>
    <row r="213" ht="15.0" customHeight="1">
      <c r="A213" s="82">
        <v>205.0</v>
      </c>
      <c r="B213" s="82" t="s">
        <v>1596</v>
      </c>
      <c r="C213" s="82" t="s">
        <v>1597</v>
      </c>
      <c r="D213" s="82" t="s">
        <v>1636</v>
      </c>
      <c r="E213" s="73"/>
      <c r="F213" s="168" t="str">
        <f t="array" ref="F213">IFERROR(INDEX('2_Data_Pelanggan'!$S:$S,MATCH(D213,'2_Data_Pelanggan'!$P:$P,0)),"")</f>
        <v/>
      </c>
      <c r="G213" s="78" t="str">
        <f>IF(COUNTIF('2_Data_Pelanggan'!$P:$P,D213)&gt;0,"Terpasang","Stok/Belum Terpasang")</f>
        <v>Stok/Belum Terpasang</v>
      </c>
      <c r="H213" s="170" t="str">
        <f t="array" ref="H213">IFERROR(INDEX('2_Data_Pelanggan'!$B:$B,MATCH(D213,'2_Data_Pelanggan'!$P:$P,0)),"-")</f>
        <v>-</v>
      </c>
      <c r="I213" s="171" t="str">
        <f t="array" ref="I213">IFERROR(INDEX('2_Data_Pelanggan'!$D:$D,MATCH(D213,'2_Data_Pelanggan'!$P:$P,0)),"-")</f>
        <v>-</v>
      </c>
      <c r="J213" s="172" t="s">
        <v>1605</v>
      </c>
      <c r="K213" s="171" t="s">
        <v>1598</v>
      </c>
      <c r="L213" s="171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</row>
    <row r="214" ht="15.0" customHeight="1">
      <c r="A214" s="76">
        <v>206.0</v>
      </c>
      <c r="B214" s="76" t="s">
        <v>1596</v>
      </c>
      <c r="C214" s="76" t="s">
        <v>1597</v>
      </c>
      <c r="D214" s="76" t="s">
        <v>1637</v>
      </c>
      <c r="E214" s="119"/>
      <c r="F214" s="173" t="str">
        <f t="array" ref="F214">IFERROR(INDEX('2_Data_Pelanggan'!$S:$S,MATCH(D214,'2_Data_Pelanggan'!$P:$P,0)),"")</f>
        <v/>
      </c>
      <c r="G214" s="78" t="str">
        <f>IF(COUNTIF('2_Data_Pelanggan'!$P:$P,D214)&gt;0,"Terpasang","Stok/Belum Terpasang")</f>
        <v>Stok/Belum Terpasang</v>
      </c>
      <c r="H214" s="170" t="str">
        <f t="array" ref="H214">IFERROR(INDEX('2_Data_Pelanggan'!$B:$B,MATCH(D214,'2_Data_Pelanggan'!$P:$P,0)),"-")</f>
        <v>-</v>
      </c>
      <c r="I214" s="171" t="str">
        <f t="array" ref="I214">IFERROR(INDEX('2_Data_Pelanggan'!$D:$D,MATCH(D214,'2_Data_Pelanggan'!$P:$P,0)),"-")</f>
        <v>-</v>
      </c>
      <c r="J214" s="172" t="s">
        <v>1605</v>
      </c>
      <c r="K214" s="171" t="s">
        <v>1598</v>
      </c>
      <c r="L214" s="171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</row>
    <row r="215" ht="15.0" customHeight="1">
      <c r="A215" s="82">
        <v>207.0</v>
      </c>
      <c r="B215" s="82" t="s">
        <v>1596</v>
      </c>
      <c r="C215" s="82" t="s">
        <v>1597</v>
      </c>
      <c r="D215" s="82" t="s">
        <v>1638</v>
      </c>
      <c r="E215" s="73"/>
      <c r="F215" s="168" t="str">
        <f t="array" ref="F215">IFERROR(INDEX('2_Data_Pelanggan'!$S:$S,MATCH(D215,'2_Data_Pelanggan'!$P:$P,0)),"")</f>
        <v/>
      </c>
      <c r="G215" s="78" t="str">
        <f>IF(COUNTIF('2_Data_Pelanggan'!$P:$P,D215)&gt;0,"Terpasang","Stok/Belum Terpasang")</f>
        <v>Stok/Belum Terpasang</v>
      </c>
      <c r="H215" s="170" t="str">
        <f t="array" ref="H215">IFERROR(INDEX('2_Data_Pelanggan'!$B:$B,MATCH(D215,'2_Data_Pelanggan'!$P:$P,0)),"-")</f>
        <v>-</v>
      </c>
      <c r="I215" s="171" t="str">
        <f t="array" ref="I215">IFERROR(INDEX('2_Data_Pelanggan'!$D:$D,MATCH(D215,'2_Data_Pelanggan'!$P:$P,0)),"-")</f>
        <v>-</v>
      </c>
      <c r="J215" s="172" t="s">
        <v>1605</v>
      </c>
      <c r="K215" s="171" t="s">
        <v>1598</v>
      </c>
      <c r="L215" s="171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</row>
    <row r="216" ht="15.0" customHeight="1">
      <c r="A216" s="76">
        <v>208.0</v>
      </c>
      <c r="B216" s="76" t="s">
        <v>1596</v>
      </c>
      <c r="C216" s="76" t="s">
        <v>1597</v>
      </c>
      <c r="D216" s="76" t="s">
        <v>1639</v>
      </c>
      <c r="E216" s="119"/>
      <c r="F216" s="173" t="str">
        <f t="array" ref="F216">IFERROR(INDEX('2_Data_Pelanggan'!$S:$S,MATCH(D216,'2_Data_Pelanggan'!$P:$P,0)),"")</f>
        <v/>
      </c>
      <c r="G216" s="78" t="str">
        <f>IF(COUNTIF('2_Data_Pelanggan'!$P:$P,D216)&gt;0,"Terpasang","Stok/Belum Terpasang")</f>
        <v>Stok/Belum Terpasang</v>
      </c>
      <c r="H216" s="170" t="str">
        <f t="array" ref="H216">IFERROR(INDEX('2_Data_Pelanggan'!$B:$B,MATCH(D216,'2_Data_Pelanggan'!$P:$P,0)),"-")</f>
        <v>-</v>
      </c>
      <c r="I216" s="171" t="str">
        <f t="array" ref="I216">IFERROR(INDEX('2_Data_Pelanggan'!$D:$D,MATCH(D216,'2_Data_Pelanggan'!$P:$P,0)),"-")</f>
        <v>-</v>
      </c>
      <c r="J216" s="172" t="s">
        <v>1605</v>
      </c>
      <c r="K216" s="171" t="s">
        <v>1598</v>
      </c>
      <c r="L216" s="171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</row>
    <row r="217" ht="15.0" customHeight="1">
      <c r="A217" s="82">
        <v>209.0</v>
      </c>
      <c r="B217" s="82" t="s">
        <v>1596</v>
      </c>
      <c r="C217" s="82" t="s">
        <v>1597</v>
      </c>
      <c r="D217" s="82" t="s">
        <v>1640</v>
      </c>
      <c r="E217" s="73"/>
      <c r="F217" s="168" t="str">
        <f t="array" ref="F217">IFERROR(INDEX('2_Data_Pelanggan'!$S:$S,MATCH(D217,'2_Data_Pelanggan'!$P:$P,0)),"")</f>
        <v/>
      </c>
      <c r="G217" s="78" t="str">
        <f>IF(COUNTIF('2_Data_Pelanggan'!$P:$P,D217)&gt;0,"Terpasang","Stok/Belum Terpasang")</f>
        <v>Stok/Belum Terpasang</v>
      </c>
      <c r="H217" s="170" t="str">
        <f t="array" ref="H217">IFERROR(INDEX('2_Data_Pelanggan'!$B:$B,MATCH(D217,'2_Data_Pelanggan'!$P:$P,0)),"-")</f>
        <v>-</v>
      </c>
      <c r="I217" s="171" t="str">
        <f t="array" ref="I217">IFERROR(INDEX('2_Data_Pelanggan'!$D:$D,MATCH(D217,'2_Data_Pelanggan'!$P:$P,0)),"-")</f>
        <v>-</v>
      </c>
      <c r="J217" s="172" t="s">
        <v>1605</v>
      </c>
      <c r="K217" s="171" t="s">
        <v>1598</v>
      </c>
      <c r="L217" s="171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</row>
    <row r="218" ht="15.0" customHeight="1">
      <c r="A218" s="76">
        <v>210.0</v>
      </c>
      <c r="B218" s="76" t="s">
        <v>1596</v>
      </c>
      <c r="C218" s="76" t="s">
        <v>1597</v>
      </c>
      <c r="D218" s="76" t="s">
        <v>1641</v>
      </c>
      <c r="E218" s="119"/>
      <c r="F218" s="173" t="str">
        <f t="array" ref="F218">IFERROR(INDEX('2_Data_Pelanggan'!$S:$S,MATCH(D218,'2_Data_Pelanggan'!$P:$P,0)),"")</f>
        <v/>
      </c>
      <c r="G218" s="78" t="str">
        <f>IF(COUNTIF('2_Data_Pelanggan'!$P:$P,D218)&gt;0,"Terpasang","Stok/Belum Terpasang")</f>
        <v>Stok/Belum Terpasang</v>
      </c>
      <c r="H218" s="170" t="str">
        <f t="array" ref="H218">IFERROR(INDEX('2_Data_Pelanggan'!$B:$B,MATCH(D218,'2_Data_Pelanggan'!$P:$P,0)),"-")</f>
        <v>-</v>
      </c>
      <c r="I218" s="171" t="str">
        <f t="array" ref="I218">IFERROR(INDEX('2_Data_Pelanggan'!$D:$D,MATCH(D218,'2_Data_Pelanggan'!$P:$P,0)),"-")</f>
        <v>-</v>
      </c>
      <c r="J218" s="172" t="s">
        <v>1605</v>
      </c>
      <c r="K218" s="171" t="s">
        <v>1598</v>
      </c>
      <c r="L218" s="171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</row>
    <row r="219" ht="15.0" customHeight="1">
      <c r="A219" s="82">
        <v>211.0</v>
      </c>
      <c r="B219" s="82" t="s">
        <v>1596</v>
      </c>
      <c r="C219" s="82" t="s">
        <v>1597</v>
      </c>
      <c r="D219" s="82" t="s">
        <v>1642</v>
      </c>
      <c r="E219" s="73"/>
      <c r="F219" s="168" t="str">
        <f t="array" ref="F219">IFERROR(INDEX('2_Data_Pelanggan'!$S:$S,MATCH(D219,'2_Data_Pelanggan'!$P:$P,0)),"")</f>
        <v/>
      </c>
      <c r="G219" s="78" t="str">
        <f>IF(COUNTIF('2_Data_Pelanggan'!$P:$P,D219)&gt;0,"Terpasang","Stok/Belum Terpasang")</f>
        <v>Stok/Belum Terpasang</v>
      </c>
      <c r="H219" s="170" t="str">
        <f t="array" ref="H219">IFERROR(INDEX('2_Data_Pelanggan'!$B:$B,MATCH(D219,'2_Data_Pelanggan'!$P:$P,0)),"-")</f>
        <v>-</v>
      </c>
      <c r="I219" s="171" t="str">
        <f t="array" ref="I219">IFERROR(INDEX('2_Data_Pelanggan'!$D:$D,MATCH(D219,'2_Data_Pelanggan'!$P:$P,0)),"-")</f>
        <v>-</v>
      </c>
      <c r="J219" s="172" t="s">
        <v>1605</v>
      </c>
      <c r="K219" s="171" t="s">
        <v>1598</v>
      </c>
      <c r="L219" s="171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</row>
    <row r="220" ht="15.0" customHeight="1">
      <c r="A220" s="76">
        <v>212.0</v>
      </c>
      <c r="B220" s="76" t="s">
        <v>1596</v>
      </c>
      <c r="C220" s="76" t="s">
        <v>1597</v>
      </c>
      <c r="D220" s="76" t="s">
        <v>1643</v>
      </c>
      <c r="E220" s="119"/>
      <c r="F220" s="173" t="str">
        <f t="array" ref="F220">IFERROR(INDEX('2_Data_Pelanggan'!$S:$S,MATCH(D220,'2_Data_Pelanggan'!$P:$P,0)),"")</f>
        <v/>
      </c>
      <c r="G220" s="78" t="str">
        <f>IF(COUNTIF('2_Data_Pelanggan'!$P:$P,D220)&gt;0,"Terpasang","Stok/Belum Terpasang")</f>
        <v>Stok/Belum Terpasang</v>
      </c>
      <c r="H220" s="170" t="str">
        <f t="array" ref="H220">IFERROR(INDEX('2_Data_Pelanggan'!$B:$B,MATCH(D220,'2_Data_Pelanggan'!$P:$P,0)),"-")</f>
        <v>-</v>
      </c>
      <c r="I220" s="171" t="str">
        <f t="array" ref="I220">IFERROR(INDEX('2_Data_Pelanggan'!$D:$D,MATCH(D220,'2_Data_Pelanggan'!$P:$P,0)),"-")</f>
        <v>-</v>
      </c>
      <c r="J220" s="172" t="s">
        <v>1605</v>
      </c>
      <c r="K220" s="171" t="s">
        <v>1598</v>
      </c>
      <c r="L220" s="171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</row>
    <row r="221" ht="15.0" customHeight="1">
      <c r="A221" s="82">
        <v>213.0</v>
      </c>
      <c r="B221" s="82" t="s">
        <v>1596</v>
      </c>
      <c r="C221" s="82" t="s">
        <v>1597</v>
      </c>
      <c r="D221" s="82" t="s">
        <v>1644</v>
      </c>
      <c r="E221" s="73"/>
      <c r="F221" s="168" t="str">
        <f t="array" ref="F221">IFERROR(INDEX('2_Data_Pelanggan'!$S:$S,MATCH(D221,'2_Data_Pelanggan'!$P:$P,0)),"")</f>
        <v/>
      </c>
      <c r="G221" s="78" t="str">
        <f>IF(COUNTIF('2_Data_Pelanggan'!$P:$P,D221)&gt;0,"Terpasang","Stok/Belum Terpasang")</f>
        <v>Stok/Belum Terpasang</v>
      </c>
      <c r="H221" s="170" t="str">
        <f t="array" ref="H221">IFERROR(INDEX('2_Data_Pelanggan'!$B:$B,MATCH(D221,'2_Data_Pelanggan'!$P:$P,0)),"-")</f>
        <v>-</v>
      </c>
      <c r="I221" s="171" t="str">
        <f t="array" ref="I221">IFERROR(INDEX('2_Data_Pelanggan'!$D:$D,MATCH(D221,'2_Data_Pelanggan'!$P:$P,0)),"-")</f>
        <v>-</v>
      </c>
      <c r="J221" s="172" t="s">
        <v>1605</v>
      </c>
      <c r="K221" s="171" t="s">
        <v>1598</v>
      </c>
      <c r="L221" s="171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</row>
    <row r="222" ht="15.0" customHeight="1">
      <c r="A222" s="76">
        <v>214.0</v>
      </c>
      <c r="B222" s="76" t="s">
        <v>1596</v>
      </c>
      <c r="C222" s="76" t="s">
        <v>1597</v>
      </c>
      <c r="D222" s="76" t="s">
        <v>1645</v>
      </c>
      <c r="E222" s="119"/>
      <c r="F222" s="173" t="str">
        <f t="array" ref="F222">IFERROR(INDEX('2_Data_Pelanggan'!$S:$S,MATCH(D222,'2_Data_Pelanggan'!$P:$P,0)),"")</f>
        <v/>
      </c>
      <c r="G222" s="78" t="str">
        <f>IF(COUNTIF('2_Data_Pelanggan'!$P:$P,D222)&gt;0,"Terpasang","Stok/Belum Terpasang")</f>
        <v>Stok/Belum Terpasang</v>
      </c>
      <c r="H222" s="170" t="str">
        <f t="array" ref="H222">IFERROR(INDEX('2_Data_Pelanggan'!$B:$B,MATCH(D222,'2_Data_Pelanggan'!$P:$P,0)),"-")</f>
        <v>-</v>
      </c>
      <c r="I222" s="171" t="str">
        <f t="array" ref="I222">IFERROR(INDEX('2_Data_Pelanggan'!$D:$D,MATCH(D222,'2_Data_Pelanggan'!$P:$P,0)),"-")</f>
        <v>-</v>
      </c>
      <c r="J222" s="172" t="s">
        <v>1605</v>
      </c>
      <c r="K222" s="171" t="s">
        <v>1598</v>
      </c>
      <c r="L222" s="171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</row>
    <row r="223" ht="15.0" customHeight="1">
      <c r="A223" s="82">
        <v>215.0</v>
      </c>
      <c r="B223" s="82" t="s">
        <v>1596</v>
      </c>
      <c r="C223" s="82" t="s">
        <v>1597</v>
      </c>
      <c r="D223" s="82" t="s">
        <v>1646</v>
      </c>
      <c r="E223" s="73"/>
      <c r="F223" s="168" t="str">
        <f t="array" ref="F223">IFERROR(INDEX('2_Data_Pelanggan'!$S:$S,MATCH(D223,'2_Data_Pelanggan'!$P:$P,0)),"")</f>
        <v/>
      </c>
      <c r="G223" s="78" t="str">
        <f>IF(COUNTIF('2_Data_Pelanggan'!$P:$P,D223)&gt;0,"Terpasang","Stok/Belum Terpasang")</f>
        <v>Stok/Belum Terpasang</v>
      </c>
      <c r="H223" s="170" t="str">
        <f t="array" ref="H223">IFERROR(INDEX('2_Data_Pelanggan'!$B:$B,MATCH(D223,'2_Data_Pelanggan'!$P:$P,0)),"-")</f>
        <v>-</v>
      </c>
      <c r="I223" s="171" t="str">
        <f t="array" ref="I223">IFERROR(INDEX('2_Data_Pelanggan'!$D:$D,MATCH(D223,'2_Data_Pelanggan'!$P:$P,0)),"-")</f>
        <v>-</v>
      </c>
      <c r="J223" s="172" t="s">
        <v>1605</v>
      </c>
      <c r="K223" s="171" t="s">
        <v>1598</v>
      </c>
      <c r="L223" s="171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</row>
    <row r="224" ht="15.0" customHeight="1">
      <c r="A224" s="76">
        <v>216.0</v>
      </c>
      <c r="B224" s="76" t="s">
        <v>1596</v>
      </c>
      <c r="C224" s="76" t="s">
        <v>1597</v>
      </c>
      <c r="D224" s="76" t="s">
        <v>1647</v>
      </c>
      <c r="E224" s="119"/>
      <c r="F224" s="173" t="str">
        <f t="array" ref="F224">IFERROR(INDEX('2_Data_Pelanggan'!$S:$S,MATCH(D224,'2_Data_Pelanggan'!$P:$P,0)),"")</f>
        <v/>
      </c>
      <c r="G224" s="78" t="str">
        <f>IF(COUNTIF('2_Data_Pelanggan'!$P:$P,D224)&gt;0,"Terpasang","Stok/Belum Terpasang")</f>
        <v>Stok/Belum Terpasang</v>
      </c>
      <c r="H224" s="170" t="str">
        <f t="array" ref="H224">IFERROR(INDEX('2_Data_Pelanggan'!$B:$B,MATCH(D224,'2_Data_Pelanggan'!$P:$P,0)),"-")</f>
        <v>-</v>
      </c>
      <c r="I224" s="171" t="str">
        <f t="array" ref="I224">IFERROR(INDEX('2_Data_Pelanggan'!$D:$D,MATCH(D224,'2_Data_Pelanggan'!$P:$P,0)),"-")</f>
        <v>-</v>
      </c>
      <c r="J224" s="172" t="s">
        <v>1605</v>
      </c>
      <c r="K224" s="171" t="s">
        <v>1598</v>
      </c>
      <c r="L224" s="171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</row>
    <row r="225" ht="15.0" customHeight="1">
      <c r="A225" s="82">
        <v>217.0</v>
      </c>
      <c r="B225" s="82" t="s">
        <v>1596</v>
      </c>
      <c r="C225" s="82" t="s">
        <v>1597</v>
      </c>
      <c r="D225" s="82" t="s">
        <v>1648</v>
      </c>
      <c r="E225" s="73"/>
      <c r="F225" s="168" t="str">
        <f t="array" ref="F225">IFERROR(INDEX('2_Data_Pelanggan'!$S:$S,MATCH(D225,'2_Data_Pelanggan'!$P:$P,0)),"")</f>
        <v/>
      </c>
      <c r="G225" s="78" t="str">
        <f>IF(COUNTIF('2_Data_Pelanggan'!$P:$P,D225)&gt;0,"Terpasang","Stok/Belum Terpasang")</f>
        <v>Stok/Belum Terpasang</v>
      </c>
      <c r="H225" s="170" t="str">
        <f t="array" ref="H225">IFERROR(INDEX('2_Data_Pelanggan'!$B:$B,MATCH(D225,'2_Data_Pelanggan'!$P:$P,0)),"-")</f>
        <v>-</v>
      </c>
      <c r="I225" s="171" t="str">
        <f t="array" ref="I225">IFERROR(INDEX('2_Data_Pelanggan'!$D:$D,MATCH(D225,'2_Data_Pelanggan'!$P:$P,0)),"-")</f>
        <v>-</v>
      </c>
      <c r="J225" s="172" t="s">
        <v>1605</v>
      </c>
      <c r="K225" s="171" t="s">
        <v>1598</v>
      </c>
      <c r="L225" s="171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</row>
    <row r="226" ht="15.0" customHeight="1">
      <c r="A226" s="76">
        <v>218.0</v>
      </c>
      <c r="B226" s="76" t="s">
        <v>1596</v>
      </c>
      <c r="C226" s="76" t="s">
        <v>1597</v>
      </c>
      <c r="D226" s="76" t="s">
        <v>1649</v>
      </c>
      <c r="E226" s="119"/>
      <c r="F226" s="173" t="str">
        <f t="array" ref="F226">IFERROR(INDEX('2_Data_Pelanggan'!$S:$S,MATCH(D226,'2_Data_Pelanggan'!$P:$P,0)),"")</f>
        <v/>
      </c>
      <c r="G226" s="78" t="str">
        <f>IF(COUNTIF('2_Data_Pelanggan'!$P:$P,D226)&gt;0,"Terpasang","Stok/Belum Terpasang")</f>
        <v>Stok/Belum Terpasang</v>
      </c>
      <c r="H226" s="170" t="str">
        <f t="array" ref="H226">IFERROR(INDEX('2_Data_Pelanggan'!$B:$B,MATCH(D226,'2_Data_Pelanggan'!$P:$P,0)),"-")</f>
        <v>-</v>
      </c>
      <c r="I226" s="171" t="str">
        <f t="array" ref="I226">IFERROR(INDEX('2_Data_Pelanggan'!$D:$D,MATCH(D226,'2_Data_Pelanggan'!$P:$P,0)),"-")</f>
        <v>-</v>
      </c>
      <c r="J226" s="172" t="s">
        <v>1605</v>
      </c>
      <c r="K226" s="171" t="s">
        <v>1598</v>
      </c>
      <c r="L226" s="171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</row>
    <row r="227" ht="15.0" customHeight="1">
      <c r="A227" s="82">
        <v>219.0</v>
      </c>
      <c r="B227" s="82" t="s">
        <v>1596</v>
      </c>
      <c r="C227" s="82" t="s">
        <v>1597</v>
      </c>
      <c r="D227" s="82" t="s">
        <v>1650</v>
      </c>
      <c r="E227" s="73"/>
      <c r="F227" s="168" t="str">
        <f t="array" ref="F227">IFERROR(INDEX('2_Data_Pelanggan'!$S:$S,MATCH(D227,'2_Data_Pelanggan'!$P:$P,0)),"")</f>
        <v/>
      </c>
      <c r="G227" s="78" t="str">
        <f>IF(COUNTIF('2_Data_Pelanggan'!$P:$P,D227)&gt;0,"Terpasang","Stok/Belum Terpasang")</f>
        <v>Stok/Belum Terpasang</v>
      </c>
      <c r="H227" s="170" t="str">
        <f t="array" ref="H227">IFERROR(INDEX('2_Data_Pelanggan'!$B:$B,MATCH(D227,'2_Data_Pelanggan'!$P:$P,0)),"-")</f>
        <v>-</v>
      </c>
      <c r="I227" s="171" t="str">
        <f t="array" ref="I227">IFERROR(INDEX('2_Data_Pelanggan'!$D:$D,MATCH(D227,'2_Data_Pelanggan'!$P:$P,0)),"-")</f>
        <v>-</v>
      </c>
      <c r="J227" s="172" t="s">
        <v>1605</v>
      </c>
      <c r="K227" s="171" t="s">
        <v>1598</v>
      </c>
      <c r="L227" s="171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</row>
    <row r="228" ht="15.0" customHeight="1">
      <c r="A228" s="76">
        <v>220.0</v>
      </c>
      <c r="B228" s="76" t="s">
        <v>1596</v>
      </c>
      <c r="C228" s="76" t="s">
        <v>1597</v>
      </c>
      <c r="D228" s="76" t="s">
        <v>1651</v>
      </c>
      <c r="E228" s="119"/>
      <c r="F228" s="173" t="str">
        <f t="array" ref="F228">IFERROR(INDEX('2_Data_Pelanggan'!$S:$S,MATCH(D228,'2_Data_Pelanggan'!$P:$P,0)),"")</f>
        <v/>
      </c>
      <c r="G228" s="78" t="str">
        <f>IF(COUNTIF('2_Data_Pelanggan'!$P:$P,D228)&gt;0,"Terpasang","Stok/Belum Terpasang")</f>
        <v>Stok/Belum Terpasang</v>
      </c>
      <c r="H228" s="170" t="str">
        <f t="array" ref="H228">IFERROR(INDEX('2_Data_Pelanggan'!$B:$B,MATCH(D228,'2_Data_Pelanggan'!$P:$P,0)),"-")</f>
        <v>-</v>
      </c>
      <c r="I228" s="171" t="str">
        <f t="array" ref="I228">IFERROR(INDEX('2_Data_Pelanggan'!$D:$D,MATCH(D228,'2_Data_Pelanggan'!$P:$P,0)),"-")</f>
        <v>-</v>
      </c>
      <c r="J228" s="172" t="s">
        <v>1605</v>
      </c>
      <c r="K228" s="171" t="s">
        <v>1598</v>
      </c>
      <c r="L228" s="171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</row>
    <row r="229" ht="15.0" customHeight="1">
      <c r="A229" s="82">
        <v>221.0</v>
      </c>
      <c r="B229" s="82" t="s">
        <v>1596</v>
      </c>
      <c r="C229" s="82" t="s">
        <v>1597</v>
      </c>
      <c r="D229" s="82" t="s">
        <v>1652</v>
      </c>
      <c r="E229" s="73"/>
      <c r="F229" s="168" t="str">
        <f t="array" ref="F229">IFERROR(INDEX('2_Data_Pelanggan'!$S:$S,MATCH(D229,'2_Data_Pelanggan'!$P:$P,0)),"")</f>
        <v/>
      </c>
      <c r="G229" s="78" t="str">
        <f>IF(COUNTIF('2_Data_Pelanggan'!$P:$P,D229)&gt;0,"Terpasang","Stok/Belum Terpasang")</f>
        <v>Stok/Belum Terpasang</v>
      </c>
      <c r="H229" s="170" t="str">
        <f t="array" ref="H229">IFERROR(INDEX('2_Data_Pelanggan'!$B:$B,MATCH(D229,'2_Data_Pelanggan'!$P:$P,0)),"-")</f>
        <v>-</v>
      </c>
      <c r="I229" s="171" t="str">
        <f t="array" ref="I229">IFERROR(INDEX('2_Data_Pelanggan'!$D:$D,MATCH(D229,'2_Data_Pelanggan'!$P:$P,0)),"-")</f>
        <v>-</v>
      </c>
      <c r="J229" s="172" t="s">
        <v>1605</v>
      </c>
      <c r="K229" s="171" t="s">
        <v>1598</v>
      </c>
      <c r="L229" s="171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</row>
    <row r="230" ht="15.0" customHeight="1">
      <c r="A230" s="76">
        <v>222.0</v>
      </c>
      <c r="B230" s="76" t="s">
        <v>1596</v>
      </c>
      <c r="C230" s="76" t="s">
        <v>1597</v>
      </c>
      <c r="D230" s="76" t="s">
        <v>1653</v>
      </c>
      <c r="E230" s="119"/>
      <c r="F230" s="173" t="str">
        <f t="array" ref="F230">IFERROR(INDEX('2_Data_Pelanggan'!$S:$S,MATCH(D230,'2_Data_Pelanggan'!$P:$P,0)),"")</f>
        <v/>
      </c>
      <c r="G230" s="78" t="str">
        <f>IF(COUNTIF('2_Data_Pelanggan'!$P:$P,D230)&gt;0,"Terpasang","Stok/Belum Terpasang")</f>
        <v>Stok/Belum Terpasang</v>
      </c>
      <c r="H230" s="170" t="str">
        <f t="array" ref="H230">IFERROR(INDEX('2_Data_Pelanggan'!$B:$B,MATCH(D230,'2_Data_Pelanggan'!$P:$P,0)),"-")</f>
        <v>-</v>
      </c>
      <c r="I230" s="171" t="str">
        <f t="array" ref="I230">IFERROR(INDEX('2_Data_Pelanggan'!$D:$D,MATCH(D230,'2_Data_Pelanggan'!$P:$P,0)),"-")</f>
        <v>-</v>
      </c>
      <c r="J230" s="172" t="s">
        <v>1605</v>
      </c>
      <c r="K230" s="171" t="s">
        <v>1598</v>
      </c>
      <c r="L230" s="171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</row>
    <row r="231" ht="15.0" customHeight="1">
      <c r="A231" s="82">
        <v>223.0</v>
      </c>
      <c r="B231" s="82" t="s">
        <v>1596</v>
      </c>
      <c r="C231" s="82" t="s">
        <v>1597</v>
      </c>
      <c r="D231" s="82" t="s">
        <v>1654</v>
      </c>
      <c r="E231" s="73"/>
      <c r="F231" s="168" t="str">
        <f t="array" ref="F231">IFERROR(INDEX('2_Data_Pelanggan'!$S:$S,MATCH(D231,'2_Data_Pelanggan'!$P:$P,0)),"")</f>
        <v/>
      </c>
      <c r="G231" s="78" t="str">
        <f>IF(COUNTIF('2_Data_Pelanggan'!$P:$P,D231)&gt;0,"Terpasang","Stok/Belum Terpasang")</f>
        <v>Stok/Belum Terpasang</v>
      </c>
      <c r="H231" s="170" t="str">
        <f t="array" ref="H231">IFERROR(INDEX('2_Data_Pelanggan'!$B:$B,MATCH(D231,'2_Data_Pelanggan'!$P:$P,0)),"-")</f>
        <v>-</v>
      </c>
      <c r="I231" s="171" t="str">
        <f t="array" ref="I231">IFERROR(INDEX('2_Data_Pelanggan'!$D:$D,MATCH(D231,'2_Data_Pelanggan'!$P:$P,0)),"-")</f>
        <v>-</v>
      </c>
      <c r="J231" s="172" t="s">
        <v>1605</v>
      </c>
      <c r="K231" s="171" t="s">
        <v>1598</v>
      </c>
      <c r="L231" s="171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</row>
    <row r="232" ht="15.0" customHeight="1">
      <c r="A232" s="76">
        <v>224.0</v>
      </c>
      <c r="B232" s="76" t="s">
        <v>1596</v>
      </c>
      <c r="C232" s="76" t="s">
        <v>1597</v>
      </c>
      <c r="D232" s="76" t="s">
        <v>1655</v>
      </c>
      <c r="E232" s="119"/>
      <c r="F232" s="173" t="str">
        <f t="array" ref="F232">IFERROR(INDEX('2_Data_Pelanggan'!$S:$S,MATCH(D232,'2_Data_Pelanggan'!$P:$P,0)),"")</f>
        <v/>
      </c>
      <c r="G232" s="78" t="str">
        <f>IF(COUNTIF('2_Data_Pelanggan'!$P:$P,D232)&gt;0,"Terpasang","Stok/Belum Terpasang")</f>
        <v>Stok/Belum Terpasang</v>
      </c>
      <c r="H232" s="170" t="str">
        <f t="array" ref="H232">IFERROR(INDEX('2_Data_Pelanggan'!$B:$B,MATCH(D232,'2_Data_Pelanggan'!$P:$P,0)),"-")</f>
        <v>-</v>
      </c>
      <c r="I232" s="171" t="str">
        <f t="array" ref="I232">IFERROR(INDEX('2_Data_Pelanggan'!$D:$D,MATCH(D232,'2_Data_Pelanggan'!$P:$P,0)),"-")</f>
        <v>-</v>
      </c>
      <c r="J232" s="172" t="s">
        <v>1605</v>
      </c>
      <c r="K232" s="171" t="s">
        <v>1598</v>
      </c>
      <c r="L232" s="171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</row>
    <row r="233" ht="15.0" customHeight="1">
      <c r="A233" s="82">
        <v>225.0</v>
      </c>
      <c r="B233" s="82" t="s">
        <v>1596</v>
      </c>
      <c r="C233" s="82" t="s">
        <v>1597</v>
      </c>
      <c r="D233" s="82" t="s">
        <v>1656</v>
      </c>
      <c r="E233" s="73"/>
      <c r="F233" s="168" t="str">
        <f t="array" ref="F233">IFERROR(INDEX('2_Data_Pelanggan'!$S:$S,MATCH(D233,'2_Data_Pelanggan'!$P:$P,0)),"")</f>
        <v/>
      </c>
      <c r="G233" s="78" t="str">
        <f>IF(COUNTIF('2_Data_Pelanggan'!$P:$P,D233)&gt;0,"Terpasang","Stok/Belum Terpasang")</f>
        <v>Stok/Belum Terpasang</v>
      </c>
      <c r="H233" s="170" t="str">
        <f t="array" ref="H233">IFERROR(INDEX('2_Data_Pelanggan'!$B:$B,MATCH(D233,'2_Data_Pelanggan'!$P:$P,0)),"-")</f>
        <v>-</v>
      </c>
      <c r="I233" s="171" t="str">
        <f t="array" ref="I233">IFERROR(INDEX('2_Data_Pelanggan'!$D:$D,MATCH(D233,'2_Data_Pelanggan'!$P:$P,0)),"-")</f>
        <v>-</v>
      </c>
      <c r="J233" s="172" t="s">
        <v>1605</v>
      </c>
      <c r="K233" s="171" t="s">
        <v>1598</v>
      </c>
      <c r="L233" s="171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</row>
    <row r="234" ht="15.0" customHeight="1">
      <c r="A234" s="76">
        <v>226.0</v>
      </c>
      <c r="B234" s="76" t="s">
        <v>1596</v>
      </c>
      <c r="C234" s="76" t="s">
        <v>1597</v>
      </c>
      <c r="D234" s="76" t="s">
        <v>1657</v>
      </c>
      <c r="E234" s="119"/>
      <c r="F234" s="173" t="str">
        <f t="array" ref="F234">IFERROR(INDEX('2_Data_Pelanggan'!$S:$S,MATCH(D234,'2_Data_Pelanggan'!$P:$P,0)),"")</f>
        <v/>
      </c>
      <c r="G234" s="78" t="str">
        <f>IF(COUNTIF('2_Data_Pelanggan'!$P:$P,D234)&gt;0,"Terpasang","Stok/Belum Terpasang")</f>
        <v>Stok/Belum Terpasang</v>
      </c>
      <c r="H234" s="170" t="str">
        <f t="array" ref="H234">IFERROR(INDEX('2_Data_Pelanggan'!$B:$B,MATCH(D234,'2_Data_Pelanggan'!$P:$P,0)),"-")</f>
        <v>-</v>
      </c>
      <c r="I234" s="171" t="str">
        <f t="array" ref="I234">IFERROR(INDEX('2_Data_Pelanggan'!$D:$D,MATCH(D234,'2_Data_Pelanggan'!$P:$P,0)),"-")</f>
        <v>-</v>
      </c>
      <c r="J234" s="172" t="s">
        <v>1605</v>
      </c>
      <c r="K234" s="171" t="s">
        <v>1598</v>
      </c>
      <c r="L234" s="171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</row>
    <row r="235" ht="15.0" customHeight="1">
      <c r="A235" s="82">
        <v>227.0</v>
      </c>
      <c r="B235" s="82" t="s">
        <v>1596</v>
      </c>
      <c r="C235" s="82" t="s">
        <v>1597</v>
      </c>
      <c r="D235" s="82" t="s">
        <v>1658</v>
      </c>
      <c r="E235" s="73"/>
      <c r="F235" s="168" t="str">
        <f t="array" ref="F235">IFERROR(INDEX('2_Data_Pelanggan'!$S:$S,MATCH(D235,'2_Data_Pelanggan'!$P:$P,0)),"")</f>
        <v/>
      </c>
      <c r="G235" s="78" t="str">
        <f>IF(COUNTIF('2_Data_Pelanggan'!$P:$P,D235)&gt;0,"Terpasang","Stok/Belum Terpasang")</f>
        <v>Stok/Belum Terpasang</v>
      </c>
      <c r="H235" s="170" t="str">
        <f t="array" ref="H235">IFERROR(INDEX('2_Data_Pelanggan'!$B:$B,MATCH(D235,'2_Data_Pelanggan'!$P:$P,0)),"-")</f>
        <v>-</v>
      </c>
      <c r="I235" s="171" t="str">
        <f t="array" ref="I235">IFERROR(INDEX('2_Data_Pelanggan'!$D:$D,MATCH(D235,'2_Data_Pelanggan'!$P:$P,0)),"-")</f>
        <v>-</v>
      </c>
      <c r="J235" s="172" t="s">
        <v>1605</v>
      </c>
      <c r="K235" s="171" t="s">
        <v>1598</v>
      </c>
      <c r="L235" s="171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</row>
    <row r="236" ht="15.0" customHeight="1">
      <c r="A236" s="76">
        <v>228.0</v>
      </c>
      <c r="B236" s="76" t="s">
        <v>1596</v>
      </c>
      <c r="C236" s="76" t="s">
        <v>1597</v>
      </c>
      <c r="D236" s="76" t="s">
        <v>1659</v>
      </c>
      <c r="E236" s="119"/>
      <c r="F236" s="173" t="str">
        <f t="array" ref="F236">IFERROR(INDEX('2_Data_Pelanggan'!$S:$S,MATCH(D236,'2_Data_Pelanggan'!$P:$P,0)),"")</f>
        <v/>
      </c>
      <c r="G236" s="78" t="str">
        <f>IF(COUNTIF('2_Data_Pelanggan'!$P:$P,D236)&gt;0,"Terpasang","Stok/Belum Terpasang")</f>
        <v>Stok/Belum Terpasang</v>
      </c>
      <c r="H236" s="170" t="str">
        <f t="array" ref="H236">IFERROR(INDEX('2_Data_Pelanggan'!$B:$B,MATCH(D236,'2_Data_Pelanggan'!$P:$P,0)),"-")</f>
        <v>-</v>
      </c>
      <c r="I236" s="171" t="str">
        <f t="array" ref="I236">IFERROR(INDEX('2_Data_Pelanggan'!$D:$D,MATCH(D236,'2_Data_Pelanggan'!$P:$P,0)),"-")</f>
        <v>-</v>
      </c>
      <c r="J236" s="172" t="s">
        <v>1605</v>
      </c>
      <c r="K236" s="171" t="s">
        <v>1598</v>
      </c>
      <c r="L236" s="171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</row>
    <row r="237" ht="15.0" customHeight="1">
      <c r="A237" s="82">
        <v>229.0</v>
      </c>
      <c r="B237" s="82" t="s">
        <v>1596</v>
      </c>
      <c r="C237" s="82" t="s">
        <v>1597</v>
      </c>
      <c r="D237" s="82" t="s">
        <v>1660</v>
      </c>
      <c r="E237" s="73"/>
      <c r="F237" s="168" t="str">
        <f t="array" ref="F237">IFERROR(INDEX('2_Data_Pelanggan'!$S:$S,MATCH(D237,'2_Data_Pelanggan'!$P:$P,0)),"")</f>
        <v/>
      </c>
      <c r="G237" s="78" t="str">
        <f>IF(COUNTIF('2_Data_Pelanggan'!$P:$P,D237)&gt;0,"Terpasang","Stok/Belum Terpasang")</f>
        <v>Stok/Belum Terpasang</v>
      </c>
      <c r="H237" s="170" t="str">
        <f t="array" ref="H237">IFERROR(INDEX('2_Data_Pelanggan'!$B:$B,MATCH(D237,'2_Data_Pelanggan'!$P:$P,0)),"-")</f>
        <v>-</v>
      </c>
      <c r="I237" s="171" t="str">
        <f t="array" ref="I237">IFERROR(INDEX('2_Data_Pelanggan'!$D:$D,MATCH(D237,'2_Data_Pelanggan'!$P:$P,0)),"-")</f>
        <v>-</v>
      </c>
      <c r="J237" s="172" t="s">
        <v>1605</v>
      </c>
      <c r="K237" s="171" t="s">
        <v>1598</v>
      </c>
      <c r="L237" s="171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</row>
    <row r="238" ht="15.0" customHeight="1">
      <c r="A238" s="76">
        <v>230.0</v>
      </c>
      <c r="B238" s="76" t="s">
        <v>1596</v>
      </c>
      <c r="C238" s="76" t="s">
        <v>1597</v>
      </c>
      <c r="D238" s="76" t="s">
        <v>1661</v>
      </c>
      <c r="E238" s="119"/>
      <c r="F238" s="173" t="str">
        <f t="array" ref="F238">IFERROR(INDEX('2_Data_Pelanggan'!$S:$S,MATCH(D238,'2_Data_Pelanggan'!$P:$P,0)),"")</f>
        <v/>
      </c>
      <c r="G238" s="78" t="str">
        <f>IF(COUNTIF('2_Data_Pelanggan'!$P:$P,D238)&gt;0,"Terpasang","Stok/Belum Terpasang")</f>
        <v>Stok/Belum Terpasang</v>
      </c>
      <c r="H238" s="170" t="str">
        <f t="array" ref="H238">IFERROR(INDEX('2_Data_Pelanggan'!$B:$B,MATCH(D238,'2_Data_Pelanggan'!$P:$P,0)),"-")</f>
        <v>-</v>
      </c>
      <c r="I238" s="171" t="str">
        <f t="array" ref="I238">IFERROR(INDEX('2_Data_Pelanggan'!$D:$D,MATCH(D238,'2_Data_Pelanggan'!$P:$P,0)),"-")</f>
        <v>-</v>
      </c>
      <c r="J238" s="172" t="s">
        <v>1605</v>
      </c>
      <c r="K238" s="171" t="s">
        <v>1598</v>
      </c>
      <c r="L238" s="171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</row>
    <row r="239" ht="15.0" customHeight="1">
      <c r="A239" s="82">
        <v>231.0</v>
      </c>
      <c r="B239" s="82" t="s">
        <v>1596</v>
      </c>
      <c r="C239" s="82" t="s">
        <v>1597</v>
      </c>
      <c r="D239" s="82" t="s">
        <v>1662</v>
      </c>
      <c r="E239" s="73"/>
      <c r="F239" s="168" t="str">
        <f t="array" ref="F239">IFERROR(INDEX('2_Data_Pelanggan'!$S:$S,MATCH(D239,'2_Data_Pelanggan'!$P:$P,0)),"")</f>
        <v/>
      </c>
      <c r="G239" s="78" t="str">
        <f>IF(COUNTIF('2_Data_Pelanggan'!$P:$P,D239)&gt;0,"Terpasang","Stok/Belum Terpasang")</f>
        <v>Stok/Belum Terpasang</v>
      </c>
      <c r="H239" s="170" t="str">
        <f t="array" ref="H239">IFERROR(INDEX('2_Data_Pelanggan'!$B:$B,MATCH(D239,'2_Data_Pelanggan'!$P:$P,0)),"-")</f>
        <v>-</v>
      </c>
      <c r="I239" s="171" t="str">
        <f t="array" ref="I239">IFERROR(INDEX('2_Data_Pelanggan'!$D:$D,MATCH(D239,'2_Data_Pelanggan'!$P:$P,0)),"-")</f>
        <v>-</v>
      </c>
      <c r="J239" s="172" t="s">
        <v>1605</v>
      </c>
      <c r="K239" s="171" t="s">
        <v>1598</v>
      </c>
      <c r="L239" s="171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</row>
    <row r="240" ht="15.0" customHeight="1">
      <c r="A240" s="76">
        <v>232.0</v>
      </c>
      <c r="B240" s="76" t="s">
        <v>1596</v>
      </c>
      <c r="C240" s="76" t="s">
        <v>1597</v>
      </c>
      <c r="D240" s="76" t="s">
        <v>1663</v>
      </c>
      <c r="E240" s="119"/>
      <c r="F240" s="173" t="str">
        <f t="array" ref="F240">IFERROR(INDEX('2_Data_Pelanggan'!$S:$S,MATCH(D240,'2_Data_Pelanggan'!$P:$P,0)),"")</f>
        <v/>
      </c>
      <c r="G240" s="78" t="str">
        <f>IF(COUNTIF('2_Data_Pelanggan'!$P:$P,D240)&gt;0,"Terpasang","Stok/Belum Terpasang")</f>
        <v>Stok/Belum Terpasang</v>
      </c>
      <c r="H240" s="170" t="str">
        <f t="array" ref="H240">IFERROR(INDEX('2_Data_Pelanggan'!$B:$B,MATCH(D240,'2_Data_Pelanggan'!$P:$P,0)),"-")</f>
        <v>-</v>
      </c>
      <c r="I240" s="171" t="str">
        <f t="array" ref="I240">IFERROR(INDEX('2_Data_Pelanggan'!$D:$D,MATCH(D240,'2_Data_Pelanggan'!$P:$P,0)),"-")</f>
        <v>-</v>
      </c>
      <c r="J240" s="172" t="s">
        <v>1605</v>
      </c>
      <c r="K240" s="171" t="s">
        <v>1598</v>
      </c>
      <c r="L240" s="171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</row>
    <row r="241" ht="15.0" customHeight="1">
      <c r="A241" s="82">
        <v>233.0</v>
      </c>
      <c r="B241" s="82" t="s">
        <v>1596</v>
      </c>
      <c r="C241" s="82" t="s">
        <v>1597</v>
      </c>
      <c r="D241" s="82" t="s">
        <v>1664</v>
      </c>
      <c r="E241" s="73"/>
      <c r="F241" s="168" t="str">
        <f t="array" ref="F241">IFERROR(INDEX('2_Data_Pelanggan'!$S:$S,MATCH(D241,'2_Data_Pelanggan'!$P:$P,0)),"")</f>
        <v/>
      </c>
      <c r="G241" s="78" t="str">
        <f>IF(COUNTIF('2_Data_Pelanggan'!$P:$P,D241)&gt;0,"Terpasang","Stok/Belum Terpasang")</f>
        <v>Stok/Belum Terpasang</v>
      </c>
      <c r="H241" s="170" t="str">
        <f t="array" ref="H241">IFERROR(INDEX('2_Data_Pelanggan'!$B:$B,MATCH(D241,'2_Data_Pelanggan'!$P:$P,0)),"-")</f>
        <v>-</v>
      </c>
      <c r="I241" s="171" t="str">
        <f t="array" ref="I241">IFERROR(INDEX('2_Data_Pelanggan'!$D:$D,MATCH(D241,'2_Data_Pelanggan'!$P:$P,0)),"-")</f>
        <v>-</v>
      </c>
      <c r="J241" s="172" t="s">
        <v>1605</v>
      </c>
      <c r="K241" s="171" t="s">
        <v>1598</v>
      </c>
      <c r="L241" s="171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</row>
    <row r="242" ht="15.0" customHeight="1">
      <c r="A242" s="76">
        <v>234.0</v>
      </c>
      <c r="B242" s="76" t="s">
        <v>1596</v>
      </c>
      <c r="C242" s="76" t="s">
        <v>1597</v>
      </c>
      <c r="D242" s="76" t="s">
        <v>1665</v>
      </c>
      <c r="E242" s="119"/>
      <c r="F242" s="173" t="str">
        <f t="array" ref="F242">IFERROR(INDEX('2_Data_Pelanggan'!$S:$S,MATCH(D242,'2_Data_Pelanggan'!$P:$P,0)),"")</f>
        <v/>
      </c>
      <c r="G242" s="78" t="str">
        <f>IF(COUNTIF('2_Data_Pelanggan'!$P:$P,D242)&gt;0,"Terpasang","Stok/Belum Terpasang")</f>
        <v>Stok/Belum Terpasang</v>
      </c>
      <c r="H242" s="170" t="str">
        <f t="array" ref="H242">IFERROR(INDEX('2_Data_Pelanggan'!$B:$B,MATCH(D242,'2_Data_Pelanggan'!$P:$P,0)),"-")</f>
        <v>-</v>
      </c>
      <c r="I242" s="171" t="str">
        <f t="array" ref="I242">IFERROR(INDEX('2_Data_Pelanggan'!$D:$D,MATCH(D242,'2_Data_Pelanggan'!$P:$P,0)),"-")</f>
        <v>-</v>
      </c>
      <c r="J242" s="172" t="s">
        <v>1605</v>
      </c>
      <c r="K242" s="171" t="s">
        <v>1598</v>
      </c>
      <c r="L242" s="171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</row>
    <row r="243" ht="15.0" customHeight="1">
      <c r="A243" s="82">
        <v>235.0</v>
      </c>
      <c r="B243" s="82" t="s">
        <v>1596</v>
      </c>
      <c r="C243" s="82" t="s">
        <v>1597</v>
      </c>
      <c r="D243" s="82" t="s">
        <v>1666</v>
      </c>
      <c r="E243" s="73"/>
      <c r="F243" s="168" t="str">
        <f t="array" ref="F243">IFERROR(INDEX('2_Data_Pelanggan'!$S:$S,MATCH(D243,'2_Data_Pelanggan'!$P:$P,0)),"")</f>
        <v/>
      </c>
      <c r="G243" s="78" t="str">
        <f>IF(COUNTIF('2_Data_Pelanggan'!$P:$P,D243)&gt;0,"Terpasang","Stok/Belum Terpasang")</f>
        <v>Stok/Belum Terpasang</v>
      </c>
      <c r="H243" s="170" t="str">
        <f t="array" ref="H243">IFERROR(INDEX('2_Data_Pelanggan'!$B:$B,MATCH(D243,'2_Data_Pelanggan'!$P:$P,0)),"-")</f>
        <v>-</v>
      </c>
      <c r="I243" s="171" t="str">
        <f t="array" ref="I243">IFERROR(INDEX('2_Data_Pelanggan'!$D:$D,MATCH(D243,'2_Data_Pelanggan'!$P:$P,0)),"-")</f>
        <v>-</v>
      </c>
      <c r="J243" s="172" t="s">
        <v>1605</v>
      </c>
      <c r="K243" s="171" t="s">
        <v>1598</v>
      </c>
      <c r="L243" s="171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</row>
    <row r="244" ht="15.0" customHeight="1">
      <c r="A244" s="76">
        <v>236.0</v>
      </c>
      <c r="B244" s="76" t="s">
        <v>1596</v>
      </c>
      <c r="C244" s="76" t="s">
        <v>1597</v>
      </c>
      <c r="D244" s="76" t="s">
        <v>1667</v>
      </c>
      <c r="E244" s="119"/>
      <c r="F244" s="173" t="str">
        <f t="array" ref="F244">IFERROR(INDEX('2_Data_Pelanggan'!$S:$S,MATCH(D244,'2_Data_Pelanggan'!$P:$P,0)),"")</f>
        <v/>
      </c>
      <c r="G244" s="78" t="str">
        <f>IF(COUNTIF('2_Data_Pelanggan'!$P:$P,D244)&gt;0,"Terpasang","Stok/Belum Terpasang")</f>
        <v>Stok/Belum Terpasang</v>
      </c>
      <c r="H244" s="170" t="str">
        <f t="array" ref="H244">IFERROR(INDEX('2_Data_Pelanggan'!$B:$B,MATCH(D244,'2_Data_Pelanggan'!$P:$P,0)),"-")</f>
        <v>-</v>
      </c>
      <c r="I244" s="171" t="str">
        <f t="array" ref="I244">IFERROR(INDEX('2_Data_Pelanggan'!$D:$D,MATCH(D244,'2_Data_Pelanggan'!$P:$P,0)),"-")</f>
        <v>-</v>
      </c>
      <c r="J244" s="172" t="s">
        <v>1605</v>
      </c>
      <c r="K244" s="171" t="s">
        <v>1598</v>
      </c>
      <c r="L244" s="171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</row>
    <row r="245" ht="15.0" customHeight="1">
      <c r="A245" s="82">
        <v>237.0</v>
      </c>
      <c r="B245" s="82" t="s">
        <v>1596</v>
      </c>
      <c r="C245" s="82" t="s">
        <v>1597</v>
      </c>
      <c r="D245" s="82" t="s">
        <v>1668</v>
      </c>
      <c r="E245" s="73"/>
      <c r="F245" s="168" t="str">
        <f t="array" ref="F245">IFERROR(INDEX('2_Data_Pelanggan'!$S:$S,MATCH(D245,'2_Data_Pelanggan'!$P:$P,0)),"")</f>
        <v/>
      </c>
      <c r="G245" s="78" t="str">
        <f>IF(COUNTIF('2_Data_Pelanggan'!$P:$P,D245)&gt;0,"Terpasang","Stok/Belum Terpasang")</f>
        <v>Stok/Belum Terpasang</v>
      </c>
      <c r="H245" s="170" t="str">
        <f t="array" ref="H245">IFERROR(INDEX('2_Data_Pelanggan'!$B:$B,MATCH(D245,'2_Data_Pelanggan'!$P:$P,0)),"-")</f>
        <v>-</v>
      </c>
      <c r="I245" s="171" t="str">
        <f t="array" ref="I245">IFERROR(INDEX('2_Data_Pelanggan'!$D:$D,MATCH(D245,'2_Data_Pelanggan'!$P:$P,0)),"-")</f>
        <v>-</v>
      </c>
      <c r="J245" s="172" t="s">
        <v>1605</v>
      </c>
      <c r="K245" s="171" t="s">
        <v>1598</v>
      </c>
      <c r="L245" s="171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</row>
    <row r="246" ht="15.0" customHeight="1">
      <c r="A246" s="76">
        <v>238.0</v>
      </c>
      <c r="B246" s="76" t="s">
        <v>1596</v>
      </c>
      <c r="C246" s="76" t="s">
        <v>1597</v>
      </c>
      <c r="D246" s="76" t="s">
        <v>1669</v>
      </c>
      <c r="E246" s="119"/>
      <c r="F246" s="173" t="str">
        <f t="array" ref="F246">IFERROR(INDEX('2_Data_Pelanggan'!$S:$S,MATCH(D246,'2_Data_Pelanggan'!$P:$P,0)),"")</f>
        <v/>
      </c>
      <c r="G246" s="78" t="str">
        <f>IF(COUNTIF('2_Data_Pelanggan'!$P:$P,D246)&gt;0,"Terpasang","Stok/Belum Terpasang")</f>
        <v>Stok/Belum Terpasang</v>
      </c>
      <c r="H246" s="170" t="str">
        <f t="array" ref="H246">IFERROR(INDEX('2_Data_Pelanggan'!$B:$B,MATCH(D246,'2_Data_Pelanggan'!$P:$P,0)),"-")</f>
        <v>-</v>
      </c>
      <c r="I246" s="171" t="str">
        <f t="array" ref="I246">IFERROR(INDEX('2_Data_Pelanggan'!$D:$D,MATCH(D246,'2_Data_Pelanggan'!$P:$P,0)),"-")</f>
        <v>-</v>
      </c>
      <c r="J246" s="172" t="s">
        <v>1605</v>
      </c>
      <c r="K246" s="171" t="s">
        <v>1598</v>
      </c>
      <c r="L246" s="171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</row>
    <row r="247" ht="15.0" customHeight="1">
      <c r="A247" s="82">
        <v>239.0</v>
      </c>
      <c r="B247" s="82" t="s">
        <v>1596</v>
      </c>
      <c r="C247" s="82" t="s">
        <v>1597</v>
      </c>
      <c r="D247" s="82" t="s">
        <v>1670</v>
      </c>
      <c r="E247" s="73"/>
      <c r="F247" s="168" t="str">
        <f t="array" ref="F247">IFERROR(INDEX('2_Data_Pelanggan'!$S:$S,MATCH(D247,'2_Data_Pelanggan'!$P:$P,0)),"")</f>
        <v/>
      </c>
      <c r="G247" s="78" t="str">
        <f>IF(COUNTIF('2_Data_Pelanggan'!$P:$P,D247)&gt;0,"Terpasang","Stok/Belum Terpasang")</f>
        <v>Stok/Belum Terpasang</v>
      </c>
      <c r="H247" s="170" t="str">
        <f t="array" ref="H247">IFERROR(INDEX('2_Data_Pelanggan'!$B:$B,MATCH(D247,'2_Data_Pelanggan'!$P:$P,0)),"-")</f>
        <v>-</v>
      </c>
      <c r="I247" s="171" t="str">
        <f t="array" ref="I247">IFERROR(INDEX('2_Data_Pelanggan'!$D:$D,MATCH(D247,'2_Data_Pelanggan'!$P:$P,0)),"-")</f>
        <v>-</v>
      </c>
      <c r="J247" s="172" t="s">
        <v>1605</v>
      </c>
      <c r="K247" s="171" t="s">
        <v>1598</v>
      </c>
      <c r="L247" s="171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</row>
    <row r="248" ht="15.0" customHeight="1">
      <c r="A248" s="76">
        <v>240.0</v>
      </c>
      <c r="B248" s="76" t="s">
        <v>1596</v>
      </c>
      <c r="C248" s="76" t="s">
        <v>1597</v>
      </c>
      <c r="D248" s="76" t="s">
        <v>1671</v>
      </c>
      <c r="E248" s="119"/>
      <c r="F248" s="173" t="str">
        <f t="array" ref="F248">IFERROR(INDEX('2_Data_Pelanggan'!$S:$S,MATCH(D248,'2_Data_Pelanggan'!$P:$P,0)),"")</f>
        <v/>
      </c>
      <c r="G248" s="78" t="str">
        <f>IF(COUNTIF('2_Data_Pelanggan'!$P:$P,D248)&gt;0,"Terpasang","Stok/Belum Terpasang")</f>
        <v>Stok/Belum Terpasang</v>
      </c>
      <c r="H248" s="170" t="str">
        <f t="array" ref="H248">IFERROR(INDEX('2_Data_Pelanggan'!$B:$B,MATCH(D248,'2_Data_Pelanggan'!$P:$P,0)),"-")</f>
        <v>-</v>
      </c>
      <c r="I248" s="171" t="str">
        <f t="array" ref="I248">IFERROR(INDEX('2_Data_Pelanggan'!$D:$D,MATCH(D248,'2_Data_Pelanggan'!$P:$P,0)),"-")</f>
        <v>-</v>
      </c>
      <c r="J248" s="172" t="s">
        <v>1605</v>
      </c>
      <c r="K248" s="171" t="s">
        <v>1598</v>
      </c>
      <c r="L248" s="171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</row>
    <row r="249" ht="15.0" customHeight="1">
      <c r="A249" s="82">
        <v>241.0</v>
      </c>
      <c r="B249" s="82" t="s">
        <v>1596</v>
      </c>
      <c r="C249" s="82" t="s">
        <v>1597</v>
      </c>
      <c r="D249" s="82" t="s">
        <v>1672</v>
      </c>
      <c r="E249" s="73"/>
      <c r="F249" s="168" t="str">
        <f t="array" ref="F249">IFERROR(INDEX('2_Data_Pelanggan'!$S:$S,MATCH(D249,'2_Data_Pelanggan'!$P:$P,0)),"")</f>
        <v/>
      </c>
      <c r="G249" s="78" t="str">
        <f>IF(COUNTIF('2_Data_Pelanggan'!$P:$P,D249)&gt;0,"Terpasang","Stok/Belum Terpasang")</f>
        <v>Stok/Belum Terpasang</v>
      </c>
      <c r="H249" s="170" t="str">
        <f t="array" ref="H249">IFERROR(INDEX('2_Data_Pelanggan'!$B:$B,MATCH(D249,'2_Data_Pelanggan'!$P:$P,0)),"-")</f>
        <v>-</v>
      </c>
      <c r="I249" s="171" t="str">
        <f t="array" ref="I249">IFERROR(INDEX('2_Data_Pelanggan'!$D:$D,MATCH(D249,'2_Data_Pelanggan'!$P:$P,0)),"-")</f>
        <v>-</v>
      </c>
      <c r="J249" s="172" t="s">
        <v>1605</v>
      </c>
      <c r="K249" s="171" t="s">
        <v>1598</v>
      </c>
      <c r="L249" s="171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</row>
    <row r="250" ht="15.0" customHeight="1">
      <c r="A250" s="76">
        <v>242.0</v>
      </c>
      <c r="B250" s="76" t="s">
        <v>1596</v>
      </c>
      <c r="C250" s="76" t="s">
        <v>1597</v>
      </c>
      <c r="D250" s="76" t="s">
        <v>1673</v>
      </c>
      <c r="E250" s="119"/>
      <c r="F250" s="173" t="str">
        <f t="array" ref="F250">IFERROR(INDEX('2_Data_Pelanggan'!$S:$S,MATCH(D250,'2_Data_Pelanggan'!$P:$P,0)),"")</f>
        <v/>
      </c>
      <c r="G250" s="78" t="str">
        <f>IF(COUNTIF('2_Data_Pelanggan'!$P:$P,D250)&gt;0,"Terpasang","Stok/Belum Terpasang")</f>
        <v>Stok/Belum Terpasang</v>
      </c>
      <c r="H250" s="170" t="str">
        <f t="array" ref="H250">IFERROR(INDEX('2_Data_Pelanggan'!$B:$B,MATCH(D250,'2_Data_Pelanggan'!$P:$P,0)),"-")</f>
        <v>-</v>
      </c>
      <c r="I250" s="171" t="str">
        <f t="array" ref="I250">IFERROR(INDEX('2_Data_Pelanggan'!$D:$D,MATCH(D250,'2_Data_Pelanggan'!$P:$P,0)),"-")</f>
        <v>-</v>
      </c>
      <c r="J250" s="172" t="s">
        <v>1605</v>
      </c>
      <c r="K250" s="171" t="s">
        <v>1598</v>
      </c>
      <c r="L250" s="171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</row>
    <row r="251" ht="15.0" customHeight="1">
      <c r="A251" s="82">
        <v>243.0</v>
      </c>
      <c r="B251" s="82" t="s">
        <v>1596</v>
      </c>
      <c r="C251" s="82" t="s">
        <v>1597</v>
      </c>
      <c r="D251" s="82" t="s">
        <v>1674</v>
      </c>
      <c r="E251" s="73"/>
      <c r="F251" s="168" t="str">
        <f t="array" ref="F251">IFERROR(INDEX('2_Data_Pelanggan'!$S:$S,MATCH(D251,'2_Data_Pelanggan'!$P:$P,0)),"")</f>
        <v/>
      </c>
      <c r="G251" s="78" t="str">
        <f>IF(COUNTIF('2_Data_Pelanggan'!$P:$P,D251)&gt;0,"Terpasang","Stok/Belum Terpasang")</f>
        <v>Stok/Belum Terpasang</v>
      </c>
      <c r="H251" s="170" t="str">
        <f t="array" ref="H251">IFERROR(INDEX('2_Data_Pelanggan'!$B:$B,MATCH(D251,'2_Data_Pelanggan'!$P:$P,0)),"-")</f>
        <v>-</v>
      </c>
      <c r="I251" s="171" t="str">
        <f t="array" ref="I251">IFERROR(INDEX('2_Data_Pelanggan'!$D:$D,MATCH(D251,'2_Data_Pelanggan'!$P:$P,0)),"-")</f>
        <v>-</v>
      </c>
      <c r="J251" s="172" t="s">
        <v>1605</v>
      </c>
      <c r="K251" s="171" t="s">
        <v>1598</v>
      </c>
      <c r="L251" s="171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</row>
    <row r="252" ht="15.0" customHeight="1">
      <c r="A252" s="76">
        <v>244.0</v>
      </c>
      <c r="B252" s="76" t="s">
        <v>1596</v>
      </c>
      <c r="C252" s="76" t="s">
        <v>1597</v>
      </c>
      <c r="D252" s="76" t="s">
        <v>1675</v>
      </c>
      <c r="E252" s="119"/>
      <c r="F252" s="173" t="str">
        <f t="array" ref="F252">IFERROR(INDEX('2_Data_Pelanggan'!$S:$S,MATCH(D252,'2_Data_Pelanggan'!$P:$P,0)),"")</f>
        <v/>
      </c>
      <c r="G252" s="78" t="str">
        <f>IF(COUNTIF('2_Data_Pelanggan'!$P:$P,D252)&gt;0,"Terpasang","Stok/Belum Terpasang")</f>
        <v>Stok/Belum Terpasang</v>
      </c>
      <c r="H252" s="170" t="str">
        <f t="array" ref="H252">IFERROR(INDEX('2_Data_Pelanggan'!$B:$B,MATCH(D252,'2_Data_Pelanggan'!$P:$P,0)),"-")</f>
        <v>-</v>
      </c>
      <c r="I252" s="171" t="str">
        <f t="array" ref="I252">IFERROR(INDEX('2_Data_Pelanggan'!$D:$D,MATCH(D252,'2_Data_Pelanggan'!$P:$P,0)),"-")</f>
        <v>-</v>
      </c>
      <c r="J252" s="172" t="s">
        <v>1605</v>
      </c>
      <c r="K252" s="171" t="s">
        <v>1598</v>
      </c>
      <c r="L252" s="171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</row>
    <row r="253" ht="15.0" customHeight="1">
      <c r="A253" s="82">
        <v>245.0</v>
      </c>
      <c r="B253" s="82" t="s">
        <v>1596</v>
      </c>
      <c r="C253" s="82" t="s">
        <v>1597</v>
      </c>
      <c r="D253" s="82" t="s">
        <v>1676</v>
      </c>
      <c r="E253" s="73"/>
      <c r="F253" s="168" t="str">
        <f t="array" ref="F253">IFERROR(INDEX('2_Data_Pelanggan'!$S:$S,MATCH(D253,'2_Data_Pelanggan'!$P:$P,0)),"")</f>
        <v/>
      </c>
      <c r="G253" s="78" t="str">
        <f>IF(COUNTIF('2_Data_Pelanggan'!$P:$P,D253)&gt;0,"Terpasang","Stok/Belum Terpasang")</f>
        <v>Stok/Belum Terpasang</v>
      </c>
      <c r="H253" s="170" t="str">
        <f t="array" ref="H253">IFERROR(INDEX('2_Data_Pelanggan'!$B:$B,MATCH(D253,'2_Data_Pelanggan'!$P:$P,0)),"-")</f>
        <v>-</v>
      </c>
      <c r="I253" s="171" t="str">
        <f t="array" ref="I253">IFERROR(INDEX('2_Data_Pelanggan'!$D:$D,MATCH(D253,'2_Data_Pelanggan'!$P:$P,0)),"-")</f>
        <v>-</v>
      </c>
      <c r="J253" s="172" t="s">
        <v>1605</v>
      </c>
      <c r="K253" s="171" t="s">
        <v>1598</v>
      </c>
      <c r="L253" s="171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</row>
    <row r="254" ht="15.0" customHeight="1">
      <c r="A254" s="76">
        <v>246.0</v>
      </c>
      <c r="B254" s="76" t="s">
        <v>1596</v>
      </c>
      <c r="C254" s="76" t="s">
        <v>1597</v>
      </c>
      <c r="D254" s="76" t="s">
        <v>1677</v>
      </c>
      <c r="E254" s="119"/>
      <c r="F254" s="173" t="str">
        <f t="array" ref="F254">IFERROR(INDEX('2_Data_Pelanggan'!$S:$S,MATCH(D254,'2_Data_Pelanggan'!$P:$P,0)),"")</f>
        <v/>
      </c>
      <c r="G254" s="78" t="str">
        <f>IF(COUNTIF('2_Data_Pelanggan'!$P:$P,D254)&gt;0,"Terpasang","Stok/Belum Terpasang")</f>
        <v>Stok/Belum Terpasang</v>
      </c>
      <c r="H254" s="170" t="str">
        <f t="array" ref="H254">IFERROR(INDEX('2_Data_Pelanggan'!$B:$B,MATCH(D254,'2_Data_Pelanggan'!$P:$P,0)),"-")</f>
        <v>-</v>
      </c>
      <c r="I254" s="171" t="str">
        <f t="array" ref="I254">IFERROR(INDEX('2_Data_Pelanggan'!$D:$D,MATCH(D254,'2_Data_Pelanggan'!$P:$P,0)),"-")</f>
        <v>-</v>
      </c>
      <c r="J254" s="172" t="s">
        <v>1605</v>
      </c>
      <c r="K254" s="171" t="s">
        <v>1598</v>
      </c>
      <c r="L254" s="171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</row>
    <row r="255" ht="15.0" customHeight="1">
      <c r="A255" s="82">
        <v>247.0</v>
      </c>
      <c r="B255" s="82" t="s">
        <v>1596</v>
      </c>
      <c r="C255" s="82" t="s">
        <v>1597</v>
      </c>
      <c r="D255" s="82" t="s">
        <v>1678</v>
      </c>
      <c r="E255" s="73"/>
      <c r="F255" s="168" t="str">
        <f t="array" ref="F255">IFERROR(INDEX('2_Data_Pelanggan'!$S:$S,MATCH(D255,'2_Data_Pelanggan'!$P:$P,0)),"")</f>
        <v/>
      </c>
      <c r="G255" s="78" t="str">
        <f>IF(COUNTIF('2_Data_Pelanggan'!$P:$P,D255)&gt;0,"Terpasang","Stok/Belum Terpasang")</f>
        <v>Stok/Belum Terpasang</v>
      </c>
      <c r="H255" s="170" t="str">
        <f t="array" ref="H255">IFERROR(INDEX('2_Data_Pelanggan'!$B:$B,MATCH(D255,'2_Data_Pelanggan'!$P:$P,0)),"-")</f>
        <v>-</v>
      </c>
      <c r="I255" s="171" t="str">
        <f t="array" ref="I255">IFERROR(INDEX('2_Data_Pelanggan'!$D:$D,MATCH(D255,'2_Data_Pelanggan'!$P:$P,0)),"-")</f>
        <v>-</v>
      </c>
      <c r="J255" s="172" t="s">
        <v>1605</v>
      </c>
      <c r="K255" s="171" t="s">
        <v>1598</v>
      </c>
      <c r="L255" s="171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</row>
    <row r="256" ht="15.0" customHeight="1">
      <c r="A256" s="76">
        <v>248.0</v>
      </c>
      <c r="B256" s="76" t="s">
        <v>1596</v>
      </c>
      <c r="C256" s="76" t="s">
        <v>1597</v>
      </c>
      <c r="D256" s="76" t="s">
        <v>1679</v>
      </c>
      <c r="E256" s="119"/>
      <c r="F256" s="173" t="str">
        <f t="array" ref="F256">IFERROR(INDEX('2_Data_Pelanggan'!$S:$S,MATCH(D256,'2_Data_Pelanggan'!$P:$P,0)),"")</f>
        <v/>
      </c>
      <c r="G256" s="78" t="str">
        <f>IF(COUNTIF('2_Data_Pelanggan'!$P:$P,D256)&gt;0,"Terpasang","Stok/Belum Terpasang")</f>
        <v>Stok/Belum Terpasang</v>
      </c>
      <c r="H256" s="170" t="str">
        <f t="array" ref="H256">IFERROR(INDEX('2_Data_Pelanggan'!$B:$B,MATCH(D256,'2_Data_Pelanggan'!$P:$P,0)),"-")</f>
        <v>-</v>
      </c>
      <c r="I256" s="171" t="str">
        <f t="array" ref="I256">IFERROR(INDEX('2_Data_Pelanggan'!$D:$D,MATCH(D256,'2_Data_Pelanggan'!$P:$P,0)),"-")</f>
        <v>-</v>
      </c>
      <c r="J256" s="172" t="s">
        <v>1605</v>
      </c>
      <c r="K256" s="171" t="s">
        <v>1598</v>
      </c>
      <c r="L256" s="171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</row>
    <row r="257" ht="15.0" customHeight="1">
      <c r="A257" s="82">
        <v>249.0</v>
      </c>
      <c r="B257" s="82" t="s">
        <v>1596</v>
      </c>
      <c r="C257" s="82" t="s">
        <v>1597</v>
      </c>
      <c r="D257" s="82" t="s">
        <v>1680</v>
      </c>
      <c r="E257" s="73"/>
      <c r="F257" s="168" t="str">
        <f t="array" ref="F257">IFERROR(INDEX('2_Data_Pelanggan'!$S:$S,MATCH(D257,'2_Data_Pelanggan'!$P:$P,0)),"")</f>
        <v/>
      </c>
      <c r="G257" s="78" t="str">
        <f>IF(COUNTIF('2_Data_Pelanggan'!$P:$P,D257)&gt;0,"Terpasang","Stok/Belum Terpasang")</f>
        <v>Stok/Belum Terpasang</v>
      </c>
      <c r="H257" s="170" t="str">
        <f t="array" ref="H257">IFERROR(INDEX('2_Data_Pelanggan'!$B:$B,MATCH(D257,'2_Data_Pelanggan'!$P:$P,0)),"-")</f>
        <v>-</v>
      </c>
      <c r="I257" s="171" t="str">
        <f t="array" ref="I257">IFERROR(INDEX('2_Data_Pelanggan'!$D:$D,MATCH(D257,'2_Data_Pelanggan'!$P:$P,0)),"-")</f>
        <v>-</v>
      </c>
      <c r="J257" s="172" t="s">
        <v>1605</v>
      </c>
      <c r="K257" s="171" t="s">
        <v>1598</v>
      </c>
      <c r="L257" s="171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</row>
    <row r="258" ht="15.0" customHeight="1">
      <c r="A258" s="76">
        <v>250.0</v>
      </c>
      <c r="B258" s="76" t="s">
        <v>1596</v>
      </c>
      <c r="C258" s="76" t="s">
        <v>1597</v>
      </c>
      <c r="D258" s="76" t="s">
        <v>1681</v>
      </c>
      <c r="E258" s="119"/>
      <c r="F258" s="173" t="str">
        <f t="array" ref="F258">IFERROR(INDEX('2_Data_Pelanggan'!$S:$S,MATCH(D258,'2_Data_Pelanggan'!$P:$P,0)),"")</f>
        <v/>
      </c>
      <c r="G258" s="78" t="str">
        <f>IF(COUNTIF('2_Data_Pelanggan'!$P:$P,D258)&gt;0,"Terpasang","Stok/Belum Terpasang")</f>
        <v>Stok/Belum Terpasang</v>
      </c>
      <c r="H258" s="170" t="str">
        <f t="array" ref="H258">IFERROR(INDEX('2_Data_Pelanggan'!$B:$B,MATCH(D258,'2_Data_Pelanggan'!$P:$P,0)),"-")</f>
        <v>-</v>
      </c>
      <c r="I258" s="171" t="str">
        <f t="array" ref="I258">IFERROR(INDEX('2_Data_Pelanggan'!$D:$D,MATCH(D258,'2_Data_Pelanggan'!$P:$P,0)),"-")</f>
        <v>-</v>
      </c>
      <c r="J258" s="172" t="s">
        <v>1605</v>
      </c>
      <c r="K258" s="171" t="s">
        <v>1598</v>
      </c>
      <c r="L258" s="171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</row>
    <row r="259" ht="15.0" customHeight="1">
      <c r="A259" s="82">
        <v>251.0</v>
      </c>
      <c r="B259" s="82" t="s">
        <v>1596</v>
      </c>
      <c r="C259" s="82" t="s">
        <v>1597</v>
      </c>
      <c r="D259" s="82" t="s">
        <v>1682</v>
      </c>
      <c r="E259" s="73"/>
      <c r="F259" s="168" t="str">
        <f t="array" ref="F259">IFERROR(INDEX('2_Data_Pelanggan'!$S:$S,MATCH(D259,'2_Data_Pelanggan'!$P:$P,0)),"")</f>
        <v/>
      </c>
      <c r="G259" s="78" t="str">
        <f>IF(COUNTIF('2_Data_Pelanggan'!$P:$P,D259)&gt;0,"Terpasang","Stok/Belum Terpasang")</f>
        <v>Stok/Belum Terpasang</v>
      </c>
      <c r="H259" s="170" t="str">
        <f t="array" ref="H259">IFERROR(INDEX('2_Data_Pelanggan'!$B:$B,MATCH(D259,'2_Data_Pelanggan'!$P:$P,0)),"-")</f>
        <v>-</v>
      </c>
      <c r="I259" s="171" t="str">
        <f t="array" ref="I259">IFERROR(INDEX('2_Data_Pelanggan'!$D:$D,MATCH(D259,'2_Data_Pelanggan'!$P:$P,0)),"-")</f>
        <v>-</v>
      </c>
      <c r="J259" s="172" t="s">
        <v>1605</v>
      </c>
      <c r="K259" s="171" t="s">
        <v>1598</v>
      </c>
      <c r="L259" s="171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</row>
    <row r="260" ht="15.0" customHeight="1">
      <c r="A260" s="76">
        <v>252.0</v>
      </c>
      <c r="B260" s="76" t="s">
        <v>1596</v>
      </c>
      <c r="C260" s="76" t="s">
        <v>1597</v>
      </c>
      <c r="D260" s="76" t="s">
        <v>1683</v>
      </c>
      <c r="E260" s="119"/>
      <c r="F260" s="173" t="str">
        <f t="array" ref="F260">IFERROR(INDEX('2_Data_Pelanggan'!$S:$S,MATCH(D260,'2_Data_Pelanggan'!$P:$P,0)),"")</f>
        <v/>
      </c>
      <c r="G260" s="78" t="str">
        <f>IF(COUNTIF('2_Data_Pelanggan'!$P:$P,D260)&gt;0,"Terpasang","Stok/Belum Terpasang")</f>
        <v>Stok/Belum Terpasang</v>
      </c>
      <c r="H260" s="170" t="str">
        <f t="array" ref="H260">IFERROR(INDEX('2_Data_Pelanggan'!$B:$B,MATCH(D260,'2_Data_Pelanggan'!$P:$P,0)),"-")</f>
        <v>-</v>
      </c>
      <c r="I260" s="171" t="str">
        <f t="array" ref="I260">IFERROR(INDEX('2_Data_Pelanggan'!$D:$D,MATCH(D260,'2_Data_Pelanggan'!$P:$P,0)),"-")</f>
        <v>-</v>
      </c>
      <c r="J260" s="172" t="s">
        <v>1605</v>
      </c>
      <c r="K260" s="171" t="s">
        <v>1598</v>
      </c>
      <c r="L260" s="171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</row>
    <row r="261" ht="15.0" customHeight="1">
      <c r="A261" s="82">
        <v>253.0</v>
      </c>
      <c r="B261" s="82" t="s">
        <v>1596</v>
      </c>
      <c r="C261" s="82" t="s">
        <v>1597</v>
      </c>
      <c r="D261" s="82" t="s">
        <v>1684</v>
      </c>
      <c r="E261" s="73"/>
      <c r="F261" s="168" t="str">
        <f t="array" ref="F261">IFERROR(INDEX('2_Data_Pelanggan'!$S:$S,MATCH(D261,'2_Data_Pelanggan'!$P:$P,0)),"")</f>
        <v/>
      </c>
      <c r="G261" s="78" t="str">
        <f>IF(COUNTIF('2_Data_Pelanggan'!$P:$P,D261)&gt;0,"Terpasang","Stok/Belum Terpasang")</f>
        <v>Stok/Belum Terpasang</v>
      </c>
      <c r="H261" s="170" t="str">
        <f t="array" ref="H261">IFERROR(INDEX('2_Data_Pelanggan'!$B:$B,MATCH(D261,'2_Data_Pelanggan'!$P:$P,0)),"-")</f>
        <v>-</v>
      </c>
      <c r="I261" s="171" t="str">
        <f t="array" ref="I261">IFERROR(INDEX('2_Data_Pelanggan'!$D:$D,MATCH(D261,'2_Data_Pelanggan'!$P:$P,0)),"-")</f>
        <v>-</v>
      </c>
      <c r="J261" s="172" t="s">
        <v>1605</v>
      </c>
      <c r="K261" s="171" t="s">
        <v>1598</v>
      </c>
      <c r="L261" s="171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</row>
    <row r="262" ht="15.0" customHeight="1">
      <c r="A262" s="76">
        <v>254.0</v>
      </c>
      <c r="B262" s="76" t="s">
        <v>1596</v>
      </c>
      <c r="C262" s="76" t="s">
        <v>1597</v>
      </c>
      <c r="D262" s="76" t="s">
        <v>1685</v>
      </c>
      <c r="E262" s="119"/>
      <c r="F262" s="173" t="str">
        <f t="array" ref="F262">IFERROR(INDEX('2_Data_Pelanggan'!$S:$S,MATCH(D262,'2_Data_Pelanggan'!$P:$P,0)),"")</f>
        <v/>
      </c>
      <c r="G262" s="78" t="str">
        <f>IF(COUNTIF('2_Data_Pelanggan'!$P:$P,D262)&gt;0,"Terpasang","Stok/Belum Terpasang")</f>
        <v>Stok/Belum Terpasang</v>
      </c>
      <c r="H262" s="170" t="str">
        <f t="array" ref="H262">IFERROR(INDEX('2_Data_Pelanggan'!$B:$B,MATCH(D262,'2_Data_Pelanggan'!$P:$P,0)),"-")</f>
        <v>-</v>
      </c>
      <c r="I262" s="171" t="str">
        <f t="array" ref="I262">IFERROR(INDEX('2_Data_Pelanggan'!$D:$D,MATCH(D262,'2_Data_Pelanggan'!$P:$P,0)),"-")</f>
        <v>-</v>
      </c>
      <c r="J262" s="172" t="s">
        <v>1605</v>
      </c>
      <c r="K262" s="171" t="s">
        <v>1598</v>
      </c>
      <c r="L262" s="171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</row>
    <row r="263" ht="15.0" customHeight="1">
      <c r="A263" s="82">
        <v>255.0</v>
      </c>
      <c r="B263" s="82" t="s">
        <v>1596</v>
      </c>
      <c r="C263" s="82" t="s">
        <v>1597</v>
      </c>
      <c r="D263" s="82" t="s">
        <v>1686</v>
      </c>
      <c r="E263" s="73"/>
      <c r="F263" s="168" t="str">
        <f t="array" ref="F263">IFERROR(INDEX('2_Data_Pelanggan'!$S:$S,MATCH(D263,'2_Data_Pelanggan'!$P:$P,0)),"")</f>
        <v/>
      </c>
      <c r="G263" s="78" t="str">
        <f>IF(COUNTIF('2_Data_Pelanggan'!$P:$P,D263)&gt;0,"Terpasang","Stok/Belum Terpasang")</f>
        <v>Stok/Belum Terpasang</v>
      </c>
      <c r="H263" s="170" t="str">
        <f t="array" ref="H263">IFERROR(INDEX('2_Data_Pelanggan'!$B:$B,MATCH(D263,'2_Data_Pelanggan'!$P:$P,0)),"-")</f>
        <v>-</v>
      </c>
      <c r="I263" s="171" t="str">
        <f t="array" ref="I263">IFERROR(INDEX('2_Data_Pelanggan'!$D:$D,MATCH(D263,'2_Data_Pelanggan'!$P:$P,0)),"-")</f>
        <v>-</v>
      </c>
      <c r="J263" s="172" t="s">
        <v>1605</v>
      </c>
      <c r="K263" s="171" t="s">
        <v>1598</v>
      </c>
      <c r="L263" s="171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</row>
    <row r="264" ht="15.0" customHeight="1">
      <c r="A264" s="76">
        <v>256.0</v>
      </c>
      <c r="B264" s="76" t="s">
        <v>1596</v>
      </c>
      <c r="C264" s="76" t="s">
        <v>1597</v>
      </c>
      <c r="D264" s="76" t="s">
        <v>1687</v>
      </c>
      <c r="E264" s="119"/>
      <c r="F264" s="173" t="str">
        <f t="array" ref="F264">IFERROR(INDEX('2_Data_Pelanggan'!$S:$S,MATCH(D264,'2_Data_Pelanggan'!$P:$P,0)),"")</f>
        <v/>
      </c>
      <c r="G264" s="78" t="str">
        <f>IF(COUNTIF('2_Data_Pelanggan'!$P:$P,D264)&gt;0,"Terpasang","Stok/Belum Terpasang")</f>
        <v>Stok/Belum Terpasang</v>
      </c>
      <c r="H264" s="170" t="str">
        <f t="array" ref="H264">IFERROR(INDEX('2_Data_Pelanggan'!$B:$B,MATCH(D264,'2_Data_Pelanggan'!$P:$P,0)),"-")</f>
        <v>-</v>
      </c>
      <c r="I264" s="171" t="str">
        <f t="array" ref="I264">IFERROR(INDEX('2_Data_Pelanggan'!$D:$D,MATCH(D264,'2_Data_Pelanggan'!$P:$P,0)),"-")</f>
        <v>-</v>
      </c>
      <c r="J264" s="172" t="s">
        <v>1605</v>
      </c>
      <c r="K264" s="171" t="s">
        <v>1598</v>
      </c>
      <c r="L264" s="171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</row>
    <row r="265" ht="15.0" customHeight="1">
      <c r="A265" s="82">
        <v>257.0</v>
      </c>
      <c r="B265" s="82" t="s">
        <v>1596</v>
      </c>
      <c r="C265" s="82" t="s">
        <v>1597</v>
      </c>
      <c r="D265" s="82" t="s">
        <v>1688</v>
      </c>
      <c r="E265" s="73"/>
      <c r="F265" s="168" t="str">
        <f t="array" ref="F265">IFERROR(INDEX('2_Data_Pelanggan'!$S:$S,MATCH(D265,'2_Data_Pelanggan'!$P:$P,0)),"")</f>
        <v/>
      </c>
      <c r="G265" s="78" t="str">
        <f>IF(COUNTIF('2_Data_Pelanggan'!$P:$P,D265)&gt;0,"Terpasang","Stok/Belum Terpasang")</f>
        <v>Stok/Belum Terpasang</v>
      </c>
      <c r="H265" s="170" t="str">
        <f t="array" ref="H265">IFERROR(INDEX('2_Data_Pelanggan'!$B:$B,MATCH(D265,'2_Data_Pelanggan'!$P:$P,0)),"-")</f>
        <v>-</v>
      </c>
      <c r="I265" s="171" t="str">
        <f t="array" ref="I265">IFERROR(INDEX('2_Data_Pelanggan'!$D:$D,MATCH(D265,'2_Data_Pelanggan'!$P:$P,0)),"-")</f>
        <v>-</v>
      </c>
      <c r="J265" s="172" t="s">
        <v>1605</v>
      </c>
      <c r="K265" s="171" t="s">
        <v>1598</v>
      </c>
      <c r="L265" s="171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</row>
    <row r="266" ht="15.0" customHeight="1">
      <c r="A266" s="76">
        <v>258.0</v>
      </c>
      <c r="B266" s="76" t="s">
        <v>1596</v>
      </c>
      <c r="C266" s="76" t="s">
        <v>1597</v>
      </c>
      <c r="D266" s="76" t="s">
        <v>1689</v>
      </c>
      <c r="E266" s="119"/>
      <c r="F266" s="173" t="str">
        <f t="array" ref="F266">IFERROR(INDEX('2_Data_Pelanggan'!$S:$S,MATCH(D266,'2_Data_Pelanggan'!$P:$P,0)),"")</f>
        <v/>
      </c>
      <c r="G266" s="78" t="str">
        <f>IF(COUNTIF('2_Data_Pelanggan'!$P:$P,D266)&gt;0,"Terpasang","Stok/Belum Terpasang")</f>
        <v>Stok/Belum Terpasang</v>
      </c>
      <c r="H266" s="170" t="str">
        <f t="array" ref="H266">IFERROR(INDEX('2_Data_Pelanggan'!$B:$B,MATCH(D266,'2_Data_Pelanggan'!$P:$P,0)),"-")</f>
        <v>-</v>
      </c>
      <c r="I266" s="171" t="str">
        <f t="array" ref="I266">IFERROR(INDEX('2_Data_Pelanggan'!$D:$D,MATCH(D266,'2_Data_Pelanggan'!$P:$P,0)),"-")</f>
        <v>-</v>
      </c>
      <c r="J266" s="172" t="s">
        <v>1605</v>
      </c>
      <c r="K266" s="171" t="s">
        <v>1598</v>
      </c>
      <c r="L266" s="171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</row>
    <row r="267" ht="15.0" customHeight="1">
      <c r="A267" s="82">
        <v>259.0</v>
      </c>
      <c r="B267" s="82" t="s">
        <v>1596</v>
      </c>
      <c r="C267" s="82" t="s">
        <v>1597</v>
      </c>
      <c r="D267" s="82" t="s">
        <v>1690</v>
      </c>
      <c r="E267" s="73"/>
      <c r="F267" s="168" t="str">
        <f t="array" ref="F267">IFERROR(INDEX('2_Data_Pelanggan'!$S:$S,MATCH(D267,'2_Data_Pelanggan'!$P:$P,0)),"")</f>
        <v/>
      </c>
      <c r="G267" s="78" t="str">
        <f>IF(COUNTIF('2_Data_Pelanggan'!$P:$P,D267)&gt;0,"Terpasang","Stok/Belum Terpasang")</f>
        <v>Stok/Belum Terpasang</v>
      </c>
      <c r="H267" s="170" t="str">
        <f t="array" ref="H267">IFERROR(INDEX('2_Data_Pelanggan'!$B:$B,MATCH(D267,'2_Data_Pelanggan'!$P:$P,0)),"-")</f>
        <v>-</v>
      </c>
      <c r="I267" s="171" t="str">
        <f t="array" ref="I267">IFERROR(INDEX('2_Data_Pelanggan'!$D:$D,MATCH(D267,'2_Data_Pelanggan'!$P:$P,0)),"-")</f>
        <v>-</v>
      </c>
      <c r="J267" s="172" t="s">
        <v>1605</v>
      </c>
      <c r="K267" s="171" t="s">
        <v>1598</v>
      </c>
      <c r="L267" s="171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</row>
    <row r="268" ht="15.0" customHeight="1">
      <c r="A268" s="76">
        <v>260.0</v>
      </c>
      <c r="B268" s="76" t="s">
        <v>1596</v>
      </c>
      <c r="C268" s="76" t="s">
        <v>1597</v>
      </c>
      <c r="D268" s="76" t="s">
        <v>1691</v>
      </c>
      <c r="E268" s="119"/>
      <c r="F268" s="173" t="str">
        <f t="array" ref="F268">IFERROR(INDEX('2_Data_Pelanggan'!$S:$S,MATCH(D268,'2_Data_Pelanggan'!$P:$P,0)),"")</f>
        <v/>
      </c>
      <c r="G268" s="78" t="str">
        <f>IF(COUNTIF('2_Data_Pelanggan'!$P:$P,D268)&gt;0,"Terpasang","Stok/Belum Terpasang")</f>
        <v>Stok/Belum Terpasang</v>
      </c>
      <c r="H268" s="170" t="str">
        <f t="array" ref="H268">IFERROR(INDEX('2_Data_Pelanggan'!$B:$B,MATCH(D268,'2_Data_Pelanggan'!$P:$P,0)),"-")</f>
        <v>-</v>
      </c>
      <c r="I268" s="171" t="str">
        <f t="array" ref="I268">IFERROR(INDEX('2_Data_Pelanggan'!$D:$D,MATCH(D268,'2_Data_Pelanggan'!$P:$P,0)),"-")</f>
        <v>-</v>
      </c>
      <c r="J268" s="172" t="s">
        <v>1605</v>
      </c>
      <c r="K268" s="171" t="s">
        <v>1598</v>
      </c>
      <c r="L268" s="171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</row>
    <row r="269" ht="15.0" customHeight="1">
      <c r="A269" s="82">
        <v>261.0</v>
      </c>
      <c r="B269" s="82" t="s">
        <v>1596</v>
      </c>
      <c r="C269" s="82" t="s">
        <v>1597</v>
      </c>
      <c r="D269" s="82" t="s">
        <v>1692</v>
      </c>
      <c r="E269" s="73"/>
      <c r="F269" s="168" t="str">
        <f t="array" ref="F269">IFERROR(INDEX('2_Data_Pelanggan'!$S:$S,MATCH(D269,'2_Data_Pelanggan'!$P:$P,0)),"")</f>
        <v/>
      </c>
      <c r="G269" s="78" t="str">
        <f>IF(COUNTIF('2_Data_Pelanggan'!$P:$P,D269)&gt;0,"Terpasang","Stok/Belum Terpasang")</f>
        <v>Stok/Belum Terpasang</v>
      </c>
      <c r="H269" s="170" t="str">
        <f t="array" ref="H269">IFERROR(INDEX('2_Data_Pelanggan'!$B:$B,MATCH(D269,'2_Data_Pelanggan'!$P:$P,0)),"-")</f>
        <v>-</v>
      </c>
      <c r="I269" s="171" t="str">
        <f t="array" ref="I269">IFERROR(INDEX('2_Data_Pelanggan'!$D:$D,MATCH(D269,'2_Data_Pelanggan'!$P:$P,0)),"-")</f>
        <v>-</v>
      </c>
      <c r="J269" s="172" t="s">
        <v>1605</v>
      </c>
      <c r="K269" s="171" t="s">
        <v>1598</v>
      </c>
      <c r="L269" s="171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</row>
    <row r="270" ht="15.0" customHeight="1">
      <c r="A270" s="76">
        <v>262.0</v>
      </c>
      <c r="B270" s="76" t="s">
        <v>1596</v>
      </c>
      <c r="C270" s="76" t="s">
        <v>1597</v>
      </c>
      <c r="D270" s="76" t="s">
        <v>1693</v>
      </c>
      <c r="E270" s="119"/>
      <c r="F270" s="173" t="str">
        <f t="array" ref="F270">IFERROR(INDEX('2_Data_Pelanggan'!$S:$S,MATCH(D270,'2_Data_Pelanggan'!$P:$P,0)),"")</f>
        <v/>
      </c>
      <c r="G270" s="78" t="str">
        <f>IF(COUNTIF('2_Data_Pelanggan'!$P:$P,D270)&gt;0,"Terpasang","Stok/Belum Terpasang")</f>
        <v>Stok/Belum Terpasang</v>
      </c>
      <c r="H270" s="170" t="str">
        <f t="array" ref="H270">IFERROR(INDEX('2_Data_Pelanggan'!$B:$B,MATCH(D270,'2_Data_Pelanggan'!$P:$P,0)),"-")</f>
        <v>-</v>
      </c>
      <c r="I270" s="171" t="str">
        <f t="array" ref="I270">IFERROR(INDEX('2_Data_Pelanggan'!$D:$D,MATCH(D270,'2_Data_Pelanggan'!$P:$P,0)),"-")</f>
        <v>-</v>
      </c>
      <c r="J270" s="172" t="s">
        <v>1605</v>
      </c>
      <c r="K270" s="171" t="s">
        <v>1598</v>
      </c>
      <c r="L270" s="171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</row>
    <row r="271" ht="15.0" customHeight="1">
      <c r="A271" s="82">
        <v>263.0</v>
      </c>
      <c r="B271" s="82" t="s">
        <v>1596</v>
      </c>
      <c r="C271" s="82" t="s">
        <v>1597</v>
      </c>
      <c r="D271" s="82" t="s">
        <v>1694</v>
      </c>
      <c r="E271" s="73"/>
      <c r="F271" s="168" t="str">
        <f t="array" ref="F271">IFERROR(INDEX('2_Data_Pelanggan'!$S:$S,MATCH(D271,'2_Data_Pelanggan'!$P:$P,0)),"")</f>
        <v/>
      </c>
      <c r="G271" s="78" t="str">
        <f>IF(COUNTIF('2_Data_Pelanggan'!$P:$P,D271)&gt;0,"Terpasang","Stok/Belum Terpasang")</f>
        <v>Stok/Belum Terpasang</v>
      </c>
      <c r="H271" s="170" t="str">
        <f t="array" ref="H271">IFERROR(INDEX('2_Data_Pelanggan'!$B:$B,MATCH(D271,'2_Data_Pelanggan'!$P:$P,0)),"-")</f>
        <v>-</v>
      </c>
      <c r="I271" s="171" t="str">
        <f t="array" ref="I271">IFERROR(INDEX('2_Data_Pelanggan'!$D:$D,MATCH(D271,'2_Data_Pelanggan'!$P:$P,0)),"-")</f>
        <v>-</v>
      </c>
      <c r="J271" s="172" t="s">
        <v>1605</v>
      </c>
      <c r="K271" s="171" t="s">
        <v>1598</v>
      </c>
      <c r="L271" s="171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</row>
    <row r="272" ht="15.0" customHeight="1">
      <c r="A272" s="76">
        <v>264.0</v>
      </c>
      <c r="B272" s="76" t="s">
        <v>1596</v>
      </c>
      <c r="C272" s="76" t="s">
        <v>1597</v>
      </c>
      <c r="D272" s="76" t="s">
        <v>1695</v>
      </c>
      <c r="E272" s="119"/>
      <c r="F272" s="173" t="str">
        <f t="array" ref="F272">IFERROR(INDEX('2_Data_Pelanggan'!$S:$S,MATCH(D272,'2_Data_Pelanggan'!$P:$P,0)),"")</f>
        <v/>
      </c>
      <c r="G272" s="78" t="str">
        <f>IF(COUNTIF('2_Data_Pelanggan'!$P:$P,D272)&gt;0,"Terpasang","Stok/Belum Terpasang")</f>
        <v>Stok/Belum Terpasang</v>
      </c>
      <c r="H272" s="170" t="str">
        <f t="array" ref="H272">IFERROR(INDEX('2_Data_Pelanggan'!$B:$B,MATCH(D272,'2_Data_Pelanggan'!$P:$P,0)),"-")</f>
        <v>-</v>
      </c>
      <c r="I272" s="171" t="str">
        <f t="array" ref="I272">IFERROR(INDEX('2_Data_Pelanggan'!$D:$D,MATCH(D272,'2_Data_Pelanggan'!$P:$P,0)),"-")</f>
        <v>-</v>
      </c>
      <c r="J272" s="172" t="s">
        <v>1605</v>
      </c>
      <c r="K272" s="171" t="s">
        <v>1598</v>
      </c>
      <c r="L272" s="171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</row>
    <row r="273" ht="15.0" customHeight="1">
      <c r="A273" s="82">
        <v>265.0</v>
      </c>
      <c r="B273" s="82" t="s">
        <v>1596</v>
      </c>
      <c r="C273" s="82" t="s">
        <v>1597</v>
      </c>
      <c r="D273" s="82" t="s">
        <v>1696</v>
      </c>
      <c r="E273" s="73"/>
      <c r="F273" s="168" t="str">
        <f t="array" ref="F273">IFERROR(INDEX('2_Data_Pelanggan'!$S:$S,MATCH(D273,'2_Data_Pelanggan'!$P:$P,0)),"")</f>
        <v/>
      </c>
      <c r="G273" s="78" t="str">
        <f>IF(COUNTIF('2_Data_Pelanggan'!$P:$P,D273)&gt;0,"Terpasang","Stok/Belum Terpasang")</f>
        <v>Stok/Belum Terpasang</v>
      </c>
      <c r="H273" s="170" t="str">
        <f t="array" ref="H273">IFERROR(INDEX('2_Data_Pelanggan'!$B:$B,MATCH(D273,'2_Data_Pelanggan'!$P:$P,0)),"-")</f>
        <v>-</v>
      </c>
      <c r="I273" s="171" t="str">
        <f t="array" ref="I273">IFERROR(INDEX('2_Data_Pelanggan'!$D:$D,MATCH(D273,'2_Data_Pelanggan'!$P:$P,0)),"-")</f>
        <v>-</v>
      </c>
      <c r="J273" s="172" t="s">
        <v>1605</v>
      </c>
      <c r="K273" s="171" t="s">
        <v>1598</v>
      </c>
      <c r="L273" s="171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</row>
    <row r="274" ht="15.0" customHeight="1">
      <c r="A274" s="76">
        <v>266.0</v>
      </c>
      <c r="B274" s="76" t="s">
        <v>1596</v>
      </c>
      <c r="C274" s="76" t="s">
        <v>1597</v>
      </c>
      <c r="D274" s="76" t="s">
        <v>1697</v>
      </c>
      <c r="E274" s="119"/>
      <c r="F274" s="173" t="str">
        <f t="array" ref="F274">IFERROR(INDEX('2_Data_Pelanggan'!$S:$S,MATCH(D274,'2_Data_Pelanggan'!$P:$P,0)),"")</f>
        <v/>
      </c>
      <c r="G274" s="78" t="str">
        <f>IF(COUNTIF('2_Data_Pelanggan'!$P:$P,D274)&gt;0,"Terpasang","Stok/Belum Terpasang")</f>
        <v>Stok/Belum Terpasang</v>
      </c>
      <c r="H274" s="170" t="str">
        <f t="array" ref="H274">IFERROR(INDEX('2_Data_Pelanggan'!$B:$B,MATCH(D274,'2_Data_Pelanggan'!$P:$P,0)),"-")</f>
        <v>-</v>
      </c>
      <c r="I274" s="171" t="str">
        <f t="array" ref="I274">IFERROR(INDEX('2_Data_Pelanggan'!$D:$D,MATCH(D274,'2_Data_Pelanggan'!$P:$P,0)),"-")</f>
        <v>-</v>
      </c>
      <c r="J274" s="172" t="s">
        <v>1605</v>
      </c>
      <c r="K274" s="171" t="s">
        <v>1598</v>
      </c>
      <c r="L274" s="171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</row>
    <row r="275" ht="15.0" customHeight="1">
      <c r="A275" s="82">
        <v>267.0</v>
      </c>
      <c r="B275" s="82" t="s">
        <v>1596</v>
      </c>
      <c r="C275" s="82" t="s">
        <v>1597</v>
      </c>
      <c r="D275" s="82" t="s">
        <v>1698</v>
      </c>
      <c r="E275" s="73"/>
      <c r="F275" s="168" t="str">
        <f t="array" ref="F275">IFERROR(INDEX('2_Data_Pelanggan'!$S:$S,MATCH(D275,'2_Data_Pelanggan'!$P:$P,0)),"")</f>
        <v/>
      </c>
      <c r="G275" s="78" t="str">
        <f>IF(COUNTIF('2_Data_Pelanggan'!$P:$P,D275)&gt;0,"Terpasang","Stok/Belum Terpasang")</f>
        <v>Stok/Belum Terpasang</v>
      </c>
      <c r="H275" s="170" t="str">
        <f t="array" ref="H275">IFERROR(INDEX('2_Data_Pelanggan'!$B:$B,MATCH(D275,'2_Data_Pelanggan'!$P:$P,0)),"-")</f>
        <v>-</v>
      </c>
      <c r="I275" s="171" t="str">
        <f t="array" ref="I275">IFERROR(INDEX('2_Data_Pelanggan'!$D:$D,MATCH(D275,'2_Data_Pelanggan'!$P:$P,0)),"-")</f>
        <v>-</v>
      </c>
      <c r="J275" s="172" t="s">
        <v>1605</v>
      </c>
      <c r="K275" s="171" t="s">
        <v>1598</v>
      </c>
      <c r="L275" s="171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</row>
    <row r="276" ht="15.0" customHeight="1">
      <c r="A276" s="76">
        <v>268.0</v>
      </c>
      <c r="B276" s="76" t="s">
        <v>1596</v>
      </c>
      <c r="C276" s="76" t="s">
        <v>1597</v>
      </c>
      <c r="D276" s="76" t="s">
        <v>1699</v>
      </c>
      <c r="E276" s="119"/>
      <c r="F276" s="173" t="str">
        <f t="array" ref="F276">IFERROR(INDEX('2_Data_Pelanggan'!$S:$S,MATCH(D276,'2_Data_Pelanggan'!$P:$P,0)),"")</f>
        <v/>
      </c>
      <c r="G276" s="78" t="str">
        <f>IF(COUNTIF('2_Data_Pelanggan'!$P:$P,D276)&gt;0,"Terpasang","Stok/Belum Terpasang")</f>
        <v>Stok/Belum Terpasang</v>
      </c>
      <c r="H276" s="170" t="str">
        <f t="array" ref="H276">IFERROR(INDEX('2_Data_Pelanggan'!$B:$B,MATCH(D276,'2_Data_Pelanggan'!$P:$P,0)),"-")</f>
        <v>-</v>
      </c>
      <c r="I276" s="171" t="str">
        <f t="array" ref="I276">IFERROR(INDEX('2_Data_Pelanggan'!$D:$D,MATCH(D276,'2_Data_Pelanggan'!$P:$P,0)),"-")</f>
        <v>-</v>
      </c>
      <c r="J276" s="172" t="s">
        <v>1605</v>
      </c>
      <c r="K276" s="171" t="s">
        <v>1598</v>
      </c>
      <c r="L276" s="171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</row>
    <row r="277" ht="15.0" customHeight="1">
      <c r="A277" s="82">
        <v>269.0</v>
      </c>
      <c r="B277" s="82" t="s">
        <v>1596</v>
      </c>
      <c r="C277" s="82" t="s">
        <v>1597</v>
      </c>
      <c r="D277" s="82" t="s">
        <v>1700</v>
      </c>
      <c r="E277" s="73"/>
      <c r="F277" s="168" t="str">
        <f t="array" ref="F277">IFERROR(INDEX('2_Data_Pelanggan'!$S:$S,MATCH(D277,'2_Data_Pelanggan'!$P:$P,0)),"")</f>
        <v/>
      </c>
      <c r="G277" s="78" t="str">
        <f>IF(COUNTIF('2_Data_Pelanggan'!$P:$P,D277)&gt;0,"Terpasang","Stok/Belum Terpasang")</f>
        <v>Stok/Belum Terpasang</v>
      </c>
      <c r="H277" s="170" t="str">
        <f t="array" ref="H277">IFERROR(INDEX('2_Data_Pelanggan'!$B:$B,MATCH(D277,'2_Data_Pelanggan'!$P:$P,0)),"-")</f>
        <v>-</v>
      </c>
      <c r="I277" s="171" t="str">
        <f t="array" ref="I277">IFERROR(INDEX('2_Data_Pelanggan'!$D:$D,MATCH(D277,'2_Data_Pelanggan'!$P:$P,0)),"-")</f>
        <v>-</v>
      </c>
      <c r="J277" s="172" t="s">
        <v>1605</v>
      </c>
      <c r="K277" s="171" t="s">
        <v>1598</v>
      </c>
      <c r="L277" s="171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</row>
    <row r="278" ht="15.0" customHeight="1">
      <c r="A278" s="76">
        <v>270.0</v>
      </c>
      <c r="B278" s="76" t="s">
        <v>1596</v>
      </c>
      <c r="C278" s="76" t="s">
        <v>1597</v>
      </c>
      <c r="D278" s="76" t="s">
        <v>1701</v>
      </c>
      <c r="E278" s="119"/>
      <c r="F278" s="173" t="str">
        <f t="array" ref="F278">IFERROR(INDEX('2_Data_Pelanggan'!$S:$S,MATCH(D278,'2_Data_Pelanggan'!$P:$P,0)),"")</f>
        <v/>
      </c>
      <c r="G278" s="78" t="str">
        <f>IF(COUNTIF('2_Data_Pelanggan'!$P:$P,D278)&gt;0,"Terpasang","Stok/Belum Terpasang")</f>
        <v>Stok/Belum Terpasang</v>
      </c>
      <c r="H278" s="170" t="str">
        <f t="array" ref="H278">IFERROR(INDEX('2_Data_Pelanggan'!$B:$B,MATCH(D278,'2_Data_Pelanggan'!$P:$P,0)),"-")</f>
        <v>-</v>
      </c>
      <c r="I278" s="171" t="str">
        <f t="array" ref="I278">IFERROR(INDEX('2_Data_Pelanggan'!$D:$D,MATCH(D278,'2_Data_Pelanggan'!$P:$P,0)),"-")</f>
        <v>-</v>
      </c>
      <c r="J278" s="172" t="s">
        <v>1605</v>
      </c>
      <c r="K278" s="171" t="s">
        <v>1598</v>
      </c>
      <c r="L278" s="171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</row>
    <row r="279" ht="15.0" customHeight="1">
      <c r="A279" s="82">
        <v>271.0</v>
      </c>
      <c r="B279" s="82" t="s">
        <v>1596</v>
      </c>
      <c r="C279" s="82" t="s">
        <v>1597</v>
      </c>
      <c r="D279" s="82" t="s">
        <v>1702</v>
      </c>
      <c r="E279" s="73"/>
      <c r="F279" s="168" t="str">
        <f t="array" ref="F279">IFERROR(INDEX('2_Data_Pelanggan'!$S:$S,MATCH(D279,'2_Data_Pelanggan'!$P:$P,0)),"")</f>
        <v/>
      </c>
      <c r="G279" s="78" t="str">
        <f>IF(COUNTIF('2_Data_Pelanggan'!$P:$P,D279)&gt;0,"Terpasang","Stok/Belum Terpasang")</f>
        <v>Stok/Belum Terpasang</v>
      </c>
      <c r="H279" s="170" t="str">
        <f t="array" ref="H279">IFERROR(INDEX('2_Data_Pelanggan'!$B:$B,MATCH(D279,'2_Data_Pelanggan'!$P:$P,0)),"-")</f>
        <v>-</v>
      </c>
      <c r="I279" s="171" t="str">
        <f t="array" ref="I279">IFERROR(INDEX('2_Data_Pelanggan'!$D:$D,MATCH(D279,'2_Data_Pelanggan'!$P:$P,0)),"-")</f>
        <v>-</v>
      </c>
      <c r="J279" s="172" t="s">
        <v>1605</v>
      </c>
      <c r="K279" s="171" t="s">
        <v>1598</v>
      </c>
      <c r="L279" s="171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</row>
    <row r="280" ht="15.0" customHeight="1">
      <c r="A280" s="76">
        <v>272.0</v>
      </c>
      <c r="B280" s="76" t="s">
        <v>1596</v>
      </c>
      <c r="C280" s="76" t="s">
        <v>1597</v>
      </c>
      <c r="D280" s="76" t="s">
        <v>1703</v>
      </c>
      <c r="E280" s="119"/>
      <c r="F280" s="173" t="str">
        <f t="array" ref="F280">IFERROR(INDEX('2_Data_Pelanggan'!$S:$S,MATCH(D280,'2_Data_Pelanggan'!$P:$P,0)),"")</f>
        <v/>
      </c>
      <c r="G280" s="78" t="str">
        <f>IF(COUNTIF('2_Data_Pelanggan'!$P:$P,D280)&gt;0,"Terpasang","Stok/Belum Terpasang")</f>
        <v>Stok/Belum Terpasang</v>
      </c>
      <c r="H280" s="170" t="str">
        <f t="array" ref="H280">IFERROR(INDEX('2_Data_Pelanggan'!$B:$B,MATCH(D280,'2_Data_Pelanggan'!$P:$P,0)),"-")</f>
        <v>-</v>
      </c>
      <c r="I280" s="171" t="str">
        <f t="array" ref="I280">IFERROR(INDEX('2_Data_Pelanggan'!$D:$D,MATCH(D280,'2_Data_Pelanggan'!$P:$P,0)),"-")</f>
        <v>-</v>
      </c>
      <c r="J280" s="172" t="s">
        <v>1605</v>
      </c>
      <c r="K280" s="171" t="s">
        <v>1598</v>
      </c>
      <c r="L280" s="171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</row>
    <row r="281" ht="15.0" customHeight="1">
      <c r="A281" s="82">
        <v>273.0</v>
      </c>
      <c r="B281" s="82" t="s">
        <v>1596</v>
      </c>
      <c r="C281" s="82" t="s">
        <v>1597</v>
      </c>
      <c r="D281" s="82" t="s">
        <v>1704</v>
      </c>
      <c r="E281" s="73"/>
      <c r="F281" s="168" t="str">
        <f t="array" ref="F281">IFERROR(INDEX('2_Data_Pelanggan'!$S:$S,MATCH(D281,'2_Data_Pelanggan'!$P:$P,0)),"")</f>
        <v/>
      </c>
      <c r="G281" s="78" t="str">
        <f>IF(COUNTIF('2_Data_Pelanggan'!$P:$P,D281)&gt;0,"Terpasang","Stok/Belum Terpasang")</f>
        <v>Stok/Belum Terpasang</v>
      </c>
      <c r="H281" s="170" t="str">
        <f t="array" ref="H281">IFERROR(INDEX('2_Data_Pelanggan'!$B:$B,MATCH(D281,'2_Data_Pelanggan'!$P:$P,0)),"-")</f>
        <v>-</v>
      </c>
      <c r="I281" s="171" t="str">
        <f t="array" ref="I281">IFERROR(INDEX('2_Data_Pelanggan'!$D:$D,MATCH(D281,'2_Data_Pelanggan'!$P:$P,0)),"-")</f>
        <v>-</v>
      </c>
      <c r="J281" s="172" t="s">
        <v>1605</v>
      </c>
      <c r="K281" s="171" t="s">
        <v>1598</v>
      </c>
      <c r="L281" s="171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</row>
    <row r="282" ht="15.0" customHeight="1">
      <c r="A282" s="76">
        <v>274.0</v>
      </c>
      <c r="B282" s="76" t="s">
        <v>1596</v>
      </c>
      <c r="C282" s="76" t="s">
        <v>1597</v>
      </c>
      <c r="D282" s="76" t="s">
        <v>1705</v>
      </c>
      <c r="E282" s="119"/>
      <c r="F282" s="173" t="str">
        <f t="array" ref="F282">IFERROR(INDEX('2_Data_Pelanggan'!$S:$S,MATCH(D282,'2_Data_Pelanggan'!$P:$P,0)),"")</f>
        <v/>
      </c>
      <c r="G282" s="78" t="str">
        <f>IF(COUNTIF('2_Data_Pelanggan'!$P:$P,D282)&gt;0,"Terpasang","Stok/Belum Terpasang")</f>
        <v>Stok/Belum Terpasang</v>
      </c>
      <c r="H282" s="170" t="str">
        <f t="array" ref="H282">IFERROR(INDEX('2_Data_Pelanggan'!$B:$B,MATCH(D282,'2_Data_Pelanggan'!$P:$P,0)),"-")</f>
        <v>-</v>
      </c>
      <c r="I282" s="171" t="str">
        <f t="array" ref="I282">IFERROR(INDEX('2_Data_Pelanggan'!$D:$D,MATCH(D282,'2_Data_Pelanggan'!$P:$P,0)),"-")</f>
        <v>-</v>
      </c>
      <c r="J282" s="172" t="s">
        <v>1605</v>
      </c>
      <c r="K282" s="171" t="s">
        <v>1598</v>
      </c>
      <c r="L282" s="171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</row>
    <row r="283" ht="15.0" customHeight="1">
      <c r="A283" s="82">
        <v>275.0</v>
      </c>
      <c r="B283" s="82" t="s">
        <v>1596</v>
      </c>
      <c r="C283" s="82" t="s">
        <v>1597</v>
      </c>
      <c r="D283" s="82" t="s">
        <v>1706</v>
      </c>
      <c r="E283" s="73"/>
      <c r="F283" s="168" t="str">
        <f t="array" ref="F283">IFERROR(INDEX('2_Data_Pelanggan'!$S:$S,MATCH(D283,'2_Data_Pelanggan'!$P:$P,0)),"")</f>
        <v/>
      </c>
      <c r="G283" s="78" t="str">
        <f>IF(COUNTIF('2_Data_Pelanggan'!$P:$P,D283)&gt;0,"Terpasang","Stok/Belum Terpasang")</f>
        <v>Stok/Belum Terpasang</v>
      </c>
      <c r="H283" s="170" t="str">
        <f t="array" ref="H283">IFERROR(INDEX('2_Data_Pelanggan'!$B:$B,MATCH(D283,'2_Data_Pelanggan'!$P:$P,0)),"-")</f>
        <v>-</v>
      </c>
      <c r="I283" s="171" t="str">
        <f t="array" ref="I283">IFERROR(INDEX('2_Data_Pelanggan'!$D:$D,MATCH(D283,'2_Data_Pelanggan'!$P:$P,0)),"-")</f>
        <v>-</v>
      </c>
      <c r="J283" s="172" t="s">
        <v>1605</v>
      </c>
      <c r="K283" s="171" t="s">
        <v>1598</v>
      </c>
      <c r="L283" s="171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</row>
    <row r="284" ht="15.0" customHeight="1">
      <c r="A284" s="76">
        <v>276.0</v>
      </c>
      <c r="B284" s="76" t="s">
        <v>1596</v>
      </c>
      <c r="C284" s="76" t="s">
        <v>1597</v>
      </c>
      <c r="D284" s="76" t="s">
        <v>1707</v>
      </c>
      <c r="E284" s="119"/>
      <c r="F284" s="173" t="str">
        <f t="array" ref="F284">IFERROR(INDEX('2_Data_Pelanggan'!$S:$S,MATCH(D284,'2_Data_Pelanggan'!$P:$P,0)),"")</f>
        <v/>
      </c>
      <c r="G284" s="78" t="str">
        <f>IF(COUNTIF('2_Data_Pelanggan'!$P:$P,D284)&gt;0,"Terpasang","Stok/Belum Terpasang")</f>
        <v>Stok/Belum Terpasang</v>
      </c>
      <c r="H284" s="170" t="str">
        <f t="array" ref="H284">IFERROR(INDEX('2_Data_Pelanggan'!$B:$B,MATCH(D284,'2_Data_Pelanggan'!$P:$P,0)),"-")</f>
        <v>-</v>
      </c>
      <c r="I284" s="171" t="str">
        <f t="array" ref="I284">IFERROR(INDEX('2_Data_Pelanggan'!$D:$D,MATCH(D284,'2_Data_Pelanggan'!$P:$P,0)),"-")</f>
        <v>-</v>
      </c>
      <c r="J284" s="172" t="s">
        <v>1605</v>
      </c>
      <c r="K284" s="171" t="s">
        <v>1598</v>
      </c>
      <c r="L284" s="171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</row>
    <row r="285" ht="15.0" customHeight="1">
      <c r="A285" s="82">
        <v>277.0</v>
      </c>
      <c r="B285" s="82" t="s">
        <v>1596</v>
      </c>
      <c r="C285" s="82" t="s">
        <v>1597</v>
      </c>
      <c r="D285" s="82" t="s">
        <v>1708</v>
      </c>
      <c r="E285" s="73"/>
      <c r="F285" s="168" t="str">
        <f t="array" ref="F285">IFERROR(INDEX('2_Data_Pelanggan'!$S:$S,MATCH(D285,'2_Data_Pelanggan'!$P:$P,0)),"")</f>
        <v/>
      </c>
      <c r="G285" s="78" t="str">
        <f>IF(COUNTIF('2_Data_Pelanggan'!$P:$P,D285)&gt;0,"Terpasang","Stok/Belum Terpasang")</f>
        <v>Stok/Belum Terpasang</v>
      </c>
      <c r="H285" s="170" t="str">
        <f t="array" ref="H285">IFERROR(INDEX('2_Data_Pelanggan'!$B:$B,MATCH(D285,'2_Data_Pelanggan'!$P:$P,0)),"-")</f>
        <v>-</v>
      </c>
      <c r="I285" s="171" t="str">
        <f t="array" ref="I285">IFERROR(INDEX('2_Data_Pelanggan'!$D:$D,MATCH(D285,'2_Data_Pelanggan'!$P:$P,0)),"-")</f>
        <v>-</v>
      </c>
      <c r="J285" s="172" t="s">
        <v>1605</v>
      </c>
      <c r="K285" s="171" t="s">
        <v>1598</v>
      </c>
      <c r="L285" s="171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</row>
    <row r="286" ht="15.0" customHeight="1">
      <c r="A286" s="76">
        <v>278.0</v>
      </c>
      <c r="B286" s="76" t="s">
        <v>1596</v>
      </c>
      <c r="C286" s="76" t="s">
        <v>1597</v>
      </c>
      <c r="D286" s="76" t="s">
        <v>1709</v>
      </c>
      <c r="E286" s="119"/>
      <c r="F286" s="173" t="str">
        <f t="array" ref="F286">IFERROR(INDEX('2_Data_Pelanggan'!$S:$S,MATCH(D286,'2_Data_Pelanggan'!$P:$P,0)),"")</f>
        <v/>
      </c>
      <c r="G286" s="78" t="str">
        <f>IF(COUNTIF('2_Data_Pelanggan'!$P:$P,D286)&gt;0,"Terpasang","Stok/Belum Terpasang")</f>
        <v>Stok/Belum Terpasang</v>
      </c>
      <c r="H286" s="170" t="str">
        <f t="array" ref="H286">IFERROR(INDEX('2_Data_Pelanggan'!$B:$B,MATCH(D286,'2_Data_Pelanggan'!$P:$P,0)),"-")</f>
        <v>-</v>
      </c>
      <c r="I286" s="171" t="str">
        <f t="array" ref="I286">IFERROR(INDEX('2_Data_Pelanggan'!$D:$D,MATCH(D286,'2_Data_Pelanggan'!$P:$P,0)),"-")</f>
        <v>-</v>
      </c>
      <c r="J286" s="172" t="s">
        <v>1605</v>
      </c>
      <c r="K286" s="171" t="s">
        <v>1598</v>
      </c>
      <c r="L286" s="171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</row>
    <row r="287" ht="15.0" customHeight="1">
      <c r="A287" s="82">
        <v>279.0</v>
      </c>
      <c r="B287" s="82" t="s">
        <v>1596</v>
      </c>
      <c r="C287" s="82" t="s">
        <v>1597</v>
      </c>
      <c r="D287" s="82" t="s">
        <v>1710</v>
      </c>
      <c r="E287" s="73"/>
      <c r="F287" s="168" t="str">
        <f t="array" ref="F287">IFERROR(INDEX('2_Data_Pelanggan'!$S:$S,MATCH(D287,'2_Data_Pelanggan'!$P:$P,0)),"")</f>
        <v/>
      </c>
      <c r="G287" s="78" t="str">
        <f>IF(COUNTIF('2_Data_Pelanggan'!$P:$P,D287)&gt;0,"Terpasang","Stok/Belum Terpasang")</f>
        <v>Stok/Belum Terpasang</v>
      </c>
      <c r="H287" s="170" t="str">
        <f t="array" ref="H287">IFERROR(INDEX('2_Data_Pelanggan'!$B:$B,MATCH(D287,'2_Data_Pelanggan'!$P:$P,0)),"-")</f>
        <v>-</v>
      </c>
      <c r="I287" s="171" t="str">
        <f t="array" ref="I287">IFERROR(INDEX('2_Data_Pelanggan'!$D:$D,MATCH(D287,'2_Data_Pelanggan'!$P:$P,0)),"-")</f>
        <v>-</v>
      </c>
      <c r="J287" s="172" t="s">
        <v>1605</v>
      </c>
      <c r="K287" s="171" t="s">
        <v>1598</v>
      </c>
      <c r="L287" s="171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</row>
    <row r="288" ht="15.0" customHeight="1">
      <c r="A288" s="76">
        <v>280.0</v>
      </c>
      <c r="B288" s="76" t="s">
        <v>1596</v>
      </c>
      <c r="C288" s="76" t="s">
        <v>1597</v>
      </c>
      <c r="D288" s="76" t="s">
        <v>1711</v>
      </c>
      <c r="E288" s="119"/>
      <c r="F288" s="173" t="str">
        <f t="array" ref="F288">IFERROR(INDEX('2_Data_Pelanggan'!$S:$S,MATCH(D288,'2_Data_Pelanggan'!$P:$P,0)),"")</f>
        <v/>
      </c>
      <c r="G288" s="78" t="str">
        <f>IF(COUNTIF('2_Data_Pelanggan'!$P:$P,D288)&gt;0,"Terpasang","Stok/Belum Terpasang")</f>
        <v>Stok/Belum Terpasang</v>
      </c>
      <c r="H288" s="170" t="str">
        <f t="array" ref="H288">IFERROR(INDEX('2_Data_Pelanggan'!$B:$B,MATCH(D288,'2_Data_Pelanggan'!$P:$P,0)),"-")</f>
        <v>-</v>
      </c>
      <c r="I288" s="171" t="str">
        <f t="array" ref="I288">IFERROR(INDEX('2_Data_Pelanggan'!$D:$D,MATCH(D288,'2_Data_Pelanggan'!$P:$P,0)),"-")</f>
        <v>-</v>
      </c>
      <c r="J288" s="172" t="s">
        <v>1605</v>
      </c>
      <c r="K288" s="171" t="s">
        <v>1598</v>
      </c>
      <c r="L288" s="171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</row>
    <row r="289" ht="15.0" customHeight="1">
      <c r="A289" s="82">
        <v>281.0</v>
      </c>
      <c r="B289" s="82" t="s">
        <v>1596</v>
      </c>
      <c r="C289" s="82" t="s">
        <v>1597</v>
      </c>
      <c r="D289" s="82" t="s">
        <v>1712</v>
      </c>
      <c r="E289" s="73"/>
      <c r="F289" s="168" t="str">
        <f t="array" ref="F289">IFERROR(INDEX('2_Data_Pelanggan'!$S:$S,MATCH(D289,'2_Data_Pelanggan'!$P:$P,0)),"")</f>
        <v/>
      </c>
      <c r="G289" s="78" t="str">
        <f>IF(COUNTIF('2_Data_Pelanggan'!$P:$P,D289)&gt;0,"Terpasang","Stok/Belum Terpasang")</f>
        <v>Stok/Belum Terpasang</v>
      </c>
      <c r="H289" s="170" t="str">
        <f t="array" ref="H289">IFERROR(INDEX('2_Data_Pelanggan'!$B:$B,MATCH(D289,'2_Data_Pelanggan'!$P:$P,0)),"-")</f>
        <v>-</v>
      </c>
      <c r="I289" s="171" t="str">
        <f t="array" ref="I289">IFERROR(INDEX('2_Data_Pelanggan'!$D:$D,MATCH(D289,'2_Data_Pelanggan'!$P:$P,0)),"-")</f>
        <v>-</v>
      </c>
      <c r="J289" s="172" t="s">
        <v>1605</v>
      </c>
      <c r="K289" s="171" t="s">
        <v>1598</v>
      </c>
      <c r="L289" s="171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</row>
    <row r="290" ht="15.0" customHeight="1">
      <c r="A290" s="76">
        <v>282.0</v>
      </c>
      <c r="B290" s="76" t="s">
        <v>1596</v>
      </c>
      <c r="C290" s="76" t="s">
        <v>1597</v>
      </c>
      <c r="D290" s="76" t="s">
        <v>1713</v>
      </c>
      <c r="E290" s="119"/>
      <c r="F290" s="173" t="str">
        <f t="array" ref="F290">IFERROR(INDEX('2_Data_Pelanggan'!$S:$S,MATCH(D290,'2_Data_Pelanggan'!$P:$P,0)),"")</f>
        <v/>
      </c>
      <c r="G290" s="78" t="str">
        <f>IF(COUNTIF('2_Data_Pelanggan'!$P:$P,D290)&gt;0,"Terpasang","Stok/Belum Terpasang")</f>
        <v>Stok/Belum Terpasang</v>
      </c>
      <c r="H290" s="170" t="str">
        <f t="array" ref="H290">IFERROR(INDEX('2_Data_Pelanggan'!$B:$B,MATCH(D290,'2_Data_Pelanggan'!$P:$P,0)),"-")</f>
        <v>-</v>
      </c>
      <c r="I290" s="171" t="str">
        <f t="array" ref="I290">IFERROR(INDEX('2_Data_Pelanggan'!$D:$D,MATCH(D290,'2_Data_Pelanggan'!$P:$P,0)),"-")</f>
        <v>-</v>
      </c>
      <c r="J290" s="172" t="s">
        <v>1605</v>
      </c>
      <c r="K290" s="171" t="s">
        <v>1598</v>
      </c>
      <c r="L290" s="171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</row>
    <row r="291" ht="15.0" customHeight="1">
      <c r="A291" s="82">
        <v>283.0</v>
      </c>
      <c r="B291" s="82" t="s">
        <v>1596</v>
      </c>
      <c r="C291" s="82" t="s">
        <v>1597</v>
      </c>
      <c r="D291" s="82" t="s">
        <v>1714</v>
      </c>
      <c r="E291" s="73"/>
      <c r="F291" s="168" t="str">
        <f t="array" ref="F291">IFERROR(INDEX('2_Data_Pelanggan'!$S:$S,MATCH(D291,'2_Data_Pelanggan'!$P:$P,0)),"")</f>
        <v/>
      </c>
      <c r="G291" s="78" t="str">
        <f>IF(COUNTIF('2_Data_Pelanggan'!$P:$P,D291)&gt;0,"Terpasang","Stok/Belum Terpasang")</f>
        <v>Stok/Belum Terpasang</v>
      </c>
      <c r="H291" s="170" t="str">
        <f t="array" ref="H291">IFERROR(INDEX('2_Data_Pelanggan'!$B:$B,MATCH(D291,'2_Data_Pelanggan'!$P:$P,0)),"-")</f>
        <v>-</v>
      </c>
      <c r="I291" s="171" t="str">
        <f t="array" ref="I291">IFERROR(INDEX('2_Data_Pelanggan'!$D:$D,MATCH(D291,'2_Data_Pelanggan'!$P:$P,0)),"-")</f>
        <v>-</v>
      </c>
      <c r="J291" s="172" t="s">
        <v>1605</v>
      </c>
      <c r="K291" s="171" t="s">
        <v>1598</v>
      </c>
      <c r="L291" s="171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</row>
    <row r="292" ht="15.0" customHeight="1">
      <c r="A292" s="76">
        <v>284.0</v>
      </c>
      <c r="B292" s="76" t="s">
        <v>1596</v>
      </c>
      <c r="C292" s="76" t="s">
        <v>1597</v>
      </c>
      <c r="D292" s="76" t="s">
        <v>1715</v>
      </c>
      <c r="E292" s="119"/>
      <c r="F292" s="173" t="str">
        <f t="array" ref="F292">IFERROR(INDEX('2_Data_Pelanggan'!$S:$S,MATCH(D292,'2_Data_Pelanggan'!$P:$P,0)),"")</f>
        <v/>
      </c>
      <c r="G292" s="78" t="str">
        <f>IF(COUNTIF('2_Data_Pelanggan'!$P:$P,D292)&gt;0,"Terpasang","Stok/Belum Terpasang")</f>
        <v>Stok/Belum Terpasang</v>
      </c>
      <c r="H292" s="170" t="str">
        <f t="array" ref="H292">IFERROR(INDEX('2_Data_Pelanggan'!$B:$B,MATCH(D292,'2_Data_Pelanggan'!$P:$P,0)),"-")</f>
        <v>-</v>
      </c>
      <c r="I292" s="171" t="str">
        <f t="array" ref="I292">IFERROR(INDEX('2_Data_Pelanggan'!$D:$D,MATCH(D292,'2_Data_Pelanggan'!$P:$P,0)),"-")</f>
        <v>-</v>
      </c>
      <c r="J292" s="172" t="s">
        <v>1605</v>
      </c>
      <c r="K292" s="171" t="s">
        <v>1598</v>
      </c>
      <c r="L292" s="171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</row>
    <row r="293" ht="15.0" customHeight="1">
      <c r="A293" s="82">
        <v>285.0</v>
      </c>
      <c r="B293" s="82" t="s">
        <v>1596</v>
      </c>
      <c r="C293" s="82" t="s">
        <v>1597</v>
      </c>
      <c r="D293" s="82" t="s">
        <v>1716</v>
      </c>
      <c r="E293" s="73"/>
      <c r="F293" s="168" t="str">
        <f t="array" ref="F293">IFERROR(INDEX('2_Data_Pelanggan'!$S:$S,MATCH(D293,'2_Data_Pelanggan'!$P:$P,0)),"")</f>
        <v/>
      </c>
      <c r="G293" s="78" t="str">
        <f>IF(COUNTIF('2_Data_Pelanggan'!$P:$P,D293)&gt;0,"Terpasang","Stok/Belum Terpasang")</f>
        <v>Stok/Belum Terpasang</v>
      </c>
      <c r="H293" s="170" t="str">
        <f t="array" ref="H293">IFERROR(INDEX('2_Data_Pelanggan'!$B:$B,MATCH(D293,'2_Data_Pelanggan'!$P:$P,0)),"-")</f>
        <v>-</v>
      </c>
      <c r="I293" s="171" t="str">
        <f t="array" ref="I293">IFERROR(INDEX('2_Data_Pelanggan'!$D:$D,MATCH(D293,'2_Data_Pelanggan'!$P:$P,0)),"-")</f>
        <v>-</v>
      </c>
      <c r="J293" s="172" t="s">
        <v>1605</v>
      </c>
      <c r="K293" s="171" t="s">
        <v>1598</v>
      </c>
      <c r="L293" s="171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</row>
    <row r="294" ht="15.0" customHeight="1">
      <c r="A294" s="76">
        <v>286.0</v>
      </c>
      <c r="B294" s="76" t="s">
        <v>1596</v>
      </c>
      <c r="C294" s="76" t="s">
        <v>1597</v>
      </c>
      <c r="D294" s="76" t="s">
        <v>1717</v>
      </c>
      <c r="E294" s="119"/>
      <c r="F294" s="173" t="str">
        <f t="array" ref="F294">IFERROR(INDEX('2_Data_Pelanggan'!$S:$S,MATCH(D294,'2_Data_Pelanggan'!$P:$P,0)),"")</f>
        <v/>
      </c>
      <c r="G294" s="78" t="str">
        <f>IF(COUNTIF('2_Data_Pelanggan'!$P:$P,D294)&gt;0,"Terpasang","Stok/Belum Terpasang")</f>
        <v>Stok/Belum Terpasang</v>
      </c>
      <c r="H294" s="170" t="str">
        <f t="array" ref="H294">IFERROR(INDEX('2_Data_Pelanggan'!$B:$B,MATCH(D294,'2_Data_Pelanggan'!$P:$P,0)),"-")</f>
        <v>-</v>
      </c>
      <c r="I294" s="171" t="str">
        <f t="array" ref="I294">IFERROR(INDEX('2_Data_Pelanggan'!$D:$D,MATCH(D294,'2_Data_Pelanggan'!$P:$P,0)),"-")</f>
        <v>-</v>
      </c>
      <c r="J294" s="172" t="s">
        <v>1605</v>
      </c>
      <c r="K294" s="171" t="s">
        <v>1598</v>
      </c>
      <c r="L294" s="171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</row>
    <row r="295" ht="15.0" customHeight="1">
      <c r="A295" s="82">
        <v>287.0</v>
      </c>
      <c r="B295" s="82" t="s">
        <v>1596</v>
      </c>
      <c r="C295" s="82" t="s">
        <v>1597</v>
      </c>
      <c r="D295" s="82" t="s">
        <v>1718</v>
      </c>
      <c r="E295" s="73"/>
      <c r="F295" s="168" t="str">
        <f t="array" ref="F295">IFERROR(INDEX('2_Data_Pelanggan'!$S:$S,MATCH(D295,'2_Data_Pelanggan'!$P:$P,0)),"")</f>
        <v/>
      </c>
      <c r="G295" s="78" t="str">
        <f>IF(COUNTIF('2_Data_Pelanggan'!$P:$P,D295)&gt;0,"Terpasang","Stok/Belum Terpasang")</f>
        <v>Stok/Belum Terpasang</v>
      </c>
      <c r="H295" s="170" t="str">
        <f t="array" ref="H295">IFERROR(INDEX('2_Data_Pelanggan'!$B:$B,MATCH(D295,'2_Data_Pelanggan'!$P:$P,0)),"-")</f>
        <v>-</v>
      </c>
      <c r="I295" s="171" t="str">
        <f t="array" ref="I295">IFERROR(INDEX('2_Data_Pelanggan'!$D:$D,MATCH(D295,'2_Data_Pelanggan'!$P:$P,0)),"-")</f>
        <v>-</v>
      </c>
      <c r="J295" s="172" t="s">
        <v>1605</v>
      </c>
      <c r="K295" s="171" t="s">
        <v>1598</v>
      </c>
      <c r="L295" s="171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</row>
    <row r="296" ht="15.0" customHeight="1">
      <c r="A296" s="76">
        <v>288.0</v>
      </c>
      <c r="B296" s="76" t="s">
        <v>1596</v>
      </c>
      <c r="C296" s="76" t="s">
        <v>1597</v>
      </c>
      <c r="D296" s="76" t="s">
        <v>1719</v>
      </c>
      <c r="E296" s="119"/>
      <c r="F296" s="173" t="str">
        <f t="array" ref="F296">IFERROR(INDEX('2_Data_Pelanggan'!$S:$S,MATCH(D296,'2_Data_Pelanggan'!$P:$P,0)),"")</f>
        <v/>
      </c>
      <c r="G296" s="78" t="str">
        <f>IF(COUNTIF('2_Data_Pelanggan'!$P:$P,D296)&gt;0,"Terpasang","Stok/Belum Terpasang")</f>
        <v>Stok/Belum Terpasang</v>
      </c>
      <c r="H296" s="170" t="str">
        <f t="array" ref="H296">IFERROR(INDEX('2_Data_Pelanggan'!$B:$B,MATCH(D296,'2_Data_Pelanggan'!$P:$P,0)),"-")</f>
        <v>-</v>
      </c>
      <c r="I296" s="171" t="str">
        <f t="array" ref="I296">IFERROR(INDEX('2_Data_Pelanggan'!$D:$D,MATCH(D296,'2_Data_Pelanggan'!$P:$P,0)),"-")</f>
        <v>-</v>
      </c>
      <c r="J296" s="172" t="s">
        <v>1605</v>
      </c>
      <c r="K296" s="171" t="s">
        <v>1598</v>
      </c>
      <c r="L296" s="171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</row>
    <row r="297" ht="15.0" customHeight="1">
      <c r="A297" s="82">
        <v>289.0</v>
      </c>
      <c r="B297" s="82" t="s">
        <v>1596</v>
      </c>
      <c r="C297" s="82" t="s">
        <v>1597</v>
      </c>
      <c r="D297" s="82" t="s">
        <v>1720</v>
      </c>
      <c r="E297" s="73"/>
      <c r="F297" s="168" t="str">
        <f t="array" ref="F297">IFERROR(INDEX('2_Data_Pelanggan'!$S:$S,MATCH(D297,'2_Data_Pelanggan'!$P:$P,0)),"")</f>
        <v/>
      </c>
      <c r="G297" s="78" t="str">
        <f>IF(COUNTIF('2_Data_Pelanggan'!$P:$P,D297)&gt;0,"Terpasang","Stok/Belum Terpasang")</f>
        <v>Stok/Belum Terpasang</v>
      </c>
      <c r="H297" s="170" t="str">
        <f t="array" ref="H297">IFERROR(INDEX('2_Data_Pelanggan'!$B:$B,MATCH(D297,'2_Data_Pelanggan'!$P:$P,0)),"-")</f>
        <v>-</v>
      </c>
      <c r="I297" s="171" t="str">
        <f t="array" ref="I297">IFERROR(INDEX('2_Data_Pelanggan'!$D:$D,MATCH(D297,'2_Data_Pelanggan'!$P:$P,0)),"-")</f>
        <v>-</v>
      </c>
      <c r="J297" s="172" t="s">
        <v>1605</v>
      </c>
      <c r="K297" s="171" t="s">
        <v>1598</v>
      </c>
      <c r="L297" s="171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</row>
    <row r="298" ht="15.0" customHeight="1">
      <c r="A298" s="76">
        <v>290.0</v>
      </c>
      <c r="B298" s="76" t="s">
        <v>1596</v>
      </c>
      <c r="C298" s="76" t="s">
        <v>1597</v>
      </c>
      <c r="D298" s="76" t="s">
        <v>1721</v>
      </c>
      <c r="E298" s="119"/>
      <c r="F298" s="173" t="str">
        <f t="array" ref="F298">IFERROR(INDEX('2_Data_Pelanggan'!$S:$S,MATCH(D298,'2_Data_Pelanggan'!$P:$P,0)),"")</f>
        <v/>
      </c>
      <c r="G298" s="78" t="str">
        <f>IF(COUNTIF('2_Data_Pelanggan'!$P:$P,D298)&gt;0,"Terpasang","Stok/Belum Terpasang")</f>
        <v>Stok/Belum Terpasang</v>
      </c>
      <c r="H298" s="170" t="str">
        <f t="array" ref="H298">IFERROR(INDEX('2_Data_Pelanggan'!$B:$B,MATCH(D298,'2_Data_Pelanggan'!$P:$P,0)),"-")</f>
        <v>-</v>
      </c>
      <c r="I298" s="171" t="str">
        <f t="array" ref="I298">IFERROR(INDEX('2_Data_Pelanggan'!$D:$D,MATCH(D298,'2_Data_Pelanggan'!$P:$P,0)),"-")</f>
        <v>-</v>
      </c>
      <c r="J298" s="172" t="s">
        <v>1605</v>
      </c>
      <c r="K298" s="171" t="s">
        <v>1598</v>
      </c>
      <c r="L298" s="171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</row>
    <row r="299" ht="15.0" customHeight="1">
      <c r="A299" s="82">
        <v>291.0</v>
      </c>
      <c r="B299" s="82" t="s">
        <v>1596</v>
      </c>
      <c r="C299" s="82" t="s">
        <v>1597</v>
      </c>
      <c r="D299" s="82" t="s">
        <v>1722</v>
      </c>
      <c r="E299" s="73"/>
      <c r="F299" s="168" t="str">
        <f t="array" ref="F299">IFERROR(INDEX('2_Data_Pelanggan'!$S:$S,MATCH(D299,'2_Data_Pelanggan'!$P:$P,0)),"")</f>
        <v/>
      </c>
      <c r="G299" s="78" t="str">
        <f>IF(COUNTIF('2_Data_Pelanggan'!$P:$P,D299)&gt;0,"Terpasang","Stok/Belum Terpasang")</f>
        <v>Stok/Belum Terpasang</v>
      </c>
      <c r="H299" s="170" t="str">
        <f t="array" ref="H299">IFERROR(INDEX('2_Data_Pelanggan'!$B:$B,MATCH(D299,'2_Data_Pelanggan'!$P:$P,0)),"-")</f>
        <v>-</v>
      </c>
      <c r="I299" s="171" t="str">
        <f t="array" ref="I299">IFERROR(INDEX('2_Data_Pelanggan'!$D:$D,MATCH(D299,'2_Data_Pelanggan'!$P:$P,0)),"-")</f>
        <v>-</v>
      </c>
      <c r="J299" s="172" t="s">
        <v>1605</v>
      </c>
      <c r="K299" s="171" t="s">
        <v>1598</v>
      </c>
      <c r="L299" s="171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</row>
    <row r="300" ht="15.0" customHeight="1">
      <c r="A300" s="76">
        <v>292.0</v>
      </c>
      <c r="B300" s="76" t="s">
        <v>1596</v>
      </c>
      <c r="C300" s="76" t="s">
        <v>1597</v>
      </c>
      <c r="D300" s="76" t="s">
        <v>1723</v>
      </c>
      <c r="E300" s="119"/>
      <c r="F300" s="173" t="str">
        <f t="array" ref="F300">IFERROR(INDEX('2_Data_Pelanggan'!$S:$S,MATCH(D300,'2_Data_Pelanggan'!$P:$P,0)),"")</f>
        <v/>
      </c>
      <c r="G300" s="78" t="str">
        <f>IF(COUNTIF('2_Data_Pelanggan'!$P:$P,D300)&gt;0,"Terpasang","Stok/Belum Terpasang")</f>
        <v>Stok/Belum Terpasang</v>
      </c>
      <c r="H300" s="170" t="str">
        <f t="array" ref="H300">IFERROR(INDEX('2_Data_Pelanggan'!$B:$B,MATCH(D300,'2_Data_Pelanggan'!$P:$P,0)),"-")</f>
        <v>-</v>
      </c>
      <c r="I300" s="171" t="str">
        <f t="array" ref="I300">IFERROR(INDEX('2_Data_Pelanggan'!$D:$D,MATCH(D300,'2_Data_Pelanggan'!$P:$P,0)),"-")</f>
        <v>-</v>
      </c>
      <c r="J300" s="172" t="s">
        <v>1605</v>
      </c>
      <c r="K300" s="171" t="s">
        <v>1598</v>
      </c>
      <c r="L300" s="171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</row>
    <row r="301" ht="15.0" customHeight="1">
      <c r="A301" s="82">
        <v>293.0</v>
      </c>
      <c r="B301" s="82" t="s">
        <v>1596</v>
      </c>
      <c r="C301" s="82" t="s">
        <v>1597</v>
      </c>
      <c r="D301" s="82" t="s">
        <v>1724</v>
      </c>
      <c r="E301" s="73"/>
      <c r="F301" s="168" t="str">
        <f t="array" ref="F301">IFERROR(INDEX('2_Data_Pelanggan'!$S:$S,MATCH(D301,'2_Data_Pelanggan'!$P:$P,0)),"")</f>
        <v/>
      </c>
      <c r="G301" s="78" t="str">
        <f>IF(COUNTIF('2_Data_Pelanggan'!$P:$P,D301)&gt;0,"Terpasang","Stok/Belum Terpasang")</f>
        <v>Stok/Belum Terpasang</v>
      </c>
      <c r="H301" s="170" t="str">
        <f t="array" ref="H301">IFERROR(INDEX('2_Data_Pelanggan'!$B:$B,MATCH(D301,'2_Data_Pelanggan'!$P:$P,0)),"-")</f>
        <v>-</v>
      </c>
      <c r="I301" s="171" t="str">
        <f t="array" ref="I301">IFERROR(INDEX('2_Data_Pelanggan'!$D:$D,MATCH(D301,'2_Data_Pelanggan'!$P:$P,0)),"-")</f>
        <v>-</v>
      </c>
      <c r="J301" s="172" t="s">
        <v>1605</v>
      </c>
      <c r="K301" s="171" t="s">
        <v>1598</v>
      </c>
      <c r="L301" s="171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</row>
    <row r="302" ht="15.0" customHeight="1">
      <c r="A302" s="76">
        <v>294.0</v>
      </c>
      <c r="B302" s="76" t="s">
        <v>1596</v>
      </c>
      <c r="C302" s="76" t="s">
        <v>1597</v>
      </c>
      <c r="D302" s="76" t="s">
        <v>1725</v>
      </c>
      <c r="E302" s="119"/>
      <c r="F302" s="173" t="str">
        <f t="array" ref="F302">IFERROR(INDEX('2_Data_Pelanggan'!$S:$S,MATCH(D302,'2_Data_Pelanggan'!$P:$P,0)),"")</f>
        <v/>
      </c>
      <c r="G302" s="78" t="str">
        <f>IF(COUNTIF('2_Data_Pelanggan'!$P:$P,D302)&gt;0,"Terpasang","Stok/Belum Terpasang")</f>
        <v>Stok/Belum Terpasang</v>
      </c>
      <c r="H302" s="170" t="str">
        <f t="array" ref="H302">IFERROR(INDEX('2_Data_Pelanggan'!$B:$B,MATCH(D302,'2_Data_Pelanggan'!$P:$P,0)),"-")</f>
        <v>-</v>
      </c>
      <c r="I302" s="171" t="str">
        <f t="array" ref="I302">IFERROR(INDEX('2_Data_Pelanggan'!$D:$D,MATCH(D302,'2_Data_Pelanggan'!$P:$P,0)),"-")</f>
        <v>-</v>
      </c>
      <c r="J302" s="172" t="s">
        <v>1605</v>
      </c>
      <c r="K302" s="171" t="s">
        <v>1598</v>
      </c>
      <c r="L302" s="171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</row>
    <row r="303" ht="15.0" customHeight="1">
      <c r="A303" s="82">
        <v>295.0</v>
      </c>
      <c r="B303" s="82" t="s">
        <v>1596</v>
      </c>
      <c r="C303" s="82" t="s">
        <v>1597</v>
      </c>
      <c r="D303" s="82" t="s">
        <v>1726</v>
      </c>
      <c r="E303" s="73"/>
      <c r="F303" s="168" t="str">
        <f t="array" ref="F303">IFERROR(INDEX('2_Data_Pelanggan'!$S:$S,MATCH(D303,'2_Data_Pelanggan'!$P:$P,0)),"")</f>
        <v/>
      </c>
      <c r="G303" s="78" t="str">
        <f>IF(COUNTIF('2_Data_Pelanggan'!$P:$P,D303)&gt;0,"Terpasang","Stok/Belum Terpasang")</f>
        <v>Stok/Belum Terpasang</v>
      </c>
      <c r="H303" s="170" t="str">
        <f t="array" ref="H303">IFERROR(INDEX('2_Data_Pelanggan'!$B:$B,MATCH(D303,'2_Data_Pelanggan'!$P:$P,0)),"-")</f>
        <v>-</v>
      </c>
      <c r="I303" s="171" t="str">
        <f t="array" ref="I303">IFERROR(INDEX('2_Data_Pelanggan'!$D:$D,MATCH(D303,'2_Data_Pelanggan'!$P:$P,0)),"-")</f>
        <v>-</v>
      </c>
      <c r="J303" s="172" t="s">
        <v>1605</v>
      </c>
      <c r="K303" s="171" t="s">
        <v>1598</v>
      </c>
      <c r="L303" s="171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</row>
    <row r="304" ht="15.0" customHeight="1">
      <c r="A304" s="76">
        <v>296.0</v>
      </c>
      <c r="B304" s="76" t="s">
        <v>1596</v>
      </c>
      <c r="C304" s="76" t="s">
        <v>1597</v>
      </c>
      <c r="D304" s="76" t="s">
        <v>1727</v>
      </c>
      <c r="E304" s="119"/>
      <c r="F304" s="173" t="str">
        <f t="array" ref="F304">IFERROR(INDEX('2_Data_Pelanggan'!$S:$S,MATCH(D304,'2_Data_Pelanggan'!$P:$P,0)),"")</f>
        <v/>
      </c>
      <c r="G304" s="78" t="str">
        <f>IF(COUNTIF('2_Data_Pelanggan'!$P:$P,D304)&gt;0,"Terpasang","Stok/Belum Terpasang")</f>
        <v>Stok/Belum Terpasang</v>
      </c>
      <c r="H304" s="170" t="str">
        <f t="array" ref="H304">IFERROR(INDEX('2_Data_Pelanggan'!$B:$B,MATCH(D304,'2_Data_Pelanggan'!$P:$P,0)),"-")</f>
        <v>-</v>
      </c>
      <c r="I304" s="171" t="str">
        <f t="array" ref="I304">IFERROR(INDEX('2_Data_Pelanggan'!$D:$D,MATCH(D304,'2_Data_Pelanggan'!$P:$P,0)),"-")</f>
        <v>-</v>
      </c>
      <c r="J304" s="172" t="s">
        <v>1605</v>
      </c>
      <c r="K304" s="171" t="s">
        <v>1598</v>
      </c>
      <c r="L304" s="171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</row>
    <row r="305" ht="15.0" customHeight="1">
      <c r="A305" s="82">
        <v>297.0</v>
      </c>
      <c r="B305" s="82" t="s">
        <v>1596</v>
      </c>
      <c r="C305" s="82" t="s">
        <v>1597</v>
      </c>
      <c r="D305" s="82" t="s">
        <v>1728</v>
      </c>
      <c r="E305" s="73"/>
      <c r="F305" s="168" t="str">
        <f t="array" ref="F305">IFERROR(INDEX('2_Data_Pelanggan'!$S:$S,MATCH(D305,'2_Data_Pelanggan'!$P:$P,0)),"")</f>
        <v/>
      </c>
      <c r="G305" s="78" t="str">
        <f>IF(COUNTIF('2_Data_Pelanggan'!$P:$P,D305)&gt;0,"Terpasang","Stok/Belum Terpasang")</f>
        <v>Stok/Belum Terpasang</v>
      </c>
      <c r="H305" s="170" t="str">
        <f t="array" ref="H305">IFERROR(INDEX('2_Data_Pelanggan'!$B:$B,MATCH(D305,'2_Data_Pelanggan'!$P:$P,0)),"-")</f>
        <v>-</v>
      </c>
      <c r="I305" s="171" t="str">
        <f t="array" ref="I305">IFERROR(INDEX('2_Data_Pelanggan'!$D:$D,MATCH(D305,'2_Data_Pelanggan'!$P:$P,0)),"-")</f>
        <v>-</v>
      </c>
      <c r="J305" s="172" t="s">
        <v>1605</v>
      </c>
      <c r="K305" s="171" t="s">
        <v>1598</v>
      </c>
      <c r="L305" s="171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</row>
    <row r="306" ht="15.0" customHeight="1">
      <c r="A306" s="76">
        <v>298.0</v>
      </c>
      <c r="B306" s="76" t="s">
        <v>1596</v>
      </c>
      <c r="C306" s="76" t="s">
        <v>1597</v>
      </c>
      <c r="D306" s="76" t="s">
        <v>1729</v>
      </c>
      <c r="E306" s="119"/>
      <c r="F306" s="173" t="str">
        <f t="array" ref="F306">IFERROR(INDEX('2_Data_Pelanggan'!$S:$S,MATCH(D306,'2_Data_Pelanggan'!$P:$P,0)),"")</f>
        <v/>
      </c>
      <c r="G306" s="78" t="str">
        <f>IF(COUNTIF('2_Data_Pelanggan'!$P:$P,D306)&gt;0,"Terpasang","Stok/Belum Terpasang")</f>
        <v>Stok/Belum Terpasang</v>
      </c>
      <c r="H306" s="170" t="str">
        <f t="array" ref="H306">IFERROR(INDEX('2_Data_Pelanggan'!$B:$B,MATCH(D306,'2_Data_Pelanggan'!$P:$P,0)),"-")</f>
        <v>-</v>
      </c>
      <c r="I306" s="171" t="str">
        <f t="array" ref="I306">IFERROR(INDEX('2_Data_Pelanggan'!$D:$D,MATCH(D306,'2_Data_Pelanggan'!$P:$P,0)),"-")</f>
        <v>-</v>
      </c>
      <c r="J306" s="172" t="s">
        <v>1605</v>
      </c>
      <c r="K306" s="171" t="s">
        <v>1598</v>
      </c>
      <c r="L306" s="171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</row>
    <row r="307" ht="15.0" customHeight="1">
      <c r="A307" s="82">
        <v>299.0</v>
      </c>
      <c r="B307" s="82" t="s">
        <v>1596</v>
      </c>
      <c r="C307" s="82" t="s">
        <v>1597</v>
      </c>
      <c r="D307" s="82" t="s">
        <v>1730</v>
      </c>
      <c r="E307" s="73"/>
      <c r="F307" s="168" t="str">
        <f t="array" ref="F307">IFERROR(INDEX('2_Data_Pelanggan'!$S:$S,MATCH(D307,'2_Data_Pelanggan'!$P:$P,0)),"")</f>
        <v/>
      </c>
      <c r="G307" s="78" t="str">
        <f>IF(COUNTIF('2_Data_Pelanggan'!$P:$P,D307)&gt;0,"Terpasang","Stok/Belum Terpasang")</f>
        <v>Stok/Belum Terpasang</v>
      </c>
      <c r="H307" s="170" t="str">
        <f t="array" ref="H307">IFERROR(INDEX('2_Data_Pelanggan'!$B:$B,MATCH(D307,'2_Data_Pelanggan'!$P:$P,0)),"-")</f>
        <v>-</v>
      </c>
      <c r="I307" s="171" t="str">
        <f t="array" ref="I307">IFERROR(INDEX('2_Data_Pelanggan'!$D:$D,MATCH(D307,'2_Data_Pelanggan'!$P:$P,0)),"-")</f>
        <v>-</v>
      </c>
      <c r="J307" s="172" t="s">
        <v>1605</v>
      </c>
      <c r="K307" s="171" t="s">
        <v>1598</v>
      </c>
      <c r="L307" s="171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</row>
    <row r="308" ht="15.0" customHeight="1">
      <c r="A308" s="76">
        <v>300.0</v>
      </c>
      <c r="B308" s="76" t="s">
        <v>1596</v>
      </c>
      <c r="C308" s="76" t="s">
        <v>1597</v>
      </c>
      <c r="D308" s="76" t="s">
        <v>1731</v>
      </c>
      <c r="E308" s="119"/>
      <c r="F308" s="173" t="str">
        <f t="array" ref="F308">IFERROR(INDEX('2_Data_Pelanggan'!$S:$S,MATCH(D308,'2_Data_Pelanggan'!$P:$P,0)),"")</f>
        <v/>
      </c>
      <c r="G308" s="78" t="str">
        <f>IF(COUNTIF('2_Data_Pelanggan'!$P:$P,D308)&gt;0,"Terpasang","Stok/Belum Terpasang")</f>
        <v>Stok/Belum Terpasang</v>
      </c>
      <c r="H308" s="170" t="str">
        <f t="array" ref="H308">IFERROR(INDEX('2_Data_Pelanggan'!$B:$B,MATCH(D308,'2_Data_Pelanggan'!$P:$P,0)),"-")</f>
        <v>-</v>
      </c>
      <c r="I308" s="171" t="str">
        <f t="array" ref="I308">IFERROR(INDEX('2_Data_Pelanggan'!$D:$D,MATCH(D308,'2_Data_Pelanggan'!$P:$P,0)),"-")</f>
        <v>-</v>
      </c>
      <c r="J308" s="172" t="s">
        <v>1605</v>
      </c>
      <c r="K308" s="171" t="s">
        <v>1598</v>
      </c>
      <c r="L308" s="171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</row>
    <row r="309" ht="15.75" customHeight="1">
      <c r="A309" s="140">
        <v>302.0</v>
      </c>
      <c r="B309" s="140" t="s">
        <v>1596</v>
      </c>
      <c r="C309" s="140" t="s">
        <v>1597</v>
      </c>
      <c r="D309" s="140" t="s">
        <v>1242</v>
      </c>
      <c r="E309" s="140" t="s">
        <v>1243</v>
      </c>
      <c r="F309" s="175">
        <f t="array" ref="F309">IFERROR(INDEX('2_Data_Pelanggan'!$S:$S,MATCH(D309,'2_Data_Pelanggan'!$P:$P,0)),"")</f>
        <v>46197</v>
      </c>
      <c r="G309" s="169" t="str">
        <f>IF(COUNTIF('2_Data_Pelanggan'!$P:$P,D309)&gt;0,"Terpasang","Stok/Belum Terpasang")</f>
        <v>Terpasang</v>
      </c>
      <c r="H309" s="170" t="str">
        <f t="array" ref="H309">IFERROR(INDEX('2_Data_Pelanggan'!$B:$B,MATCH(D309,'2_Data_Pelanggan'!$P:$P,0)),"-")</f>
        <v>ARM-0134</v>
      </c>
      <c r="I309" s="171" t="str">
        <f t="array" ref="I309">IFERROR(INDEX('2_Data_Pelanggan'!$D:$D,MATCH(D309,'2_Data_Pelanggan'!$P:$P,0)),"-")</f>
        <v>UUS AGTRYANA</v>
      </c>
      <c r="J309" s="172" t="s">
        <v>1237</v>
      </c>
      <c r="K309" s="171" t="s">
        <v>1598</v>
      </c>
      <c r="L309" s="171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</row>
    <row r="310" ht="15.75" customHeight="1">
      <c r="A310" s="140">
        <v>303.0</v>
      </c>
      <c r="B310" s="140" t="s">
        <v>1596</v>
      </c>
      <c r="C310" s="140" t="s">
        <v>1597</v>
      </c>
      <c r="D310" s="140" t="s">
        <v>1250</v>
      </c>
      <c r="E310" s="140" t="s">
        <v>1251</v>
      </c>
      <c r="F310" s="175">
        <f t="array" ref="F310">IFERROR(INDEX('2_Data_Pelanggan'!$S:$S,MATCH(D310,'2_Data_Pelanggan'!$P:$P,0)),"")</f>
        <v>46198</v>
      </c>
      <c r="G310" s="169" t="str">
        <f>IF(COUNTIF('2_Data_Pelanggan'!$P:$P,D310)&gt;0,"Terpasang","Stok/Belum Terpasang")</f>
        <v>Terpasang</v>
      </c>
      <c r="H310" s="170" t="str">
        <f t="array" ref="H310">IFERROR(INDEX('2_Data_Pelanggan'!$B:$B,MATCH(D310,'2_Data_Pelanggan'!$P:$P,0)),"-")</f>
        <v>ARM-0135</v>
      </c>
      <c r="I310" s="171" t="str">
        <f t="array" ref="I310">IFERROR(INDEX('2_Data_Pelanggan'!$D:$D,MATCH(D310,'2_Data_Pelanggan'!$P:$P,0)),"-")</f>
        <v>NASIKIN</v>
      </c>
      <c r="J310" s="172" t="s">
        <v>1245</v>
      </c>
      <c r="K310" s="171" t="s">
        <v>1598</v>
      </c>
      <c r="L310" s="171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</row>
    <row r="311" ht="15.75" customHeight="1">
      <c r="A311" s="140">
        <v>304.0</v>
      </c>
      <c r="B311" s="140" t="s">
        <v>1596</v>
      </c>
      <c r="C311" s="140" t="s">
        <v>1597</v>
      </c>
      <c r="D311" s="140" t="s">
        <v>1258</v>
      </c>
      <c r="E311" s="140" t="s">
        <v>1259</v>
      </c>
      <c r="F311" s="175">
        <f t="array" ref="F311">IFERROR(INDEX('2_Data_Pelanggan'!$S:$S,MATCH(D311,'2_Data_Pelanggan'!$P:$P,0)),"")</f>
        <v>46198</v>
      </c>
      <c r="G311" s="169" t="str">
        <f>IF(COUNTIF('2_Data_Pelanggan'!$P:$P,D311)&gt;0,"Terpasang","Stok/Belum Terpasang")</f>
        <v>Terpasang</v>
      </c>
      <c r="H311" s="170" t="str">
        <f t="array" ref="H311">IFERROR(INDEX('2_Data_Pelanggan'!$B:$B,MATCH(D311,'2_Data_Pelanggan'!$P:$P,0)),"-")</f>
        <v>ARM-0136</v>
      </c>
      <c r="I311" s="171" t="str">
        <f t="array" ref="I311">IFERROR(INDEX('2_Data_Pelanggan'!$D:$D,MATCH(D311,'2_Data_Pelanggan'!$P:$P,0)),"-")</f>
        <v>MUARIF</v>
      </c>
      <c r="J311" s="172" t="s">
        <v>1253</v>
      </c>
      <c r="K311" s="171" t="s">
        <v>1598</v>
      </c>
      <c r="L311" s="171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</row>
    <row r="312" ht="15.75" customHeight="1">
      <c r="A312" s="140">
        <v>305.0</v>
      </c>
      <c r="B312" s="140" t="s">
        <v>1596</v>
      </c>
      <c r="C312" s="140" t="s">
        <v>1597</v>
      </c>
      <c r="D312" s="140" t="s">
        <v>1265</v>
      </c>
      <c r="E312" s="140" t="s">
        <v>1266</v>
      </c>
      <c r="F312" s="175">
        <f t="array" ref="F312">IFERROR(INDEX('2_Data_Pelanggan'!$S:$S,MATCH(D312,'2_Data_Pelanggan'!$P:$P,0)),"")</f>
        <v>46199</v>
      </c>
      <c r="G312" s="169" t="str">
        <f>IF(COUNTIF('2_Data_Pelanggan'!$P:$P,D312)&gt;0,"Terpasang","Stok/Belum Terpasang")</f>
        <v>Terpasang</v>
      </c>
      <c r="H312" s="170" t="str">
        <f t="array" ref="H312">IFERROR(INDEX('2_Data_Pelanggan'!$B:$B,MATCH(D312,'2_Data_Pelanggan'!$P:$P,0)),"-")</f>
        <v>ARM-0137</v>
      </c>
      <c r="I312" s="171" t="str">
        <f t="array" ref="I312">IFERROR(INDEX('2_Data_Pelanggan'!$D:$D,MATCH(D312,'2_Data_Pelanggan'!$P:$P,0)),"-")</f>
        <v>MUHAMAD RUSLI AF</v>
      </c>
      <c r="J312" s="172" t="s">
        <v>1260</v>
      </c>
      <c r="K312" s="171" t="s">
        <v>1598</v>
      </c>
      <c r="L312" s="171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</row>
    <row r="313" ht="15.75" customHeight="1">
      <c r="A313" s="140">
        <v>306.0</v>
      </c>
      <c r="B313" s="140" t="s">
        <v>1596</v>
      </c>
      <c r="C313" s="140" t="s">
        <v>1597</v>
      </c>
      <c r="D313" s="140" t="s">
        <v>1272</v>
      </c>
      <c r="E313" s="140" t="s">
        <v>1273</v>
      </c>
      <c r="F313" s="175">
        <f t="array" ref="F313">IFERROR(INDEX('2_Data_Pelanggan'!$S:$S,MATCH(D313,'2_Data_Pelanggan'!$P:$P,0)),"")</f>
        <v>46202</v>
      </c>
      <c r="G313" s="169" t="str">
        <f>IF(COUNTIF('2_Data_Pelanggan'!$P:$P,D313)&gt;0,"Terpasang","Stok/Belum Terpasang")</f>
        <v>Terpasang</v>
      </c>
      <c r="H313" s="170" t="str">
        <f t="array" ref="H313">IFERROR(INDEX('2_Data_Pelanggan'!$B:$B,MATCH(D313,'2_Data_Pelanggan'!$P:$P,0)),"-")</f>
        <v>ARM-0138</v>
      </c>
      <c r="I313" s="171" t="str">
        <f t="array" ref="I313">IFERROR(INDEX('2_Data_Pelanggan'!$D:$D,MATCH(D313,'2_Data_Pelanggan'!$P:$P,0)),"-")</f>
        <v>WARLAN</v>
      </c>
      <c r="J313" s="172" t="s">
        <v>1267</v>
      </c>
      <c r="K313" s="171" t="s">
        <v>1598</v>
      </c>
      <c r="L313" s="171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</row>
    <row r="314" ht="15.75" customHeight="1">
      <c r="A314" s="140">
        <v>307.0</v>
      </c>
      <c r="B314" s="140" t="s">
        <v>1596</v>
      </c>
      <c r="C314" s="140" t="s">
        <v>1597</v>
      </c>
      <c r="D314" s="140" t="s">
        <v>1280</v>
      </c>
      <c r="E314" s="140" t="s">
        <v>1281</v>
      </c>
      <c r="F314" s="175">
        <f t="array" ref="F314">IFERROR(INDEX('2_Data_Pelanggan'!$S:$S,MATCH(D314,'2_Data_Pelanggan'!$P:$P,0)),"")</f>
        <v>46202</v>
      </c>
      <c r="G314" s="169" t="str">
        <f>IF(COUNTIF('2_Data_Pelanggan'!$P:$P,D314)&gt;0,"Terpasang","Stok/Belum Terpasang")</f>
        <v>Terpasang</v>
      </c>
      <c r="H314" s="170" t="str">
        <f t="array" ref="H314">IFERROR(INDEX('2_Data_Pelanggan'!$B:$B,MATCH(D314,'2_Data_Pelanggan'!$P:$P,0)),"-")</f>
        <v>ARM-0139</v>
      </c>
      <c r="I314" s="171" t="str">
        <f t="array" ref="I314">IFERROR(INDEX('2_Data_Pelanggan'!$D:$D,MATCH(D314,'2_Data_Pelanggan'!$P:$P,0)),"-")</f>
        <v>EDI PRAMONO</v>
      </c>
      <c r="J314" s="172" t="s">
        <v>1275</v>
      </c>
      <c r="K314" s="171" t="s">
        <v>1598</v>
      </c>
      <c r="L314" s="171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</row>
    <row r="315" ht="15.75" customHeight="1">
      <c r="A315" s="176">
        <v>307.0</v>
      </c>
      <c r="B315" s="176" t="s">
        <v>1596</v>
      </c>
      <c r="C315" s="176" t="s">
        <v>1597</v>
      </c>
      <c r="D315" s="176" t="s">
        <v>1732</v>
      </c>
      <c r="E315" s="176" t="s">
        <v>1480</v>
      </c>
      <c r="F315" s="175" t="str">
        <f t="array" ref="F315">IFERROR(INDEX('2_Data_Pelanggan'!$S:$S,MATCH(D315,'2_Data_Pelanggan'!$P:$P,0)),"")</f>
        <v/>
      </c>
      <c r="G315" s="171" t="str">
        <f>IF(COUNTIF('2_Data_Pelanggan'!$P:$P,D315)&gt;0,"Terpasang","Stok/Belum Terpasang")</f>
        <v>Stok/Belum Terpasang</v>
      </c>
      <c r="H315" s="171" t="str">
        <f t="array" ref="H315">IFERROR(INDEX('2_Data_Pelanggan'!$B:$B,MATCH(D315,'2_Data_Pelanggan'!$P:$P,0)),"-")</f>
        <v>-</v>
      </c>
      <c r="I315" s="171" t="str">
        <f t="array" ref="I315">IFERROR(INDEX('2_Data_Pelanggan'!$D:$D,MATCH(D315,'2_Data_Pelanggan'!$P:$P,0)),"-")</f>
        <v>-</v>
      </c>
      <c r="J315" s="171" t="str">
        <f t="array" ref="J315">IFERROR(INDEX('2_Data_Pelanggan'!$C:$C,MATCH(D315,'2_Data_Pelanggan'!$P:$P,0)),"-")</f>
        <v>-</v>
      </c>
      <c r="K315" s="176" t="s">
        <v>1598</v>
      </c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</row>
    <row r="316" ht="15.75" customHeight="1">
      <c r="A316" s="90"/>
      <c r="B316" s="90"/>
      <c r="C316" s="90"/>
      <c r="D316" s="90"/>
      <c r="E316" s="90"/>
      <c r="F316" s="90"/>
      <c r="G316" s="90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</row>
    <row r="317" ht="15.75" customHeight="1">
      <c r="A317" s="90"/>
      <c r="B317" s="90"/>
      <c r="C317" s="90"/>
      <c r="D317" s="90"/>
      <c r="E317" s="90"/>
      <c r="F317" s="90"/>
      <c r="G317" s="90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</row>
    <row r="318" ht="15.75" customHeight="1">
      <c r="A318" s="90"/>
      <c r="B318" s="90"/>
      <c r="C318" s="90"/>
      <c r="D318" s="90"/>
      <c r="E318" s="90"/>
      <c r="F318" s="90"/>
      <c r="G318" s="90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</row>
    <row r="319" ht="15.75" customHeight="1">
      <c r="A319" s="90"/>
      <c r="B319" s="90"/>
      <c r="C319" s="90"/>
      <c r="D319" s="90"/>
      <c r="E319" s="90"/>
      <c r="F319" s="90"/>
      <c r="G319" s="90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</row>
    <row r="320" ht="15.75" customHeight="1">
      <c r="A320" s="90"/>
      <c r="B320" s="90"/>
      <c r="C320" s="90"/>
      <c r="D320" s="90"/>
      <c r="E320" s="90"/>
      <c r="F320" s="90"/>
      <c r="G320" s="90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</row>
    <row r="321" ht="15.75" customHeight="1">
      <c r="A321" s="90"/>
      <c r="B321" s="90"/>
      <c r="C321" s="90"/>
      <c r="D321" s="90"/>
      <c r="E321" s="90"/>
      <c r="F321" s="90"/>
      <c r="G321" s="90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</row>
    <row r="322" ht="15.75" customHeight="1">
      <c r="A322" s="90"/>
      <c r="B322" s="90"/>
      <c r="C322" s="90"/>
      <c r="D322" s="90"/>
      <c r="E322" s="90"/>
      <c r="F322" s="90"/>
      <c r="G322" s="90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</row>
    <row r="323" ht="15.75" customHeight="1">
      <c r="A323" s="90"/>
      <c r="B323" s="90"/>
      <c r="C323" s="90"/>
      <c r="D323" s="90"/>
      <c r="E323" s="90"/>
      <c r="F323" s="90"/>
      <c r="G323" s="90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</row>
    <row r="324" ht="15.75" customHeight="1">
      <c r="A324" s="90"/>
      <c r="B324" s="90"/>
      <c r="C324" s="90"/>
      <c r="D324" s="90"/>
      <c r="E324" s="90"/>
      <c r="F324" s="90"/>
      <c r="G324" s="90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</row>
    <row r="325" ht="15.75" customHeight="1">
      <c r="A325" s="90"/>
      <c r="B325" s="90"/>
      <c r="C325" s="90"/>
      <c r="D325" s="90"/>
      <c r="E325" s="90"/>
      <c r="F325" s="90"/>
      <c r="G325" s="90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</row>
    <row r="326" ht="15.75" customHeight="1">
      <c r="A326" s="90"/>
      <c r="B326" s="90"/>
      <c r="C326" s="90"/>
      <c r="D326" s="90"/>
      <c r="E326" s="90"/>
      <c r="F326" s="90"/>
      <c r="G326" s="90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</row>
    <row r="327" ht="15.75" customHeight="1">
      <c r="A327" s="90"/>
      <c r="B327" s="90"/>
      <c r="C327" s="90"/>
      <c r="D327" s="90"/>
      <c r="E327" s="90"/>
      <c r="F327" s="90"/>
      <c r="G327" s="90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</row>
    <row r="328" ht="15.75" customHeight="1">
      <c r="A328" s="90"/>
      <c r="B328" s="90"/>
      <c r="C328" s="90"/>
      <c r="D328" s="90"/>
      <c r="E328" s="90"/>
      <c r="F328" s="90"/>
      <c r="G328" s="90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</row>
    <row r="329" ht="15.75" customHeight="1">
      <c r="A329" s="90"/>
      <c r="B329" s="90"/>
      <c r="C329" s="90"/>
      <c r="D329" s="90"/>
      <c r="E329" s="90"/>
      <c r="F329" s="90"/>
      <c r="G329" s="90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</row>
    <row r="330" ht="15.75" customHeight="1">
      <c r="A330" s="90"/>
      <c r="B330" s="90"/>
      <c r="C330" s="90"/>
      <c r="D330" s="90"/>
      <c r="E330" s="90"/>
      <c r="F330" s="90"/>
      <c r="G330" s="90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</row>
    <row r="331" ht="15.75" customHeight="1">
      <c r="A331" s="90"/>
      <c r="B331" s="90"/>
      <c r="C331" s="90"/>
      <c r="D331" s="90"/>
      <c r="E331" s="90"/>
      <c r="F331" s="90"/>
      <c r="G331" s="90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</row>
    <row r="332" ht="15.75" customHeight="1">
      <c r="A332" s="90"/>
      <c r="B332" s="90"/>
      <c r="C332" s="90"/>
      <c r="D332" s="90"/>
      <c r="E332" s="90"/>
      <c r="F332" s="90"/>
      <c r="G332" s="90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</row>
    <row r="333" ht="15.75" customHeight="1">
      <c r="A333" s="90"/>
      <c r="B333" s="90"/>
      <c r="C333" s="90"/>
      <c r="D333" s="90"/>
      <c r="E333" s="90"/>
      <c r="F333" s="90"/>
      <c r="G333" s="90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</row>
    <row r="334" ht="15.75" customHeight="1">
      <c r="A334" s="90"/>
      <c r="B334" s="90"/>
      <c r="C334" s="90"/>
      <c r="D334" s="90"/>
      <c r="E334" s="90"/>
      <c r="F334" s="90"/>
      <c r="G334" s="90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</row>
    <row r="335" ht="15.75" customHeight="1">
      <c r="A335" s="90"/>
      <c r="B335" s="90"/>
      <c r="C335" s="90"/>
      <c r="D335" s="90"/>
      <c r="E335" s="90"/>
      <c r="F335" s="90"/>
      <c r="G335" s="90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</row>
    <row r="336" ht="15.75" customHeight="1">
      <c r="A336" s="90"/>
      <c r="B336" s="90"/>
      <c r="C336" s="90"/>
      <c r="D336" s="90"/>
      <c r="E336" s="90"/>
      <c r="F336" s="90"/>
      <c r="G336" s="90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</row>
    <row r="337" ht="15.75" customHeight="1">
      <c r="A337" s="90"/>
      <c r="B337" s="90"/>
      <c r="C337" s="90"/>
      <c r="D337" s="90"/>
      <c r="E337" s="90"/>
      <c r="F337" s="90"/>
      <c r="G337" s="90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</row>
    <row r="338" ht="15.75" customHeight="1">
      <c r="A338" s="90"/>
      <c r="B338" s="90"/>
      <c r="C338" s="90"/>
      <c r="D338" s="90"/>
      <c r="E338" s="90"/>
      <c r="F338" s="90"/>
      <c r="G338" s="90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</row>
    <row r="339" ht="15.75" customHeight="1">
      <c r="A339" s="90"/>
      <c r="B339" s="90"/>
      <c r="C339" s="90"/>
      <c r="D339" s="90"/>
      <c r="E339" s="90"/>
      <c r="F339" s="90"/>
      <c r="G339" s="90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</row>
    <row r="340" ht="15.75" customHeight="1">
      <c r="A340" s="90"/>
      <c r="B340" s="90"/>
      <c r="C340" s="90"/>
      <c r="D340" s="90"/>
      <c r="E340" s="90"/>
      <c r="F340" s="90"/>
      <c r="G340" s="90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</row>
    <row r="341" ht="15.75" customHeight="1">
      <c r="A341" s="90"/>
      <c r="B341" s="90"/>
      <c r="C341" s="90"/>
      <c r="D341" s="90"/>
      <c r="E341" s="90"/>
      <c r="F341" s="90"/>
      <c r="G341" s="90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</row>
    <row r="342" ht="15.75" customHeight="1">
      <c r="A342" s="90"/>
      <c r="B342" s="90"/>
      <c r="C342" s="90"/>
      <c r="D342" s="90"/>
      <c r="E342" s="90"/>
      <c r="F342" s="90"/>
      <c r="G342" s="90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</row>
    <row r="343" ht="15.75" customHeight="1">
      <c r="A343" s="90"/>
      <c r="B343" s="90"/>
      <c r="C343" s="90"/>
      <c r="D343" s="90"/>
      <c r="E343" s="90"/>
      <c r="F343" s="90"/>
      <c r="G343" s="90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</row>
    <row r="344" ht="15.75" customHeight="1">
      <c r="A344" s="90"/>
      <c r="B344" s="90"/>
      <c r="C344" s="90"/>
      <c r="D344" s="90"/>
      <c r="E344" s="90"/>
      <c r="F344" s="90"/>
      <c r="G344" s="90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</row>
    <row r="345" ht="15.75" customHeight="1">
      <c r="A345" s="90"/>
      <c r="B345" s="90"/>
      <c r="C345" s="90"/>
      <c r="D345" s="90"/>
      <c r="E345" s="90"/>
      <c r="F345" s="90"/>
      <c r="G345" s="90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</row>
    <row r="346" ht="15.75" customHeight="1">
      <c r="A346" s="90"/>
      <c r="B346" s="90"/>
      <c r="C346" s="90"/>
      <c r="D346" s="90"/>
      <c r="E346" s="90"/>
      <c r="F346" s="90"/>
      <c r="G346" s="90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</row>
    <row r="347" ht="15.75" customHeight="1">
      <c r="A347" s="90"/>
      <c r="B347" s="90"/>
      <c r="C347" s="90"/>
      <c r="D347" s="90"/>
      <c r="E347" s="90"/>
      <c r="F347" s="90"/>
      <c r="G347" s="90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</row>
    <row r="348" ht="15.75" customHeight="1">
      <c r="A348" s="90"/>
      <c r="B348" s="90"/>
      <c r="C348" s="90"/>
      <c r="D348" s="90"/>
      <c r="E348" s="90"/>
      <c r="F348" s="90"/>
      <c r="G348" s="90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</row>
    <row r="349" ht="15.75" customHeight="1">
      <c r="A349" s="90"/>
      <c r="B349" s="90"/>
      <c r="C349" s="90"/>
      <c r="D349" s="90"/>
      <c r="E349" s="90"/>
      <c r="F349" s="90"/>
      <c r="G349" s="90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</row>
    <row r="350" ht="15.75" customHeight="1">
      <c r="A350" s="90"/>
      <c r="B350" s="90"/>
      <c r="C350" s="90"/>
      <c r="D350" s="90"/>
      <c r="E350" s="90"/>
      <c r="F350" s="90"/>
      <c r="G350" s="90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</row>
    <row r="351" ht="15.75" customHeight="1">
      <c r="A351" s="90"/>
      <c r="B351" s="90"/>
      <c r="C351" s="90"/>
      <c r="D351" s="90"/>
      <c r="E351" s="90"/>
      <c r="F351" s="90"/>
      <c r="G351" s="90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</row>
    <row r="352" ht="15.75" customHeight="1">
      <c r="A352" s="90"/>
      <c r="B352" s="90"/>
      <c r="C352" s="90"/>
      <c r="D352" s="90"/>
      <c r="E352" s="90"/>
      <c r="F352" s="90"/>
      <c r="G352" s="90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</row>
    <row r="353" ht="15.75" customHeight="1">
      <c r="A353" s="90"/>
      <c r="B353" s="90"/>
      <c r="C353" s="90"/>
      <c r="D353" s="90"/>
      <c r="E353" s="90"/>
      <c r="F353" s="90"/>
      <c r="G353" s="90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</row>
    <row r="354" ht="15.75" customHeight="1">
      <c r="A354" s="90"/>
      <c r="B354" s="90"/>
      <c r="C354" s="90"/>
      <c r="D354" s="90"/>
      <c r="E354" s="90"/>
      <c r="F354" s="90"/>
      <c r="G354" s="90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</row>
    <row r="355" ht="15.75" customHeight="1">
      <c r="A355" s="90"/>
      <c r="B355" s="90"/>
      <c r="C355" s="90"/>
      <c r="D355" s="90"/>
      <c r="E355" s="90"/>
      <c r="F355" s="90"/>
      <c r="G355" s="90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</row>
    <row r="356" ht="15.75" customHeight="1">
      <c r="A356" s="90"/>
      <c r="B356" s="90"/>
      <c r="C356" s="90"/>
      <c r="D356" s="90"/>
      <c r="E356" s="90"/>
      <c r="F356" s="90"/>
      <c r="G356" s="90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</row>
    <row r="357" ht="15.75" customHeight="1">
      <c r="A357" s="90"/>
      <c r="B357" s="90"/>
      <c r="C357" s="90"/>
      <c r="D357" s="90"/>
      <c r="E357" s="90"/>
      <c r="F357" s="90"/>
      <c r="G357" s="90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</row>
    <row r="358" ht="15.75" customHeight="1">
      <c r="A358" s="90"/>
      <c r="B358" s="90"/>
      <c r="C358" s="90"/>
      <c r="D358" s="90"/>
      <c r="E358" s="90"/>
      <c r="F358" s="90"/>
      <c r="G358" s="90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</row>
    <row r="359" ht="15.75" customHeight="1">
      <c r="A359" s="90"/>
      <c r="B359" s="90"/>
      <c r="C359" s="90"/>
      <c r="D359" s="90"/>
      <c r="E359" s="90"/>
      <c r="F359" s="90"/>
      <c r="G359" s="90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</row>
    <row r="360" ht="15.75" customHeight="1">
      <c r="A360" s="90"/>
      <c r="B360" s="90"/>
      <c r="C360" s="90"/>
      <c r="D360" s="90"/>
      <c r="E360" s="90"/>
      <c r="F360" s="90"/>
      <c r="G360" s="90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</row>
    <row r="361" ht="15.75" customHeight="1">
      <c r="A361" s="90"/>
      <c r="B361" s="90"/>
      <c r="C361" s="90"/>
      <c r="D361" s="90"/>
      <c r="E361" s="90"/>
      <c r="F361" s="90"/>
      <c r="G361" s="90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</row>
    <row r="362" ht="15.75" customHeight="1">
      <c r="A362" s="90"/>
      <c r="B362" s="90"/>
      <c r="C362" s="90"/>
      <c r="D362" s="90"/>
      <c r="E362" s="90"/>
      <c r="F362" s="90"/>
      <c r="G362" s="90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</row>
    <row r="363" ht="15.75" customHeight="1">
      <c r="A363" s="90"/>
      <c r="B363" s="90"/>
      <c r="C363" s="90"/>
      <c r="D363" s="90"/>
      <c r="E363" s="90"/>
      <c r="F363" s="90"/>
      <c r="G363" s="90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</row>
    <row r="364" ht="15.75" customHeight="1">
      <c r="A364" s="90"/>
      <c r="B364" s="90"/>
      <c r="C364" s="90"/>
      <c r="D364" s="90"/>
      <c r="E364" s="90"/>
      <c r="F364" s="90"/>
      <c r="G364" s="90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</row>
    <row r="365" ht="15.75" customHeight="1">
      <c r="A365" s="90"/>
      <c r="B365" s="90"/>
      <c r="C365" s="90"/>
      <c r="D365" s="90"/>
      <c r="E365" s="90"/>
      <c r="F365" s="90"/>
      <c r="G365" s="90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</row>
    <row r="366" ht="15.75" customHeight="1">
      <c r="A366" s="90"/>
      <c r="B366" s="90"/>
      <c r="C366" s="90"/>
      <c r="D366" s="90"/>
      <c r="E366" s="90"/>
      <c r="F366" s="90"/>
      <c r="G366" s="90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</row>
    <row r="367" ht="15.75" customHeight="1">
      <c r="A367" s="90"/>
      <c r="B367" s="90"/>
      <c r="C367" s="90"/>
      <c r="D367" s="90"/>
      <c r="E367" s="90"/>
      <c r="F367" s="90"/>
      <c r="G367" s="90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</row>
    <row r="368" ht="15.75" customHeight="1">
      <c r="A368" s="90"/>
      <c r="B368" s="90"/>
      <c r="C368" s="90"/>
      <c r="D368" s="90"/>
      <c r="E368" s="90"/>
      <c r="F368" s="90"/>
      <c r="G368" s="90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</row>
    <row r="369" ht="15.75" customHeight="1">
      <c r="A369" s="90"/>
      <c r="B369" s="90"/>
      <c r="C369" s="90"/>
      <c r="D369" s="90"/>
      <c r="E369" s="90"/>
      <c r="F369" s="90"/>
      <c r="G369" s="90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</row>
    <row r="370" ht="15.75" customHeight="1">
      <c r="A370" s="90"/>
      <c r="B370" s="90"/>
      <c r="C370" s="90"/>
      <c r="D370" s="90"/>
      <c r="E370" s="90"/>
      <c r="F370" s="90"/>
      <c r="G370" s="90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</row>
    <row r="371" ht="15.75" customHeight="1">
      <c r="A371" s="90"/>
      <c r="B371" s="90"/>
      <c r="C371" s="90"/>
      <c r="D371" s="90"/>
      <c r="E371" s="90"/>
      <c r="F371" s="90"/>
      <c r="G371" s="90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</row>
    <row r="372" ht="15.75" customHeight="1">
      <c r="A372" s="90"/>
      <c r="B372" s="90"/>
      <c r="C372" s="90"/>
      <c r="D372" s="90"/>
      <c r="E372" s="90"/>
      <c r="F372" s="90"/>
      <c r="G372" s="90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</row>
    <row r="373" ht="15.75" customHeight="1">
      <c r="A373" s="90"/>
      <c r="B373" s="90"/>
      <c r="C373" s="90"/>
      <c r="D373" s="90"/>
      <c r="E373" s="90"/>
      <c r="F373" s="90"/>
      <c r="G373" s="90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</row>
    <row r="374" ht="15.75" customHeight="1">
      <c r="A374" s="90"/>
      <c r="B374" s="90"/>
      <c r="C374" s="90"/>
      <c r="D374" s="90"/>
      <c r="E374" s="90"/>
      <c r="F374" s="90"/>
      <c r="G374" s="90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</row>
    <row r="375" ht="15.75" customHeight="1">
      <c r="A375" s="90"/>
      <c r="B375" s="90"/>
      <c r="C375" s="90"/>
      <c r="D375" s="90"/>
      <c r="E375" s="90"/>
      <c r="F375" s="90"/>
      <c r="G375" s="90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</row>
    <row r="376" ht="15.75" customHeight="1">
      <c r="A376" s="90"/>
      <c r="B376" s="90"/>
      <c r="C376" s="90"/>
      <c r="D376" s="90"/>
      <c r="E376" s="90"/>
      <c r="F376" s="90"/>
      <c r="G376" s="90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</row>
    <row r="377" ht="15.75" customHeight="1">
      <c r="A377" s="90"/>
      <c r="B377" s="90"/>
      <c r="C377" s="90"/>
      <c r="D377" s="90"/>
      <c r="E377" s="90"/>
      <c r="F377" s="90"/>
      <c r="G377" s="90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</row>
    <row r="378" ht="15.75" customHeight="1">
      <c r="A378" s="90"/>
      <c r="B378" s="90"/>
      <c r="C378" s="90"/>
      <c r="D378" s="90"/>
      <c r="E378" s="90"/>
      <c r="F378" s="90"/>
      <c r="G378" s="90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</row>
    <row r="379" ht="15.75" customHeight="1">
      <c r="A379" s="90"/>
      <c r="B379" s="90"/>
      <c r="C379" s="90"/>
      <c r="D379" s="90"/>
      <c r="E379" s="90"/>
      <c r="F379" s="90"/>
      <c r="G379" s="90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</row>
    <row r="380" ht="15.75" customHeight="1">
      <c r="A380" s="90"/>
      <c r="B380" s="90"/>
      <c r="C380" s="90"/>
      <c r="D380" s="90"/>
      <c r="E380" s="90"/>
      <c r="F380" s="90"/>
      <c r="G380" s="90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</row>
    <row r="381" ht="15.75" customHeight="1">
      <c r="A381" s="90"/>
      <c r="B381" s="90"/>
      <c r="C381" s="90"/>
      <c r="D381" s="90"/>
      <c r="E381" s="90"/>
      <c r="F381" s="90"/>
      <c r="G381" s="90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</row>
    <row r="382" ht="15.75" customHeight="1">
      <c r="A382" s="90"/>
      <c r="B382" s="90"/>
      <c r="C382" s="90"/>
      <c r="D382" s="90"/>
      <c r="E382" s="90"/>
      <c r="F382" s="90"/>
      <c r="G382" s="90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</row>
    <row r="383" ht="15.75" customHeight="1">
      <c r="A383" s="90"/>
      <c r="B383" s="90"/>
      <c r="C383" s="90"/>
      <c r="D383" s="90"/>
      <c r="E383" s="90"/>
      <c r="F383" s="90"/>
      <c r="G383" s="90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</row>
    <row r="384" ht="15.75" customHeight="1">
      <c r="A384" s="90"/>
      <c r="B384" s="90"/>
      <c r="C384" s="90"/>
      <c r="D384" s="90"/>
      <c r="E384" s="90"/>
      <c r="F384" s="90"/>
      <c r="G384" s="90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</row>
    <row r="385" ht="15.75" customHeight="1">
      <c r="A385" s="90"/>
      <c r="B385" s="90"/>
      <c r="C385" s="90"/>
      <c r="D385" s="90"/>
      <c r="E385" s="90"/>
      <c r="F385" s="90"/>
      <c r="G385" s="90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</row>
    <row r="386" ht="15.75" customHeight="1">
      <c r="A386" s="90"/>
      <c r="B386" s="90"/>
      <c r="C386" s="90"/>
      <c r="D386" s="90"/>
      <c r="E386" s="90"/>
      <c r="F386" s="90"/>
      <c r="G386" s="90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</row>
    <row r="387" ht="15.75" customHeight="1">
      <c r="A387" s="90"/>
      <c r="B387" s="90"/>
      <c r="C387" s="90"/>
      <c r="D387" s="90"/>
      <c r="E387" s="90"/>
      <c r="F387" s="90"/>
      <c r="G387" s="90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</row>
    <row r="388" ht="15.75" customHeight="1">
      <c r="A388" s="90"/>
      <c r="B388" s="90"/>
      <c r="C388" s="90"/>
      <c r="D388" s="90"/>
      <c r="E388" s="90"/>
      <c r="F388" s="90"/>
      <c r="G388" s="90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</row>
    <row r="389" ht="15.75" customHeight="1">
      <c r="A389" s="90"/>
      <c r="B389" s="90"/>
      <c r="C389" s="90"/>
      <c r="D389" s="90"/>
      <c r="E389" s="90"/>
      <c r="F389" s="90"/>
      <c r="G389" s="90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</row>
    <row r="390" ht="15.75" customHeight="1">
      <c r="A390" s="90"/>
      <c r="B390" s="90"/>
      <c r="C390" s="90"/>
      <c r="D390" s="90"/>
      <c r="E390" s="90"/>
      <c r="F390" s="90"/>
      <c r="G390" s="90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</row>
    <row r="391" ht="15.75" customHeight="1">
      <c r="A391" s="90"/>
      <c r="B391" s="90"/>
      <c r="C391" s="90"/>
      <c r="D391" s="90"/>
      <c r="E391" s="90"/>
      <c r="F391" s="90"/>
      <c r="G391" s="90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</row>
    <row r="392" ht="15.75" customHeight="1">
      <c r="A392" s="90"/>
      <c r="B392" s="90"/>
      <c r="C392" s="90"/>
      <c r="D392" s="90"/>
      <c r="E392" s="90"/>
      <c r="F392" s="90"/>
      <c r="G392" s="90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</row>
    <row r="393" ht="15.75" customHeight="1">
      <c r="A393" s="90"/>
      <c r="B393" s="90"/>
      <c r="C393" s="90"/>
      <c r="D393" s="90"/>
      <c r="E393" s="90"/>
      <c r="F393" s="90"/>
      <c r="G393" s="90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</row>
    <row r="394" ht="15.75" customHeight="1">
      <c r="A394" s="90"/>
      <c r="B394" s="90"/>
      <c r="C394" s="90"/>
      <c r="D394" s="90"/>
      <c r="E394" s="90"/>
      <c r="F394" s="90"/>
      <c r="G394" s="90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</row>
    <row r="395" ht="15.75" customHeight="1">
      <c r="A395" s="90"/>
      <c r="B395" s="90"/>
      <c r="C395" s="90"/>
      <c r="D395" s="90"/>
      <c r="E395" s="90"/>
      <c r="F395" s="90"/>
      <c r="G395" s="90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</row>
    <row r="396" ht="15.75" customHeight="1">
      <c r="A396" s="90"/>
      <c r="B396" s="90"/>
      <c r="C396" s="90"/>
      <c r="D396" s="90"/>
      <c r="E396" s="90"/>
      <c r="F396" s="90"/>
      <c r="G396" s="90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</row>
    <row r="397" ht="15.75" customHeight="1">
      <c r="A397" s="90"/>
      <c r="B397" s="90"/>
      <c r="C397" s="90"/>
      <c r="D397" s="90"/>
      <c r="E397" s="90"/>
      <c r="F397" s="90"/>
      <c r="G397" s="90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</row>
    <row r="398" ht="15.75" customHeight="1">
      <c r="A398" s="90"/>
      <c r="B398" s="90"/>
      <c r="C398" s="90"/>
      <c r="D398" s="90"/>
      <c r="E398" s="90"/>
      <c r="F398" s="90"/>
      <c r="G398" s="90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</row>
    <row r="399" ht="15.75" customHeight="1">
      <c r="A399" s="90"/>
      <c r="B399" s="90"/>
      <c r="C399" s="90"/>
      <c r="D399" s="90"/>
      <c r="E399" s="90"/>
      <c r="F399" s="90"/>
      <c r="G399" s="90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</row>
    <row r="400" ht="15.75" customHeight="1">
      <c r="A400" s="90"/>
      <c r="B400" s="90"/>
      <c r="C400" s="90"/>
      <c r="D400" s="90"/>
      <c r="E400" s="90"/>
      <c r="F400" s="90"/>
      <c r="G400" s="90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</row>
    <row r="401" ht="15.75" customHeight="1">
      <c r="A401" s="90"/>
      <c r="B401" s="90"/>
      <c r="C401" s="90"/>
      <c r="D401" s="90"/>
      <c r="E401" s="90"/>
      <c r="F401" s="90"/>
      <c r="G401" s="90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</row>
    <row r="402" ht="15.75" customHeight="1">
      <c r="A402" s="90"/>
      <c r="B402" s="90"/>
      <c r="C402" s="90"/>
      <c r="D402" s="90"/>
      <c r="E402" s="90"/>
      <c r="F402" s="90"/>
      <c r="G402" s="90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</row>
    <row r="403" ht="15.75" customHeight="1">
      <c r="A403" s="90"/>
      <c r="B403" s="90"/>
      <c r="C403" s="90"/>
      <c r="D403" s="90"/>
      <c r="E403" s="90"/>
      <c r="F403" s="90"/>
      <c r="G403" s="90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</row>
    <row r="404" ht="15.75" customHeight="1">
      <c r="A404" s="90"/>
      <c r="B404" s="90"/>
      <c r="C404" s="90"/>
      <c r="D404" s="90"/>
      <c r="E404" s="90"/>
      <c r="F404" s="90"/>
      <c r="G404" s="90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</row>
    <row r="405" ht="15.75" customHeight="1">
      <c r="A405" s="90"/>
      <c r="B405" s="90"/>
      <c r="C405" s="90"/>
      <c r="D405" s="90"/>
      <c r="E405" s="90"/>
      <c r="F405" s="90"/>
      <c r="G405" s="90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</row>
    <row r="406" ht="15.75" customHeight="1">
      <c r="A406" s="90"/>
      <c r="B406" s="90"/>
      <c r="C406" s="90"/>
      <c r="D406" s="90"/>
      <c r="E406" s="90"/>
      <c r="F406" s="90"/>
      <c r="G406" s="90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</row>
    <row r="407" ht="15.75" customHeight="1">
      <c r="A407" s="90"/>
      <c r="B407" s="90"/>
      <c r="C407" s="90"/>
      <c r="D407" s="90"/>
      <c r="E407" s="90"/>
      <c r="F407" s="90"/>
      <c r="G407" s="90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</row>
    <row r="408" ht="15.75" customHeight="1">
      <c r="A408" s="90"/>
      <c r="B408" s="90"/>
      <c r="C408" s="90"/>
      <c r="D408" s="90"/>
      <c r="E408" s="90"/>
      <c r="F408" s="90"/>
      <c r="G408" s="90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</row>
    <row r="409" ht="15.75" customHeight="1">
      <c r="A409" s="90"/>
      <c r="B409" s="90"/>
      <c r="C409" s="90"/>
      <c r="D409" s="90"/>
      <c r="E409" s="90"/>
      <c r="F409" s="90"/>
      <c r="G409" s="90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</row>
    <row r="410" ht="15.75" customHeight="1">
      <c r="A410" s="90"/>
      <c r="B410" s="90"/>
      <c r="C410" s="90"/>
      <c r="D410" s="90"/>
      <c r="E410" s="90"/>
      <c r="F410" s="90"/>
      <c r="G410" s="90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</row>
    <row r="411" ht="15.0" customHeight="1">
      <c r="A411" s="90"/>
      <c r="B411" s="90"/>
      <c r="C411" s="90"/>
      <c r="D411" s="90"/>
      <c r="E411" s="90"/>
      <c r="F411" s="90"/>
      <c r="G411" s="90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</row>
    <row r="412" ht="15.75" customHeight="1">
      <c r="A412" s="90"/>
      <c r="B412" s="90"/>
      <c r="C412" s="90"/>
      <c r="D412" s="90"/>
      <c r="E412" s="90"/>
      <c r="F412" s="90"/>
      <c r="G412" s="90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</row>
    <row r="413" ht="15.75" customHeight="1">
      <c r="A413" s="90"/>
      <c r="B413" s="90"/>
      <c r="C413" s="90"/>
      <c r="D413" s="90"/>
      <c r="E413" s="90"/>
      <c r="F413" s="90"/>
      <c r="G413" s="90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</row>
    <row r="414" ht="15.75" customHeight="1">
      <c r="A414" s="90"/>
      <c r="B414" s="90"/>
      <c r="C414" s="90"/>
      <c r="D414" s="90"/>
      <c r="E414" s="90"/>
      <c r="F414" s="90"/>
      <c r="G414" s="90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</row>
    <row r="415" ht="15.75" customHeight="1">
      <c r="A415" s="90"/>
      <c r="B415" s="90"/>
      <c r="C415" s="90"/>
      <c r="D415" s="90"/>
      <c r="E415" s="90"/>
      <c r="F415" s="90"/>
      <c r="G415" s="90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</row>
    <row r="416" ht="15.75" customHeight="1">
      <c r="A416" s="90"/>
      <c r="B416" s="90"/>
      <c r="C416" s="90"/>
      <c r="D416" s="90"/>
      <c r="E416" s="90"/>
      <c r="F416" s="90"/>
      <c r="G416" s="90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</row>
    <row r="417" ht="15.75" customHeight="1">
      <c r="A417" s="90"/>
      <c r="B417" s="90"/>
      <c r="C417" s="90"/>
      <c r="D417" s="70"/>
      <c r="E417" s="90"/>
      <c r="F417" s="90"/>
      <c r="G417" s="90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</row>
    <row r="418" ht="15.75" customHeight="1">
      <c r="A418" s="90"/>
      <c r="B418" s="90"/>
      <c r="C418" s="90"/>
      <c r="D418" s="90"/>
      <c r="E418" s="90"/>
      <c r="F418" s="90"/>
      <c r="G418" s="90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</row>
    <row r="419" ht="15.75" customHeight="1">
      <c r="A419" s="90"/>
      <c r="B419" s="90"/>
      <c r="C419" s="90"/>
      <c r="D419" s="90"/>
      <c r="E419" s="90"/>
      <c r="F419" s="90"/>
      <c r="G419" s="90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</row>
    <row r="420" ht="15.75" customHeight="1">
      <c r="A420" s="90"/>
      <c r="B420" s="90"/>
      <c r="C420" s="90"/>
      <c r="D420" s="90"/>
      <c r="E420" s="90"/>
      <c r="F420" s="90"/>
      <c r="G420" s="90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</row>
    <row r="421" ht="15.75" customHeight="1">
      <c r="A421" s="90"/>
      <c r="B421" s="90"/>
      <c r="C421" s="90"/>
      <c r="D421" s="90"/>
      <c r="E421" s="90"/>
      <c r="F421" s="90"/>
      <c r="G421" s="90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</row>
    <row r="422" ht="15.75" customHeight="1">
      <c r="A422" s="90"/>
      <c r="B422" s="90"/>
      <c r="C422" s="90"/>
      <c r="D422" s="90"/>
      <c r="E422" s="90"/>
      <c r="F422" s="90"/>
      <c r="G422" s="90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</row>
    <row r="423" ht="15.75" customHeight="1">
      <c r="A423" s="90"/>
      <c r="B423" s="90"/>
      <c r="C423" s="90"/>
      <c r="D423" s="90"/>
      <c r="E423" s="90"/>
      <c r="F423" s="90"/>
      <c r="G423" s="90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</row>
    <row r="424" ht="15.75" customHeight="1">
      <c r="A424" s="90"/>
      <c r="B424" s="90"/>
      <c r="C424" s="90"/>
      <c r="D424" s="90"/>
      <c r="E424" s="90"/>
      <c r="F424" s="90"/>
      <c r="G424" s="90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</row>
    <row r="425" ht="15.75" customHeight="1">
      <c r="A425" s="90"/>
      <c r="B425" s="90"/>
      <c r="C425" s="90"/>
      <c r="D425" s="90"/>
      <c r="E425" s="90"/>
      <c r="F425" s="90"/>
      <c r="G425" s="90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</row>
    <row r="426" ht="15.75" customHeight="1">
      <c r="A426" s="90"/>
      <c r="B426" s="90"/>
      <c r="C426" s="90"/>
      <c r="D426" s="90"/>
      <c r="E426" s="90"/>
      <c r="F426" s="90"/>
      <c r="G426" s="90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</row>
    <row r="427" ht="15.75" customHeight="1">
      <c r="A427" s="90"/>
      <c r="B427" s="90"/>
      <c r="C427" s="90"/>
      <c r="D427" s="90"/>
      <c r="E427" s="90"/>
      <c r="F427" s="90"/>
      <c r="G427" s="90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</row>
    <row r="428" ht="15.75" customHeight="1">
      <c r="A428" s="90"/>
      <c r="B428" s="90"/>
      <c r="C428" s="90"/>
      <c r="D428" s="90"/>
      <c r="E428" s="90"/>
      <c r="F428" s="90"/>
      <c r="G428" s="90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</row>
    <row r="429" ht="15.75" customHeight="1">
      <c r="A429" s="90"/>
      <c r="B429" s="90"/>
      <c r="C429" s="90"/>
      <c r="D429" s="90"/>
      <c r="E429" s="90"/>
      <c r="F429" s="90"/>
      <c r="G429" s="90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</row>
    <row r="430" ht="15.75" customHeight="1">
      <c r="A430" s="90"/>
      <c r="B430" s="90"/>
      <c r="C430" s="90"/>
      <c r="D430" s="90"/>
      <c r="E430" s="90"/>
      <c r="F430" s="90"/>
      <c r="G430" s="90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</row>
    <row r="431" ht="15.75" customHeight="1">
      <c r="A431" s="90"/>
      <c r="B431" s="90"/>
      <c r="C431" s="90"/>
      <c r="D431" s="90"/>
      <c r="E431" s="90"/>
      <c r="F431" s="90"/>
      <c r="G431" s="90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</row>
    <row r="432" ht="15.75" customHeight="1">
      <c r="A432" s="90"/>
      <c r="B432" s="90"/>
      <c r="C432" s="90"/>
      <c r="D432" s="90"/>
      <c r="E432" s="90"/>
      <c r="F432" s="90"/>
      <c r="G432" s="90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</row>
    <row r="433" ht="15.75" customHeight="1">
      <c r="A433" s="90"/>
      <c r="B433" s="90"/>
      <c r="C433" s="90"/>
      <c r="D433" s="90"/>
      <c r="E433" s="90"/>
      <c r="F433" s="90"/>
      <c r="G433" s="90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</row>
    <row r="434" ht="15.75" customHeight="1">
      <c r="A434" s="90"/>
      <c r="B434" s="90"/>
      <c r="C434" s="90"/>
      <c r="D434" s="90"/>
      <c r="E434" s="90"/>
      <c r="F434" s="90"/>
      <c r="G434" s="90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</row>
    <row r="435" ht="15.75" customHeight="1">
      <c r="A435" s="90"/>
      <c r="B435" s="90"/>
      <c r="C435" s="90"/>
      <c r="D435" s="90"/>
      <c r="E435" s="90"/>
      <c r="F435" s="90"/>
      <c r="G435" s="90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</row>
    <row r="436" ht="15.75" customHeight="1">
      <c r="A436" s="90"/>
      <c r="B436" s="90"/>
      <c r="C436" s="90"/>
      <c r="D436" s="90"/>
      <c r="E436" s="90"/>
      <c r="F436" s="90"/>
      <c r="G436" s="90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</row>
    <row r="437" ht="15.75" customHeight="1">
      <c r="A437" s="90"/>
      <c r="B437" s="90"/>
      <c r="C437" s="90"/>
      <c r="D437" s="90"/>
      <c r="E437" s="90"/>
      <c r="F437" s="90"/>
      <c r="G437" s="90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</row>
    <row r="438" ht="15.75" customHeight="1">
      <c r="A438" s="90"/>
      <c r="B438" s="90"/>
      <c r="C438" s="90"/>
      <c r="D438" s="90"/>
      <c r="E438" s="90"/>
      <c r="F438" s="90"/>
      <c r="G438" s="90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</row>
    <row r="439" ht="15.75" customHeight="1">
      <c r="A439" s="90"/>
      <c r="B439" s="90"/>
      <c r="C439" s="90"/>
      <c r="D439" s="90"/>
      <c r="E439" s="90"/>
      <c r="F439" s="90"/>
      <c r="G439" s="90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</row>
    <row r="440" ht="15.75" customHeight="1">
      <c r="A440" s="90"/>
      <c r="B440" s="90"/>
      <c r="C440" s="90"/>
      <c r="D440" s="90"/>
      <c r="E440" s="90"/>
      <c r="F440" s="90"/>
      <c r="G440" s="90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</row>
    <row r="441" ht="15.75" customHeight="1">
      <c r="A441" s="90"/>
      <c r="B441" s="90"/>
      <c r="C441" s="90"/>
      <c r="D441" s="90"/>
      <c r="E441" s="90"/>
      <c r="F441" s="90"/>
      <c r="G441" s="90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</row>
    <row r="442" ht="15.75" customHeight="1">
      <c r="A442" s="90"/>
      <c r="B442" s="90"/>
      <c r="C442" s="90"/>
      <c r="D442" s="90"/>
      <c r="E442" s="90"/>
      <c r="F442" s="90"/>
      <c r="G442" s="90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</row>
    <row r="443" ht="15.75" customHeight="1">
      <c r="A443" s="90"/>
      <c r="B443" s="90"/>
      <c r="C443" s="90"/>
      <c r="D443" s="90"/>
      <c r="E443" s="90"/>
      <c r="F443" s="90"/>
      <c r="G443" s="90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</row>
    <row r="444" ht="15.75" customHeight="1">
      <c r="A444" s="90"/>
      <c r="B444" s="90"/>
      <c r="C444" s="90"/>
      <c r="D444" s="90"/>
      <c r="E444" s="90"/>
      <c r="F444" s="90"/>
      <c r="G444" s="90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</row>
    <row r="445" ht="15.75" customHeight="1">
      <c r="A445" s="90"/>
      <c r="B445" s="90"/>
      <c r="C445" s="90"/>
      <c r="D445" s="90"/>
      <c r="E445" s="90"/>
      <c r="F445" s="90"/>
      <c r="G445" s="90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</row>
    <row r="446" ht="15.75" customHeight="1">
      <c r="A446" s="90"/>
      <c r="B446" s="90"/>
      <c r="C446" s="90"/>
      <c r="D446" s="90"/>
      <c r="E446" s="90"/>
      <c r="F446" s="90"/>
      <c r="G446" s="90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</row>
    <row r="447" ht="15.75" customHeight="1">
      <c r="A447" s="90"/>
      <c r="B447" s="90"/>
      <c r="C447" s="90"/>
      <c r="D447" s="90"/>
      <c r="E447" s="90"/>
      <c r="F447" s="90"/>
      <c r="G447" s="90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</row>
    <row r="448" ht="15.75" customHeight="1">
      <c r="A448" s="90"/>
      <c r="B448" s="90"/>
      <c r="C448" s="90"/>
      <c r="D448" s="90"/>
      <c r="E448" s="90"/>
      <c r="F448" s="90"/>
      <c r="G448" s="90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</row>
    <row r="449" ht="15.75" customHeight="1">
      <c r="A449" s="90"/>
      <c r="B449" s="90"/>
      <c r="C449" s="90"/>
      <c r="D449" s="90"/>
      <c r="E449" s="90"/>
      <c r="F449" s="90"/>
      <c r="G449" s="90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</row>
    <row r="450" ht="15.75" customHeight="1">
      <c r="A450" s="90"/>
      <c r="B450" s="90"/>
      <c r="C450" s="90"/>
      <c r="D450" s="90"/>
      <c r="E450" s="90"/>
      <c r="F450" s="90"/>
      <c r="G450" s="90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</row>
    <row r="451" ht="15.75" customHeight="1">
      <c r="A451" s="90"/>
      <c r="B451" s="90"/>
      <c r="C451" s="90"/>
      <c r="D451" s="90"/>
      <c r="E451" s="90"/>
      <c r="F451" s="90"/>
      <c r="G451" s="90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</row>
    <row r="452" ht="15.75" customHeight="1">
      <c r="A452" s="90"/>
      <c r="B452" s="90"/>
      <c r="C452" s="90"/>
      <c r="D452" s="90"/>
      <c r="E452" s="90"/>
      <c r="F452" s="90"/>
      <c r="G452" s="90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</row>
    <row r="453" ht="15.75" customHeight="1">
      <c r="A453" s="90"/>
      <c r="B453" s="90"/>
      <c r="C453" s="90"/>
      <c r="D453" s="90"/>
      <c r="E453" s="90"/>
      <c r="F453" s="90"/>
      <c r="G453" s="90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</row>
    <row r="454" ht="15.75" customHeight="1">
      <c r="A454" s="90"/>
      <c r="B454" s="90"/>
      <c r="C454" s="90"/>
      <c r="D454" s="90"/>
      <c r="E454" s="90"/>
      <c r="F454" s="90"/>
      <c r="G454" s="90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</row>
    <row r="455" ht="15.75" customHeight="1">
      <c r="A455" s="90"/>
      <c r="B455" s="90"/>
      <c r="C455" s="90"/>
      <c r="D455" s="90"/>
      <c r="E455" s="90"/>
      <c r="F455" s="90"/>
      <c r="G455" s="90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</row>
    <row r="456" ht="15.75" customHeight="1">
      <c r="A456" s="90"/>
      <c r="B456" s="90"/>
      <c r="C456" s="90"/>
      <c r="D456" s="90"/>
      <c r="E456" s="90"/>
      <c r="F456" s="90"/>
      <c r="G456" s="90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</row>
    <row r="457" ht="15.75" customHeight="1">
      <c r="A457" s="90"/>
      <c r="B457" s="90"/>
      <c r="C457" s="90"/>
      <c r="D457" s="90"/>
      <c r="E457" s="90"/>
      <c r="F457" s="90"/>
      <c r="G457" s="90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</row>
    <row r="458" ht="15.75" customHeight="1">
      <c r="A458" s="90"/>
      <c r="B458" s="90"/>
      <c r="C458" s="90"/>
      <c r="D458" s="90"/>
      <c r="E458" s="90"/>
      <c r="F458" s="90"/>
      <c r="G458" s="90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ht="15.75" customHeight="1">
      <c r="A459" s="90"/>
      <c r="B459" s="90"/>
      <c r="C459" s="90"/>
      <c r="D459" s="90"/>
      <c r="E459" s="90"/>
      <c r="F459" s="90"/>
      <c r="G459" s="90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</row>
    <row r="460" ht="15.75" customHeight="1">
      <c r="A460" s="90"/>
      <c r="B460" s="90"/>
      <c r="C460" s="90"/>
      <c r="D460" s="90"/>
      <c r="E460" s="90"/>
      <c r="F460" s="90"/>
      <c r="G460" s="90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</row>
    <row r="461" ht="15.75" customHeight="1">
      <c r="A461" s="90"/>
      <c r="B461" s="90"/>
      <c r="C461" s="90"/>
      <c r="D461" s="90"/>
      <c r="E461" s="90"/>
      <c r="F461" s="90"/>
      <c r="G461" s="90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</row>
    <row r="462" ht="15.75" customHeight="1">
      <c r="A462" s="90"/>
      <c r="B462" s="90"/>
      <c r="C462" s="90"/>
      <c r="D462" s="90"/>
      <c r="E462" s="90"/>
      <c r="F462" s="90"/>
      <c r="G462" s="90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</row>
    <row r="463" ht="15.75" customHeight="1">
      <c r="A463" s="90"/>
      <c r="B463" s="90"/>
      <c r="C463" s="90"/>
      <c r="D463" s="90"/>
      <c r="E463" s="90"/>
      <c r="F463" s="90"/>
      <c r="G463" s="90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</row>
    <row r="464" ht="15.75" customHeight="1">
      <c r="A464" s="90"/>
      <c r="B464" s="90"/>
      <c r="C464" s="90"/>
      <c r="D464" s="90"/>
      <c r="E464" s="90"/>
      <c r="F464" s="90"/>
      <c r="G464" s="90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</row>
    <row r="465" ht="15.75" customHeight="1">
      <c r="A465" s="90"/>
      <c r="B465" s="90"/>
      <c r="C465" s="90"/>
      <c r="D465" s="90"/>
      <c r="E465" s="90"/>
      <c r="F465" s="90"/>
      <c r="G465" s="90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</row>
    <row r="466" ht="15.75" customHeight="1">
      <c r="A466" s="90"/>
      <c r="B466" s="90"/>
      <c r="C466" s="90"/>
      <c r="D466" s="90"/>
      <c r="E466" s="90"/>
      <c r="F466" s="90"/>
      <c r="G466" s="90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</row>
    <row r="467" ht="15.75" customHeight="1">
      <c r="A467" s="90"/>
      <c r="B467" s="90"/>
      <c r="C467" s="90"/>
      <c r="D467" s="90"/>
      <c r="E467" s="90"/>
      <c r="F467" s="90"/>
      <c r="G467" s="90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</row>
    <row r="468" ht="15.75" customHeight="1">
      <c r="A468" s="90"/>
      <c r="B468" s="90"/>
      <c r="C468" s="90"/>
      <c r="D468" s="90"/>
      <c r="E468" s="90"/>
      <c r="F468" s="90"/>
      <c r="G468" s="90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</row>
    <row r="469" ht="15.75" customHeight="1">
      <c r="A469" s="90"/>
      <c r="B469" s="90"/>
      <c r="C469" s="90"/>
      <c r="D469" s="90"/>
      <c r="E469" s="90"/>
      <c r="F469" s="90"/>
      <c r="G469" s="90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</row>
    <row r="470" ht="15.75" customHeight="1">
      <c r="A470" s="90"/>
      <c r="B470" s="90"/>
      <c r="C470" s="90"/>
      <c r="D470" s="90"/>
      <c r="E470" s="90"/>
      <c r="F470" s="90"/>
      <c r="G470" s="90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</row>
    <row r="471" ht="15.75" customHeight="1">
      <c r="A471" s="90"/>
      <c r="B471" s="90"/>
      <c r="C471" s="90"/>
      <c r="D471" s="90"/>
      <c r="E471" s="90"/>
      <c r="F471" s="90"/>
      <c r="G471" s="90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</row>
    <row r="472" ht="15.75" customHeight="1">
      <c r="A472" s="90"/>
      <c r="B472" s="90"/>
      <c r="C472" s="90"/>
      <c r="D472" s="90"/>
      <c r="E472" s="90"/>
      <c r="F472" s="90"/>
      <c r="G472" s="90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</row>
    <row r="473" ht="15.75" customHeight="1">
      <c r="A473" s="90"/>
      <c r="B473" s="90"/>
      <c r="C473" s="90"/>
      <c r="D473" s="90"/>
      <c r="E473" s="90"/>
      <c r="F473" s="90"/>
      <c r="G473" s="90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</row>
    <row r="474" ht="15.75" customHeight="1">
      <c r="A474" s="90"/>
      <c r="B474" s="90"/>
      <c r="C474" s="90"/>
      <c r="D474" s="90"/>
      <c r="E474" s="90"/>
      <c r="F474" s="90"/>
      <c r="G474" s="90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</row>
    <row r="475" ht="15.75" customHeight="1">
      <c r="A475" s="90"/>
      <c r="B475" s="90"/>
      <c r="C475" s="90"/>
      <c r="D475" s="90"/>
      <c r="E475" s="90"/>
      <c r="F475" s="90"/>
      <c r="G475" s="90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</row>
    <row r="476" ht="15.75" customHeight="1">
      <c r="A476" s="90"/>
      <c r="B476" s="90"/>
      <c r="C476" s="90"/>
      <c r="D476" s="90"/>
      <c r="E476" s="90"/>
      <c r="F476" s="90"/>
      <c r="G476" s="90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</row>
    <row r="477" ht="15.75" customHeight="1">
      <c r="A477" s="90"/>
      <c r="B477" s="90"/>
      <c r="C477" s="90"/>
      <c r="D477" s="90"/>
      <c r="E477" s="90"/>
      <c r="F477" s="90"/>
      <c r="G477" s="90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</row>
    <row r="478" ht="15.75" customHeight="1">
      <c r="A478" s="90"/>
      <c r="B478" s="90"/>
      <c r="C478" s="90"/>
      <c r="D478" s="90"/>
      <c r="E478" s="90"/>
      <c r="F478" s="90"/>
      <c r="G478" s="90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</row>
    <row r="479" ht="15.75" customHeight="1">
      <c r="A479" s="90"/>
      <c r="B479" s="90"/>
      <c r="C479" s="90"/>
      <c r="D479" s="90"/>
      <c r="E479" s="90"/>
      <c r="F479" s="90"/>
      <c r="G479" s="90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</row>
    <row r="480" ht="15.75" customHeight="1">
      <c r="A480" s="90"/>
      <c r="B480" s="90"/>
      <c r="C480" s="90"/>
      <c r="D480" s="90"/>
      <c r="E480" s="90"/>
      <c r="F480" s="90"/>
      <c r="G480" s="90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</row>
    <row r="481" ht="15.75" customHeight="1">
      <c r="A481" s="90"/>
      <c r="B481" s="90"/>
      <c r="C481" s="90"/>
      <c r="D481" s="90"/>
      <c r="E481" s="90"/>
      <c r="F481" s="90"/>
      <c r="G481" s="90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</row>
    <row r="482" ht="15.75" customHeight="1">
      <c r="A482" s="90"/>
      <c r="B482" s="90"/>
      <c r="C482" s="90"/>
      <c r="D482" s="90"/>
      <c r="E482" s="90"/>
      <c r="F482" s="90"/>
      <c r="G482" s="90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</row>
    <row r="483" ht="15.75" customHeight="1">
      <c r="A483" s="90"/>
      <c r="B483" s="90"/>
      <c r="C483" s="90"/>
      <c r="D483" s="90"/>
      <c r="E483" s="90"/>
      <c r="F483" s="90"/>
      <c r="G483" s="90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</row>
    <row r="484" ht="15.75" customHeight="1">
      <c r="A484" s="90"/>
      <c r="B484" s="90"/>
      <c r="C484" s="90"/>
      <c r="D484" s="90"/>
      <c r="E484" s="90"/>
      <c r="F484" s="90"/>
      <c r="G484" s="90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</row>
    <row r="485" ht="15.75" customHeight="1">
      <c r="A485" s="90"/>
      <c r="B485" s="90"/>
      <c r="C485" s="90"/>
      <c r="D485" s="90"/>
      <c r="E485" s="90"/>
      <c r="F485" s="90"/>
      <c r="G485" s="90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</row>
    <row r="486" ht="15.75" customHeight="1">
      <c r="A486" s="90"/>
      <c r="B486" s="90"/>
      <c r="C486" s="90"/>
      <c r="D486" s="90"/>
      <c r="E486" s="90"/>
      <c r="F486" s="90"/>
      <c r="G486" s="90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</row>
    <row r="487" ht="15.75" customHeight="1">
      <c r="A487" s="90"/>
      <c r="B487" s="90"/>
      <c r="C487" s="90"/>
      <c r="D487" s="90"/>
      <c r="E487" s="90"/>
      <c r="F487" s="90"/>
      <c r="G487" s="90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</row>
    <row r="488" ht="15.75" customHeight="1">
      <c r="A488" s="90"/>
      <c r="B488" s="90"/>
      <c r="C488" s="90"/>
      <c r="D488" s="90"/>
      <c r="E488" s="90"/>
      <c r="F488" s="90"/>
      <c r="G488" s="90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</row>
    <row r="489" ht="15.75" customHeight="1">
      <c r="A489" s="90"/>
      <c r="B489" s="90"/>
      <c r="C489" s="90"/>
      <c r="D489" s="90"/>
      <c r="E489" s="90"/>
      <c r="F489" s="90"/>
      <c r="G489" s="90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</row>
    <row r="490" ht="15.75" customHeight="1">
      <c r="A490" s="90"/>
      <c r="B490" s="90"/>
      <c r="C490" s="90"/>
      <c r="D490" s="90"/>
      <c r="E490" s="90"/>
      <c r="F490" s="90"/>
      <c r="G490" s="90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</row>
    <row r="491" ht="15.75" customHeight="1">
      <c r="A491" s="90"/>
      <c r="B491" s="90"/>
      <c r="C491" s="90"/>
      <c r="D491" s="90"/>
      <c r="E491" s="90"/>
      <c r="F491" s="90"/>
      <c r="G491" s="90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</row>
    <row r="492" ht="15.75" customHeight="1">
      <c r="A492" s="90"/>
      <c r="B492" s="90"/>
      <c r="C492" s="90"/>
      <c r="D492" s="90"/>
      <c r="E492" s="90"/>
      <c r="F492" s="90"/>
      <c r="G492" s="90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</row>
    <row r="493" ht="15.75" customHeight="1">
      <c r="A493" s="90"/>
      <c r="B493" s="90"/>
      <c r="C493" s="90"/>
      <c r="D493" s="90"/>
      <c r="E493" s="90"/>
      <c r="F493" s="90"/>
      <c r="G493" s="90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</row>
    <row r="494" ht="15.75" customHeight="1">
      <c r="A494" s="90"/>
      <c r="B494" s="90"/>
      <c r="C494" s="90"/>
      <c r="D494" s="90"/>
      <c r="E494" s="90"/>
      <c r="F494" s="90"/>
      <c r="G494" s="90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</row>
    <row r="495" ht="15.75" customHeight="1">
      <c r="A495" s="90"/>
      <c r="B495" s="90"/>
      <c r="C495" s="90"/>
      <c r="D495" s="90"/>
      <c r="E495" s="90"/>
      <c r="F495" s="90"/>
      <c r="G495" s="90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</row>
    <row r="496" ht="15.75" customHeight="1">
      <c r="A496" s="90"/>
      <c r="B496" s="90"/>
      <c r="C496" s="90"/>
      <c r="D496" s="90"/>
      <c r="E496" s="90"/>
      <c r="F496" s="90"/>
      <c r="G496" s="90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</row>
    <row r="497" ht="15.75" customHeight="1">
      <c r="A497" s="90"/>
      <c r="B497" s="90"/>
      <c r="C497" s="90"/>
      <c r="D497" s="90"/>
      <c r="E497" s="90"/>
      <c r="F497" s="90"/>
      <c r="G497" s="90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</row>
    <row r="498" ht="15.75" customHeight="1">
      <c r="A498" s="90"/>
      <c r="B498" s="90"/>
      <c r="C498" s="90"/>
      <c r="D498" s="90"/>
      <c r="E498" s="90"/>
      <c r="F498" s="90"/>
      <c r="G498" s="90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</row>
    <row r="499" ht="15.75" customHeight="1">
      <c r="A499" s="90"/>
      <c r="B499" s="90"/>
      <c r="C499" s="90"/>
      <c r="D499" s="90"/>
      <c r="E499" s="90"/>
      <c r="F499" s="90"/>
      <c r="G499" s="90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</row>
    <row r="500" ht="15.75" customHeight="1">
      <c r="A500" s="90"/>
      <c r="B500" s="90"/>
      <c r="C500" s="90"/>
      <c r="D500" s="90"/>
      <c r="E500" s="90"/>
      <c r="F500" s="90"/>
      <c r="G500" s="90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</row>
    <row r="501" ht="15.75" customHeight="1">
      <c r="A501" s="90"/>
      <c r="B501" s="90"/>
      <c r="C501" s="90"/>
      <c r="D501" s="90"/>
      <c r="E501" s="90"/>
      <c r="F501" s="90"/>
      <c r="G501" s="90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</row>
    <row r="502" ht="15.75" customHeight="1">
      <c r="A502" s="90"/>
      <c r="B502" s="90"/>
      <c r="C502" s="90"/>
      <c r="D502" s="90"/>
      <c r="E502" s="90"/>
      <c r="F502" s="90"/>
      <c r="G502" s="90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</row>
    <row r="503" ht="15.75" customHeight="1">
      <c r="A503" s="90"/>
      <c r="B503" s="90"/>
      <c r="C503" s="90"/>
      <c r="D503" s="90"/>
      <c r="E503" s="90"/>
      <c r="F503" s="90"/>
      <c r="G503" s="90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</row>
    <row r="504" ht="15.75" customHeight="1">
      <c r="A504" s="90"/>
      <c r="B504" s="90"/>
      <c r="C504" s="90"/>
      <c r="D504" s="90"/>
      <c r="E504" s="90"/>
      <c r="F504" s="90"/>
      <c r="G504" s="90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</row>
    <row r="505" ht="15.75" customHeight="1">
      <c r="A505" s="90"/>
      <c r="B505" s="90"/>
      <c r="C505" s="90"/>
      <c r="D505" s="90"/>
      <c r="E505" s="90"/>
      <c r="F505" s="90"/>
      <c r="G505" s="90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</row>
    <row r="506" ht="15.75" customHeight="1">
      <c r="A506" s="90"/>
      <c r="B506" s="90"/>
      <c r="C506" s="90"/>
      <c r="D506" s="90"/>
      <c r="E506" s="90"/>
      <c r="F506" s="90"/>
      <c r="G506" s="90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</row>
    <row r="507" ht="15.75" customHeight="1">
      <c r="A507" s="90"/>
      <c r="B507" s="90"/>
      <c r="C507" s="90"/>
      <c r="D507" s="90"/>
      <c r="E507" s="90"/>
      <c r="F507" s="90"/>
      <c r="G507" s="90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</row>
    <row r="508" ht="15.75" customHeight="1">
      <c r="A508" s="90"/>
      <c r="B508" s="90"/>
      <c r="C508" s="90"/>
      <c r="D508" s="90"/>
      <c r="E508" s="90"/>
      <c r="F508" s="90"/>
      <c r="G508" s="90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</row>
    <row r="509" ht="15.75" customHeight="1">
      <c r="A509" s="90"/>
      <c r="B509" s="90"/>
      <c r="C509" s="90"/>
      <c r="D509" s="90"/>
      <c r="E509" s="90"/>
      <c r="F509" s="90"/>
      <c r="G509" s="90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</row>
    <row r="510" ht="15.75" customHeight="1">
      <c r="A510" s="90"/>
      <c r="B510" s="90"/>
      <c r="C510" s="90"/>
      <c r="D510" s="90"/>
      <c r="E510" s="90"/>
      <c r="F510" s="90"/>
      <c r="G510" s="90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</row>
    <row r="511" ht="15.75" customHeight="1">
      <c r="A511" s="90"/>
      <c r="B511" s="90"/>
      <c r="C511" s="90"/>
      <c r="D511" s="90"/>
      <c r="E511" s="90"/>
      <c r="F511" s="90"/>
      <c r="G511" s="90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</row>
    <row r="512" ht="15.75" customHeight="1">
      <c r="A512" s="90"/>
      <c r="B512" s="90"/>
      <c r="C512" s="90"/>
      <c r="D512" s="90"/>
      <c r="E512" s="90"/>
      <c r="F512" s="90"/>
      <c r="G512" s="90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</row>
    <row r="513" ht="15.75" customHeight="1">
      <c r="A513" s="90"/>
      <c r="B513" s="90"/>
      <c r="C513" s="90"/>
      <c r="D513" s="90"/>
      <c r="E513" s="90"/>
      <c r="F513" s="90"/>
      <c r="G513" s="90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</row>
    <row r="514" ht="15.75" customHeight="1">
      <c r="A514" s="90"/>
      <c r="B514" s="90"/>
      <c r="C514" s="90"/>
      <c r="D514" s="90"/>
      <c r="E514" s="90"/>
      <c r="F514" s="90"/>
      <c r="G514" s="90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</row>
    <row r="515" ht="15.75" customHeight="1">
      <c r="A515" s="90"/>
      <c r="B515" s="90"/>
      <c r="C515" s="90"/>
      <c r="D515" s="90"/>
      <c r="E515" s="90"/>
      <c r="F515" s="90"/>
      <c r="G515" s="90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2:$G$308"/>
  <mergeCells count="1">
    <mergeCell ref="A1:C1"/>
  </mergeCells>
  <dataValidations>
    <dataValidation type="list" allowBlank="1" sqref="K3:K308">
      <formula1>"Baru,Bekas,Rusak,Diperbaiki"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12.0"/>
    <col customWidth="1" min="6" max="6" width="22.0"/>
    <col customWidth="1" min="7" max="7" width="12.0"/>
  </cols>
  <sheetData>
    <row r="1" ht="15.0" customHeight="1">
      <c r="A1" s="47"/>
      <c r="B1" s="47"/>
      <c r="C1" s="47"/>
      <c r="D1" s="47"/>
      <c r="E1" s="47"/>
      <c r="F1" s="47"/>
      <c r="G1" s="47"/>
    </row>
    <row r="2" ht="15.0" customHeight="1">
      <c r="A2" s="72" t="s">
        <v>144</v>
      </c>
      <c r="B2" s="72" t="s">
        <v>1733</v>
      </c>
      <c r="C2" s="72" t="s">
        <v>1589</v>
      </c>
      <c r="D2" s="72" t="s">
        <v>1734</v>
      </c>
      <c r="E2" s="72" t="s">
        <v>157</v>
      </c>
      <c r="F2" s="72" t="s">
        <v>1735</v>
      </c>
      <c r="G2" s="92" t="s">
        <v>1736</v>
      </c>
    </row>
    <row r="3" ht="15.0" customHeight="1">
      <c r="A3" s="177">
        <v>1.0</v>
      </c>
      <c r="B3" s="177" t="s">
        <v>1737</v>
      </c>
      <c r="C3" s="177" t="s">
        <v>1738</v>
      </c>
      <c r="D3" s="177">
        <v>10.0</v>
      </c>
      <c r="E3" s="178">
        <v>90000.0</v>
      </c>
      <c r="F3" s="177" t="s">
        <v>1739</v>
      </c>
      <c r="G3" s="179">
        <f>COUNTIF('2_Data_Pelanggan'!$L:$L,C3)</f>
        <v>0</v>
      </c>
    </row>
    <row r="4" ht="15.0" customHeight="1">
      <c r="A4" s="177">
        <v>2.0</v>
      </c>
      <c r="B4" s="177" t="s">
        <v>1740</v>
      </c>
      <c r="C4" s="177" t="s">
        <v>221</v>
      </c>
      <c r="D4" s="177">
        <v>20.0</v>
      </c>
      <c r="E4" s="178">
        <v>115000.0</v>
      </c>
      <c r="F4" s="177" t="s">
        <v>1741</v>
      </c>
      <c r="G4" s="179">
        <f>COUNTIF('2_Data_Pelanggan'!$L:$L,C4)</f>
        <v>141</v>
      </c>
    </row>
    <row r="5" ht="15.0" customHeight="1">
      <c r="A5" s="177">
        <v>3.0</v>
      </c>
      <c r="B5" s="177" t="s">
        <v>1742</v>
      </c>
      <c r="C5" s="177" t="s">
        <v>212</v>
      </c>
      <c r="D5" s="177">
        <v>30.0</v>
      </c>
      <c r="E5" s="178">
        <v>142000.0</v>
      </c>
      <c r="F5" s="177" t="s">
        <v>1743</v>
      </c>
      <c r="G5" s="179">
        <f>COUNTIF('2_Data_Pelanggan'!$L:$L,C5)</f>
        <v>29</v>
      </c>
    </row>
    <row r="6" ht="15.0" customHeight="1">
      <c r="A6" s="177">
        <v>4.0</v>
      </c>
      <c r="B6" s="177" t="s">
        <v>1744</v>
      </c>
      <c r="C6" s="177" t="s">
        <v>202</v>
      </c>
      <c r="D6" s="177">
        <v>50.0</v>
      </c>
      <c r="E6" s="178">
        <v>182000.0</v>
      </c>
      <c r="F6" s="177" t="s">
        <v>1745</v>
      </c>
      <c r="G6" s="179">
        <f>COUNTIF('2_Data_Pelanggan'!$L:$L,C6)</f>
        <v>7</v>
      </c>
    </row>
    <row r="7" ht="15.0" customHeight="1">
      <c r="A7" s="177">
        <v>5.0</v>
      </c>
      <c r="B7" s="177" t="s">
        <v>1746</v>
      </c>
      <c r="C7" s="177" t="s">
        <v>846</v>
      </c>
      <c r="D7" s="177">
        <v>75.0</v>
      </c>
      <c r="E7" s="178">
        <v>260000.0</v>
      </c>
      <c r="F7" s="177" t="s">
        <v>1747</v>
      </c>
      <c r="G7" s="179">
        <f>COUNTIF('2_Data_Pelanggan'!$L:$L,C7)</f>
        <v>3</v>
      </c>
    </row>
    <row r="8" ht="15.0" customHeight="1">
      <c r="A8" s="177">
        <v>6.0</v>
      </c>
      <c r="B8" s="177" t="s">
        <v>1748</v>
      </c>
      <c r="C8" s="177" t="s">
        <v>195</v>
      </c>
      <c r="D8" s="177">
        <v>100.0</v>
      </c>
      <c r="E8" s="178">
        <v>330000.0</v>
      </c>
      <c r="F8" s="177" t="s">
        <v>1749</v>
      </c>
      <c r="G8" s="179">
        <f>COUNTIF('2_Data_Pelanggan'!$L:$L,C8)</f>
        <v>1</v>
      </c>
    </row>
    <row r="9" ht="15.0" customHeight="1">
      <c r="A9" s="177">
        <v>7.0</v>
      </c>
      <c r="B9" s="177" t="s">
        <v>1750</v>
      </c>
      <c r="C9" s="177" t="s">
        <v>1751</v>
      </c>
      <c r="D9" s="177">
        <v>150.0</v>
      </c>
      <c r="E9" s="178">
        <v>490000.0</v>
      </c>
      <c r="F9" s="177"/>
      <c r="G9" s="179">
        <f>COUNTIF('2_Data_Pelanggan'!$L:$L,C9)</f>
        <v>0</v>
      </c>
    </row>
    <row r="10" ht="15.0" customHeight="1">
      <c r="A10" s="177">
        <v>8.0</v>
      </c>
      <c r="B10" s="177" t="s">
        <v>1752</v>
      </c>
      <c r="C10" s="177" t="s">
        <v>1753</v>
      </c>
      <c r="D10" s="177">
        <v>200.0</v>
      </c>
      <c r="E10" s="178">
        <v>650000.0</v>
      </c>
      <c r="F10" s="177"/>
      <c r="G10" s="179">
        <f>COUNTIF('2_Data_Pelanggan'!$L:$L,C10)</f>
        <v>0</v>
      </c>
    </row>
    <row r="11" ht="15.0" customHeight="1">
      <c r="A11" s="180">
        <v>9.0</v>
      </c>
      <c r="B11" s="180" t="s">
        <v>1754</v>
      </c>
      <c r="C11" s="180" t="s">
        <v>1755</v>
      </c>
      <c r="D11" s="180">
        <v>10.0</v>
      </c>
      <c r="E11" s="181">
        <v>350000.0</v>
      </c>
      <c r="F11" s="180"/>
      <c r="G11" s="179">
        <f>COUNTIF('2_Data_Pelanggan'!$L:$L,C11)</f>
        <v>0</v>
      </c>
    </row>
    <row r="12" ht="15.0" customHeight="1">
      <c r="A12" s="180">
        <v>10.0</v>
      </c>
      <c r="B12" s="180" t="s">
        <v>1756</v>
      </c>
      <c r="C12" s="180" t="s">
        <v>1757</v>
      </c>
      <c r="D12" s="180">
        <v>20.0</v>
      </c>
      <c r="E12" s="181">
        <v>500000.0</v>
      </c>
      <c r="F12" s="180"/>
      <c r="G12" s="179">
        <f>COUNTIF('2_Data_Pelanggan'!$L:$L,C12)</f>
        <v>0</v>
      </c>
    </row>
    <row r="13" ht="15.0" customHeight="1">
      <c r="A13" s="180">
        <v>11.0</v>
      </c>
      <c r="B13" s="180" t="s">
        <v>1758</v>
      </c>
      <c r="C13" s="180" t="s">
        <v>1759</v>
      </c>
      <c r="D13" s="180">
        <v>30.0</v>
      </c>
      <c r="E13" s="181">
        <v>750000.0</v>
      </c>
      <c r="F13" s="180"/>
      <c r="G13" s="179">
        <f>COUNTIF('2_Data_Pelanggan'!$L:$L,C13)</f>
        <v>0</v>
      </c>
    </row>
    <row r="14" ht="15.0" customHeight="1">
      <c r="A14" s="180">
        <v>12.0</v>
      </c>
      <c r="B14" s="180" t="s">
        <v>1760</v>
      </c>
      <c r="C14" s="180" t="s">
        <v>1761</v>
      </c>
      <c r="D14" s="180">
        <v>40.0</v>
      </c>
      <c r="E14" s="181">
        <v>1000000.0</v>
      </c>
      <c r="F14" s="180"/>
      <c r="G14" s="179">
        <f>COUNTIF('2_Data_Pelanggan'!$L:$L,C14)</f>
        <v>0</v>
      </c>
    </row>
    <row r="15" ht="15.0" customHeight="1">
      <c r="A15" s="180">
        <v>13.0</v>
      </c>
      <c r="B15" s="180" t="s">
        <v>1762</v>
      </c>
      <c r="C15" s="180" t="s">
        <v>1763</v>
      </c>
      <c r="D15" s="180">
        <v>50.0</v>
      </c>
      <c r="E15" s="181">
        <v>1150000.0</v>
      </c>
      <c r="F15" s="180"/>
      <c r="G15" s="179">
        <f>COUNTIF('2_Data_Pelanggan'!$L:$L,C15)</f>
        <v>0</v>
      </c>
    </row>
    <row r="16" ht="15.0" customHeight="1">
      <c r="A16" s="180">
        <v>14.0</v>
      </c>
      <c r="B16" s="180" t="s">
        <v>1764</v>
      </c>
      <c r="C16" s="180" t="s">
        <v>1765</v>
      </c>
      <c r="D16" s="180">
        <v>100.0</v>
      </c>
      <c r="E16" s="181">
        <v>2250000.0</v>
      </c>
      <c r="F16" s="180"/>
      <c r="G16" s="179">
        <f>COUNTIF('2_Data_Pelanggan'!$L:$L,C16)</f>
        <v>0</v>
      </c>
    </row>
    <row r="17" ht="15.0" customHeight="1">
      <c r="A17" s="180">
        <v>15.0</v>
      </c>
      <c r="B17" s="180" t="s">
        <v>1766</v>
      </c>
      <c r="C17" s="180" t="s">
        <v>1767</v>
      </c>
      <c r="D17" s="180">
        <v>150.0</v>
      </c>
      <c r="E17" s="181">
        <v>3750000.0</v>
      </c>
      <c r="F17" s="180"/>
      <c r="G17" s="179">
        <f>COUNTIF('2_Data_Pelanggan'!$L:$L,C17)</f>
        <v>0</v>
      </c>
    </row>
    <row r="18" ht="15.0" customHeight="1">
      <c r="A18" s="182"/>
      <c r="B18" s="182"/>
      <c r="C18" s="182"/>
      <c r="D18" s="182"/>
      <c r="E18" s="183"/>
      <c r="F18" s="182"/>
      <c r="G18" s="47"/>
    </row>
    <row r="19" ht="15.0" customHeight="1">
      <c r="A19" s="47"/>
      <c r="B19" s="47"/>
      <c r="C19" s="47"/>
      <c r="D19" s="47"/>
      <c r="E19" s="184"/>
      <c r="F19" s="47"/>
      <c r="G19" s="47"/>
    </row>
    <row r="20" ht="15.0" customHeight="1">
      <c r="A20" s="47"/>
      <c r="B20" s="47"/>
      <c r="C20" s="47"/>
      <c r="D20" s="47"/>
      <c r="E20" s="184"/>
      <c r="F20" s="47"/>
      <c r="G20" s="47"/>
    </row>
    <row r="21" ht="15.75" customHeight="1">
      <c r="A21" s="47"/>
      <c r="B21" s="47"/>
      <c r="C21" s="47"/>
      <c r="D21" s="47"/>
      <c r="E21" s="47"/>
      <c r="F21" s="47"/>
      <c r="G21" s="47"/>
    </row>
    <row r="22" ht="15.75" customHeight="1">
      <c r="A22" s="47"/>
      <c r="B22" s="47"/>
      <c r="C22" s="47"/>
      <c r="D22" s="47"/>
      <c r="E22" s="47"/>
      <c r="F22" s="47"/>
      <c r="G22" s="47"/>
    </row>
    <row r="23" ht="15.75" customHeight="1">
      <c r="A23" s="47"/>
      <c r="B23" s="47"/>
      <c r="C23" s="47"/>
      <c r="D23" s="47"/>
      <c r="E23" s="47"/>
      <c r="F23" s="47"/>
      <c r="G23" s="47"/>
    </row>
    <row r="24" ht="15.75" customHeight="1">
      <c r="A24" s="47"/>
      <c r="B24" s="47"/>
      <c r="C24" s="47"/>
      <c r="D24" s="47"/>
      <c r="E24" s="47"/>
      <c r="F24" s="47"/>
      <c r="G24" s="47"/>
    </row>
    <row r="25" ht="15.75" customHeight="1">
      <c r="A25" s="47"/>
      <c r="B25" s="47"/>
      <c r="C25" s="47"/>
      <c r="D25" s="47"/>
      <c r="E25" s="47"/>
      <c r="F25" s="47"/>
      <c r="G25" s="47"/>
    </row>
    <row r="26" ht="15.75" customHeight="1">
      <c r="A26" s="47"/>
      <c r="B26" s="47"/>
      <c r="C26" s="47"/>
      <c r="D26" s="47"/>
      <c r="E26" s="47"/>
      <c r="F26" s="47"/>
      <c r="G26" s="47"/>
    </row>
    <row r="27" ht="15.75" customHeight="1">
      <c r="A27" s="47"/>
      <c r="B27" s="47"/>
      <c r="C27" s="47"/>
      <c r="D27" s="47"/>
      <c r="E27" s="47"/>
      <c r="F27" s="47"/>
      <c r="G27" s="47"/>
    </row>
    <row r="28" ht="15.75" customHeight="1">
      <c r="A28" s="47"/>
      <c r="B28" s="47"/>
      <c r="C28" s="47"/>
      <c r="D28" s="47"/>
      <c r="E28" s="47"/>
      <c r="F28" s="47"/>
      <c r="G28" s="47"/>
    </row>
    <row r="29" ht="15.75" customHeight="1">
      <c r="A29" s="47"/>
      <c r="B29" s="47"/>
      <c r="C29" s="47"/>
      <c r="D29" s="47"/>
      <c r="E29" s="47"/>
      <c r="F29" s="47"/>
      <c r="G29" s="47"/>
    </row>
    <row r="30" ht="15.75" customHeight="1">
      <c r="A30" s="47"/>
      <c r="B30" s="47"/>
      <c r="C30" s="47"/>
      <c r="D30" s="47"/>
      <c r="E30" s="47"/>
      <c r="F30" s="47"/>
      <c r="G30" s="47"/>
    </row>
    <row r="31" ht="15.75" customHeight="1">
      <c r="A31" s="47"/>
      <c r="B31" s="47"/>
      <c r="C31" s="47"/>
      <c r="D31" s="47"/>
      <c r="E31" s="47"/>
      <c r="F31" s="47"/>
      <c r="G31" s="47"/>
    </row>
    <row r="32" ht="15.75" customHeight="1">
      <c r="A32" s="47"/>
      <c r="B32" s="47"/>
      <c r="C32" s="47"/>
      <c r="D32" s="47"/>
      <c r="E32" s="47"/>
      <c r="F32" s="47"/>
      <c r="G32" s="47"/>
    </row>
    <row r="33" ht="15.75" customHeight="1">
      <c r="A33" s="47"/>
      <c r="B33" s="47"/>
      <c r="C33" s="47"/>
      <c r="D33" s="47"/>
      <c r="E33" s="47"/>
      <c r="F33" s="47"/>
      <c r="G33" s="47"/>
    </row>
    <row r="34" ht="15.75" customHeight="1">
      <c r="A34" s="47"/>
      <c r="B34" s="47"/>
      <c r="C34" s="47"/>
      <c r="D34" s="47"/>
      <c r="E34" s="47"/>
      <c r="F34" s="47"/>
      <c r="G34" s="47"/>
    </row>
    <row r="35" ht="15.75" customHeight="1">
      <c r="A35" s="47"/>
      <c r="B35" s="47"/>
      <c r="C35" s="47"/>
      <c r="D35" s="47"/>
      <c r="E35" s="47"/>
      <c r="F35" s="47"/>
      <c r="G35" s="47"/>
    </row>
    <row r="36" ht="15.75" customHeight="1">
      <c r="A36" s="47"/>
      <c r="B36" s="47"/>
      <c r="C36" s="47"/>
      <c r="D36" s="47"/>
      <c r="E36" s="47"/>
      <c r="F36" s="47"/>
      <c r="G36" s="47"/>
    </row>
    <row r="37" ht="15.75" customHeight="1">
      <c r="A37" s="47"/>
      <c r="B37" s="47"/>
      <c r="C37" s="47"/>
      <c r="D37" s="47"/>
      <c r="E37" s="47"/>
      <c r="F37" s="47"/>
      <c r="G37" s="47"/>
    </row>
    <row r="38" ht="15.75" customHeight="1">
      <c r="A38" s="47"/>
      <c r="B38" s="47"/>
      <c r="C38" s="47"/>
      <c r="D38" s="47"/>
      <c r="E38" s="47"/>
      <c r="F38" s="47"/>
      <c r="G38" s="47"/>
    </row>
    <row r="39" ht="15.75" customHeight="1">
      <c r="A39" s="47"/>
      <c r="B39" s="47"/>
      <c r="C39" s="47"/>
      <c r="D39" s="47"/>
      <c r="E39" s="47"/>
      <c r="F39" s="47"/>
      <c r="G39" s="47"/>
    </row>
    <row r="40" ht="15.75" customHeight="1">
      <c r="A40" s="47"/>
      <c r="B40" s="47"/>
      <c r="C40" s="47"/>
      <c r="D40" s="47"/>
      <c r="E40" s="47"/>
      <c r="F40" s="47"/>
      <c r="G40" s="47"/>
    </row>
    <row r="41" ht="15.75" customHeight="1">
      <c r="A41" s="47"/>
      <c r="B41" s="47"/>
      <c r="C41" s="47"/>
      <c r="D41" s="47"/>
      <c r="E41" s="47"/>
      <c r="F41" s="47"/>
      <c r="G41" s="47"/>
    </row>
    <row r="42" ht="15.75" customHeight="1">
      <c r="A42" s="47"/>
      <c r="B42" s="47"/>
      <c r="C42" s="47"/>
      <c r="D42" s="47"/>
      <c r="E42" s="47"/>
      <c r="F42" s="47"/>
      <c r="G42" s="47"/>
    </row>
    <row r="43" ht="15.75" customHeight="1">
      <c r="A43" s="47"/>
      <c r="B43" s="47"/>
      <c r="C43" s="47"/>
      <c r="D43" s="47"/>
      <c r="E43" s="47"/>
      <c r="F43" s="47"/>
      <c r="G43" s="47"/>
    </row>
    <row r="44" ht="15.75" customHeight="1">
      <c r="A44" s="47"/>
      <c r="B44" s="47"/>
      <c r="C44" s="47"/>
      <c r="D44" s="47"/>
      <c r="E44" s="47"/>
      <c r="F44" s="47"/>
      <c r="G44" s="47"/>
    </row>
    <row r="45" ht="15.75" customHeight="1">
      <c r="A45" s="47"/>
      <c r="B45" s="47"/>
      <c r="C45" s="47"/>
      <c r="D45" s="47"/>
      <c r="E45" s="47"/>
      <c r="F45" s="47"/>
      <c r="G45" s="47"/>
    </row>
    <row r="46" ht="15.75" customHeight="1">
      <c r="A46" s="47"/>
      <c r="B46" s="47"/>
      <c r="C46" s="47"/>
      <c r="D46" s="47"/>
      <c r="E46" s="47"/>
      <c r="F46" s="47"/>
      <c r="G46" s="47"/>
    </row>
    <row r="47" ht="15.75" customHeight="1">
      <c r="A47" s="47"/>
      <c r="B47" s="47"/>
      <c r="C47" s="47"/>
      <c r="D47" s="47"/>
      <c r="E47" s="47"/>
      <c r="F47" s="47"/>
      <c r="G47" s="47"/>
    </row>
    <row r="48" ht="15.75" customHeight="1">
      <c r="A48" s="47"/>
      <c r="B48" s="47"/>
      <c r="C48" s="47"/>
      <c r="D48" s="47"/>
      <c r="E48" s="47"/>
      <c r="F48" s="47"/>
      <c r="G48" s="47"/>
    </row>
    <row r="49" ht="15.75" customHeight="1">
      <c r="A49" s="47"/>
      <c r="B49" s="47"/>
      <c r="C49" s="47"/>
      <c r="D49" s="47"/>
      <c r="E49" s="47"/>
      <c r="F49" s="47"/>
      <c r="G49" s="47"/>
    </row>
    <row r="50" ht="15.75" customHeight="1">
      <c r="A50" s="47"/>
      <c r="B50" s="47"/>
      <c r="C50" s="47"/>
      <c r="D50" s="47"/>
      <c r="E50" s="47"/>
      <c r="F50" s="47"/>
      <c r="G50" s="47"/>
    </row>
    <row r="51" ht="15.75" customHeight="1">
      <c r="A51" s="47"/>
      <c r="B51" s="47"/>
      <c r="C51" s="47"/>
      <c r="D51" s="47"/>
      <c r="E51" s="47"/>
      <c r="F51" s="47"/>
      <c r="G51" s="47"/>
    </row>
    <row r="52" ht="15.75" customHeight="1">
      <c r="A52" s="47"/>
      <c r="B52" s="47"/>
      <c r="C52" s="47"/>
      <c r="D52" s="47"/>
      <c r="E52" s="47"/>
      <c r="F52" s="47"/>
      <c r="G52" s="47"/>
    </row>
    <row r="53" ht="15.75" customHeight="1">
      <c r="A53" s="47"/>
      <c r="B53" s="47"/>
      <c r="C53" s="47"/>
      <c r="D53" s="47"/>
      <c r="E53" s="47"/>
      <c r="F53" s="47"/>
      <c r="G53" s="47"/>
    </row>
    <row r="54" ht="15.75" customHeight="1">
      <c r="A54" s="47"/>
      <c r="B54" s="47"/>
      <c r="C54" s="47"/>
      <c r="D54" s="47"/>
      <c r="E54" s="47"/>
      <c r="F54" s="47"/>
      <c r="G54" s="47"/>
    </row>
    <row r="55" ht="15.75" customHeight="1">
      <c r="A55" s="47"/>
      <c r="B55" s="47"/>
      <c r="C55" s="47"/>
      <c r="D55" s="47"/>
      <c r="E55" s="47"/>
      <c r="F55" s="47"/>
      <c r="G55" s="47"/>
    </row>
    <row r="56" ht="15.75" customHeight="1">
      <c r="A56" s="47"/>
      <c r="B56" s="47"/>
      <c r="C56" s="47"/>
      <c r="D56" s="47"/>
      <c r="E56" s="47"/>
      <c r="F56" s="47"/>
      <c r="G56" s="47"/>
    </row>
    <row r="57" ht="15.75" customHeight="1">
      <c r="A57" s="47"/>
      <c r="B57" s="47"/>
      <c r="C57" s="47"/>
      <c r="D57" s="47"/>
      <c r="E57" s="47"/>
      <c r="F57" s="47"/>
      <c r="G57" s="47"/>
    </row>
    <row r="58" ht="15.75" customHeight="1">
      <c r="A58" s="47"/>
      <c r="B58" s="47"/>
      <c r="C58" s="47"/>
      <c r="D58" s="47"/>
      <c r="E58" s="47"/>
      <c r="F58" s="47"/>
      <c r="G58" s="47"/>
    </row>
    <row r="59" ht="15.75" customHeight="1">
      <c r="A59" s="47"/>
      <c r="B59" s="47"/>
      <c r="C59" s="47"/>
      <c r="D59" s="47"/>
      <c r="E59" s="47"/>
      <c r="F59" s="47"/>
      <c r="G59" s="47"/>
    </row>
    <row r="60" ht="15.75" customHeight="1">
      <c r="A60" s="47"/>
      <c r="B60" s="47"/>
      <c r="C60" s="47"/>
      <c r="D60" s="47"/>
      <c r="E60" s="47"/>
      <c r="F60" s="47"/>
      <c r="G60" s="47"/>
    </row>
    <row r="61" ht="15.75" customHeight="1">
      <c r="A61" s="47"/>
      <c r="B61" s="47"/>
      <c r="C61" s="47"/>
      <c r="D61" s="47"/>
      <c r="E61" s="47"/>
      <c r="F61" s="47"/>
      <c r="G61" s="47"/>
    </row>
    <row r="62" ht="15.75" customHeight="1">
      <c r="A62" s="47"/>
      <c r="B62" s="47"/>
      <c r="C62" s="47"/>
      <c r="D62" s="47"/>
      <c r="E62" s="47"/>
      <c r="F62" s="47"/>
      <c r="G62" s="47"/>
    </row>
    <row r="63" ht="15.75" customHeight="1">
      <c r="A63" s="47"/>
      <c r="B63" s="47"/>
      <c r="C63" s="47"/>
      <c r="D63" s="47"/>
      <c r="E63" s="47"/>
      <c r="F63" s="47"/>
      <c r="G63" s="47"/>
    </row>
    <row r="64" ht="15.75" customHeight="1">
      <c r="A64" s="47"/>
      <c r="B64" s="47"/>
      <c r="C64" s="47"/>
      <c r="D64" s="47"/>
      <c r="E64" s="47"/>
      <c r="F64" s="47"/>
      <c r="G64" s="47"/>
    </row>
    <row r="65" ht="15.75" customHeight="1">
      <c r="A65" s="47"/>
      <c r="B65" s="47"/>
      <c r="C65" s="47"/>
      <c r="D65" s="47"/>
      <c r="E65" s="47"/>
      <c r="F65" s="47"/>
      <c r="G65" s="47"/>
    </row>
    <row r="66" ht="15.75" customHeight="1">
      <c r="A66" s="47"/>
      <c r="B66" s="47"/>
      <c r="C66" s="47"/>
      <c r="D66" s="47"/>
      <c r="E66" s="47"/>
      <c r="F66" s="47"/>
      <c r="G66" s="47"/>
    </row>
    <row r="67" ht="15.75" customHeight="1">
      <c r="A67" s="47"/>
      <c r="B67" s="47"/>
      <c r="C67" s="47"/>
      <c r="D67" s="47"/>
      <c r="E67" s="47"/>
      <c r="F67" s="47"/>
      <c r="G67" s="47"/>
    </row>
    <row r="68" ht="15.75" customHeight="1">
      <c r="A68" s="47"/>
      <c r="B68" s="47"/>
      <c r="C68" s="47"/>
      <c r="D68" s="47"/>
      <c r="E68" s="47"/>
      <c r="F68" s="47"/>
      <c r="G68" s="47"/>
    </row>
    <row r="69" ht="15.75" customHeight="1">
      <c r="A69" s="47"/>
      <c r="B69" s="47"/>
      <c r="C69" s="47"/>
      <c r="D69" s="47"/>
      <c r="E69" s="47"/>
      <c r="F69" s="47"/>
      <c r="G69" s="47"/>
    </row>
    <row r="70" ht="15.75" customHeight="1">
      <c r="A70" s="47"/>
      <c r="B70" s="47"/>
      <c r="C70" s="47"/>
      <c r="D70" s="47"/>
      <c r="E70" s="47"/>
      <c r="F70" s="47"/>
      <c r="G70" s="47"/>
    </row>
    <row r="71" ht="15.75" customHeight="1">
      <c r="A71" s="47"/>
      <c r="B71" s="47"/>
      <c r="C71" s="47"/>
      <c r="D71" s="47"/>
      <c r="E71" s="47"/>
      <c r="F71" s="47"/>
      <c r="G71" s="47"/>
    </row>
    <row r="72" ht="15.75" customHeight="1">
      <c r="A72" s="47"/>
      <c r="B72" s="47"/>
      <c r="C72" s="47"/>
      <c r="D72" s="47"/>
      <c r="E72" s="47"/>
      <c r="F72" s="47"/>
      <c r="G72" s="47"/>
    </row>
    <row r="73" ht="15.75" customHeight="1">
      <c r="A73" s="47"/>
      <c r="B73" s="47"/>
      <c r="C73" s="47"/>
      <c r="D73" s="47"/>
      <c r="E73" s="47"/>
      <c r="F73" s="47"/>
      <c r="G73" s="47"/>
    </row>
    <row r="74" ht="15.75" customHeight="1">
      <c r="A74" s="47"/>
      <c r="B74" s="47"/>
      <c r="C74" s="47"/>
      <c r="D74" s="47"/>
      <c r="E74" s="47"/>
      <c r="F74" s="47"/>
      <c r="G74" s="47"/>
    </row>
    <row r="75" ht="15.75" customHeight="1">
      <c r="A75" s="47"/>
      <c r="B75" s="47"/>
      <c r="C75" s="47"/>
      <c r="D75" s="47"/>
      <c r="E75" s="47"/>
      <c r="F75" s="47"/>
      <c r="G75" s="47"/>
    </row>
    <row r="76" ht="15.75" customHeight="1">
      <c r="A76" s="47"/>
      <c r="B76" s="47"/>
      <c r="C76" s="47"/>
      <c r="D76" s="47"/>
      <c r="E76" s="47"/>
      <c r="F76" s="47"/>
      <c r="G76" s="47"/>
    </row>
    <row r="77" ht="15.75" customHeight="1">
      <c r="A77" s="47"/>
      <c r="B77" s="47"/>
      <c r="C77" s="47"/>
      <c r="D77" s="47"/>
      <c r="E77" s="47"/>
      <c r="F77" s="47"/>
      <c r="G77" s="47"/>
    </row>
    <row r="78" ht="15.75" customHeight="1">
      <c r="A78" s="47"/>
      <c r="B78" s="47"/>
      <c r="C78" s="47"/>
      <c r="D78" s="47"/>
      <c r="E78" s="47"/>
      <c r="F78" s="47"/>
      <c r="G78" s="47"/>
    </row>
    <row r="79" ht="15.75" customHeight="1">
      <c r="A79" s="47"/>
      <c r="B79" s="47"/>
      <c r="C79" s="47"/>
      <c r="D79" s="47"/>
      <c r="E79" s="47"/>
      <c r="F79" s="47"/>
      <c r="G79" s="47"/>
    </row>
    <row r="80" ht="15.75" customHeight="1">
      <c r="A80" s="47"/>
      <c r="B80" s="47"/>
      <c r="C80" s="47"/>
      <c r="D80" s="47"/>
      <c r="E80" s="47"/>
      <c r="F80" s="47"/>
      <c r="G80" s="47"/>
    </row>
    <row r="81" ht="15.75" customHeight="1">
      <c r="A81" s="47"/>
      <c r="B81" s="47"/>
      <c r="C81" s="47"/>
      <c r="D81" s="47"/>
      <c r="E81" s="47"/>
      <c r="F81" s="47"/>
      <c r="G81" s="47"/>
    </row>
    <row r="82" ht="15.75" customHeight="1">
      <c r="A82" s="47"/>
      <c r="B82" s="47"/>
      <c r="C82" s="47"/>
      <c r="D82" s="47"/>
      <c r="E82" s="47"/>
      <c r="F82" s="47"/>
      <c r="G82" s="47"/>
    </row>
    <row r="83" ht="15.75" customHeight="1">
      <c r="A83" s="47"/>
      <c r="B83" s="47"/>
      <c r="C83" s="47"/>
      <c r="D83" s="47"/>
      <c r="E83" s="47"/>
      <c r="F83" s="47"/>
      <c r="G83" s="47"/>
    </row>
    <row r="84" ht="15.75" customHeight="1">
      <c r="A84" s="47"/>
      <c r="B84" s="47"/>
      <c r="C84" s="47"/>
      <c r="D84" s="47"/>
      <c r="E84" s="47"/>
      <c r="F84" s="47"/>
      <c r="G84" s="47"/>
    </row>
    <row r="85" ht="15.75" customHeight="1">
      <c r="A85" s="47"/>
      <c r="B85" s="47"/>
      <c r="C85" s="47"/>
      <c r="D85" s="47"/>
      <c r="E85" s="47"/>
      <c r="F85" s="47"/>
      <c r="G85" s="47"/>
    </row>
    <row r="86" ht="15.75" customHeight="1">
      <c r="A86" s="47"/>
      <c r="B86" s="47"/>
      <c r="C86" s="47"/>
      <c r="D86" s="47"/>
      <c r="E86" s="47"/>
      <c r="F86" s="47"/>
      <c r="G86" s="47"/>
    </row>
    <row r="87" ht="15.75" customHeight="1">
      <c r="A87" s="47"/>
      <c r="B87" s="47"/>
      <c r="C87" s="47"/>
      <c r="D87" s="47"/>
      <c r="E87" s="47"/>
      <c r="F87" s="47"/>
      <c r="G87" s="47"/>
    </row>
    <row r="88" ht="15.75" customHeight="1">
      <c r="A88" s="47"/>
      <c r="B88" s="47"/>
      <c r="C88" s="47"/>
      <c r="D88" s="47"/>
      <c r="E88" s="47"/>
      <c r="F88" s="47"/>
      <c r="G88" s="47"/>
    </row>
    <row r="89" ht="15.75" customHeight="1">
      <c r="A89" s="47"/>
      <c r="B89" s="47"/>
      <c r="C89" s="47"/>
      <c r="D89" s="47"/>
      <c r="E89" s="47"/>
      <c r="F89" s="47"/>
      <c r="G89" s="47"/>
    </row>
    <row r="90" ht="15.75" customHeight="1">
      <c r="A90" s="47"/>
      <c r="B90" s="47"/>
      <c r="C90" s="47"/>
      <c r="D90" s="47"/>
      <c r="E90" s="47"/>
      <c r="F90" s="47"/>
      <c r="G90" s="47"/>
    </row>
    <row r="91" ht="15.75" customHeight="1">
      <c r="A91" s="47"/>
      <c r="B91" s="47"/>
      <c r="C91" s="47"/>
      <c r="D91" s="47"/>
      <c r="E91" s="47"/>
      <c r="F91" s="47"/>
      <c r="G91" s="47"/>
    </row>
    <row r="92" ht="15.75" customHeight="1">
      <c r="A92" s="47"/>
      <c r="B92" s="47"/>
      <c r="C92" s="47"/>
      <c r="D92" s="47"/>
      <c r="E92" s="47"/>
      <c r="F92" s="47"/>
      <c r="G92" s="47"/>
    </row>
    <row r="93" ht="15.75" customHeight="1">
      <c r="A93" s="47"/>
      <c r="B93" s="47"/>
      <c r="C93" s="47"/>
      <c r="D93" s="47"/>
      <c r="E93" s="47"/>
      <c r="F93" s="47"/>
      <c r="G93" s="47"/>
    </row>
    <row r="94" ht="15.75" customHeight="1">
      <c r="A94" s="47"/>
      <c r="B94" s="47"/>
      <c r="C94" s="47"/>
      <c r="D94" s="47"/>
      <c r="E94" s="47"/>
      <c r="F94" s="47"/>
      <c r="G94" s="47"/>
    </row>
    <row r="95" ht="15.75" customHeight="1">
      <c r="A95" s="47"/>
      <c r="B95" s="47"/>
      <c r="C95" s="47"/>
      <c r="D95" s="47"/>
      <c r="E95" s="47"/>
      <c r="F95" s="47"/>
      <c r="G95" s="47"/>
    </row>
    <row r="96" ht="15.75" customHeight="1">
      <c r="A96" s="47"/>
      <c r="B96" s="47"/>
      <c r="C96" s="47"/>
      <c r="D96" s="47"/>
      <c r="E96" s="47"/>
      <c r="F96" s="47"/>
      <c r="G96" s="47"/>
    </row>
    <row r="97" ht="15.75" customHeight="1">
      <c r="A97" s="47"/>
      <c r="B97" s="47"/>
      <c r="C97" s="47"/>
      <c r="D97" s="47"/>
      <c r="E97" s="47"/>
      <c r="F97" s="47"/>
      <c r="G97" s="47"/>
    </row>
    <row r="98" ht="15.75" customHeight="1">
      <c r="A98" s="47"/>
      <c r="B98" s="47"/>
      <c r="C98" s="47"/>
      <c r="D98" s="47"/>
      <c r="E98" s="47"/>
      <c r="F98" s="47"/>
      <c r="G98" s="47"/>
    </row>
    <row r="99" ht="15.75" customHeight="1">
      <c r="A99" s="47"/>
      <c r="B99" s="47"/>
      <c r="C99" s="47"/>
      <c r="D99" s="47"/>
      <c r="E99" s="47"/>
      <c r="F99" s="47"/>
      <c r="G99" s="47"/>
    </row>
    <row r="100" ht="15.75" customHeight="1">
      <c r="A100" s="47"/>
      <c r="B100" s="47"/>
      <c r="C100" s="47"/>
      <c r="D100" s="47"/>
      <c r="E100" s="47"/>
      <c r="F100" s="47"/>
      <c r="G100" s="47"/>
    </row>
    <row r="101" ht="15.75" customHeight="1">
      <c r="A101" s="47"/>
      <c r="B101" s="47"/>
      <c r="C101" s="47"/>
      <c r="D101" s="47"/>
      <c r="E101" s="47"/>
      <c r="F101" s="47"/>
      <c r="G101" s="47"/>
    </row>
    <row r="102" ht="15.75" customHeight="1">
      <c r="A102" s="47"/>
      <c r="B102" s="47"/>
      <c r="C102" s="47"/>
      <c r="D102" s="47"/>
      <c r="E102" s="47"/>
      <c r="F102" s="47"/>
      <c r="G102" s="47"/>
    </row>
    <row r="103" ht="15.75" customHeight="1">
      <c r="A103" s="47"/>
      <c r="B103" s="47"/>
      <c r="C103" s="47"/>
      <c r="D103" s="47"/>
      <c r="E103" s="47"/>
      <c r="F103" s="47"/>
      <c r="G103" s="47"/>
    </row>
    <row r="104" ht="15.75" customHeight="1">
      <c r="A104" s="47"/>
      <c r="B104" s="47"/>
      <c r="C104" s="47"/>
      <c r="D104" s="47"/>
      <c r="E104" s="47"/>
      <c r="F104" s="47"/>
      <c r="G104" s="47"/>
    </row>
    <row r="105" ht="15.75" customHeight="1">
      <c r="A105" s="47"/>
      <c r="B105" s="47"/>
      <c r="C105" s="47"/>
      <c r="D105" s="47"/>
      <c r="E105" s="47"/>
      <c r="F105" s="47"/>
      <c r="G105" s="47"/>
    </row>
    <row r="106" ht="15.75" customHeight="1">
      <c r="A106" s="47"/>
      <c r="B106" s="47"/>
      <c r="C106" s="47"/>
      <c r="D106" s="47"/>
      <c r="E106" s="47"/>
      <c r="F106" s="47"/>
      <c r="G106" s="47"/>
    </row>
    <row r="107" ht="15.75" customHeight="1">
      <c r="A107" s="47"/>
      <c r="B107" s="47"/>
      <c r="C107" s="47"/>
      <c r="D107" s="47"/>
      <c r="E107" s="47"/>
      <c r="F107" s="47"/>
      <c r="G107" s="47"/>
    </row>
    <row r="108" ht="15.75" customHeight="1">
      <c r="A108" s="47"/>
      <c r="B108" s="47"/>
      <c r="C108" s="47"/>
      <c r="D108" s="47"/>
      <c r="E108" s="47"/>
      <c r="F108" s="47"/>
      <c r="G108" s="47"/>
    </row>
    <row r="109" ht="15.75" customHeight="1">
      <c r="A109" s="47"/>
      <c r="B109" s="47"/>
      <c r="C109" s="47"/>
      <c r="D109" s="47"/>
      <c r="E109" s="47"/>
      <c r="F109" s="47"/>
      <c r="G109" s="47"/>
    </row>
    <row r="110" ht="15.75" customHeight="1">
      <c r="A110" s="47"/>
      <c r="B110" s="47"/>
      <c r="C110" s="47"/>
      <c r="D110" s="47"/>
      <c r="E110" s="47"/>
      <c r="F110" s="47"/>
      <c r="G110" s="47"/>
    </row>
    <row r="111" ht="15.75" customHeight="1">
      <c r="A111" s="47"/>
      <c r="B111" s="47"/>
      <c r="C111" s="47"/>
      <c r="D111" s="47"/>
      <c r="E111" s="47"/>
      <c r="F111" s="47"/>
      <c r="G111" s="47"/>
    </row>
    <row r="112" ht="15.75" customHeight="1">
      <c r="A112" s="47"/>
      <c r="B112" s="47"/>
      <c r="C112" s="47"/>
      <c r="D112" s="47"/>
      <c r="E112" s="47"/>
      <c r="F112" s="47"/>
      <c r="G112" s="47"/>
    </row>
    <row r="113" ht="15.75" customHeight="1">
      <c r="A113" s="47"/>
      <c r="B113" s="47"/>
      <c r="C113" s="47"/>
      <c r="D113" s="47"/>
      <c r="E113" s="47"/>
      <c r="F113" s="47"/>
      <c r="G113" s="47"/>
    </row>
    <row r="114" ht="15.75" customHeight="1">
      <c r="A114" s="47"/>
      <c r="B114" s="47"/>
      <c r="C114" s="47"/>
      <c r="D114" s="47"/>
      <c r="E114" s="47"/>
      <c r="F114" s="47"/>
      <c r="G114" s="47"/>
    </row>
    <row r="115" ht="15.75" customHeight="1">
      <c r="A115" s="47"/>
      <c r="B115" s="47"/>
      <c r="C115" s="47"/>
      <c r="D115" s="47"/>
      <c r="E115" s="47"/>
      <c r="F115" s="47"/>
      <c r="G115" s="47"/>
    </row>
    <row r="116" ht="15.75" customHeight="1">
      <c r="A116" s="47"/>
      <c r="B116" s="47"/>
      <c r="C116" s="47"/>
      <c r="D116" s="47"/>
      <c r="E116" s="47"/>
      <c r="F116" s="47"/>
      <c r="G116" s="47"/>
    </row>
    <row r="117" ht="15.75" customHeight="1">
      <c r="A117" s="47"/>
      <c r="B117" s="47"/>
      <c r="C117" s="47"/>
      <c r="D117" s="47"/>
      <c r="E117" s="47"/>
      <c r="F117" s="47"/>
      <c r="G117" s="47"/>
    </row>
    <row r="118" ht="15.75" customHeight="1">
      <c r="A118" s="47"/>
      <c r="B118" s="47"/>
      <c r="C118" s="47"/>
      <c r="D118" s="47"/>
      <c r="E118" s="47"/>
      <c r="F118" s="47"/>
      <c r="G118" s="47"/>
    </row>
    <row r="119" ht="15.75" customHeight="1">
      <c r="A119" s="47"/>
      <c r="B119" s="47"/>
      <c r="C119" s="47"/>
      <c r="D119" s="47"/>
      <c r="E119" s="47"/>
      <c r="F119" s="47"/>
      <c r="G119" s="47"/>
    </row>
    <row r="120" ht="15.75" customHeight="1">
      <c r="A120" s="47"/>
      <c r="B120" s="47"/>
      <c r="C120" s="47"/>
      <c r="D120" s="47"/>
      <c r="E120" s="47"/>
      <c r="F120" s="47"/>
      <c r="G120" s="47"/>
    </row>
    <row r="121" ht="15.75" customHeight="1">
      <c r="A121" s="47"/>
      <c r="B121" s="47"/>
      <c r="C121" s="47"/>
      <c r="D121" s="47"/>
      <c r="E121" s="47"/>
      <c r="F121" s="47"/>
      <c r="G121" s="47"/>
    </row>
    <row r="122" ht="15.75" customHeight="1">
      <c r="A122" s="47"/>
      <c r="B122" s="47"/>
      <c r="C122" s="47"/>
      <c r="D122" s="47"/>
      <c r="E122" s="47"/>
      <c r="F122" s="47"/>
      <c r="G122" s="47"/>
    </row>
    <row r="123" ht="15.75" customHeight="1">
      <c r="A123" s="47"/>
      <c r="B123" s="47"/>
      <c r="C123" s="47"/>
      <c r="D123" s="47"/>
      <c r="E123" s="47"/>
      <c r="F123" s="47"/>
      <c r="G123" s="47"/>
    </row>
    <row r="124" ht="15.75" customHeight="1">
      <c r="A124" s="47"/>
      <c r="B124" s="47"/>
      <c r="C124" s="47"/>
      <c r="D124" s="47"/>
      <c r="E124" s="47"/>
      <c r="F124" s="47"/>
      <c r="G124" s="47"/>
    </row>
    <row r="125" ht="15.75" customHeight="1">
      <c r="A125" s="47"/>
      <c r="B125" s="47"/>
      <c r="C125" s="47"/>
      <c r="D125" s="47"/>
      <c r="E125" s="47"/>
      <c r="F125" s="47"/>
      <c r="G125" s="47"/>
    </row>
    <row r="126" ht="15.75" customHeight="1">
      <c r="A126" s="47"/>
      <c r="B126" s="47"/>
      <c r="C126" s="47"/>
      <c r="D126" s="47"/>
      <c r="E126" s="47"/>
      <c r="F126" s="47"/>
      <c r="G126" s="47"/>
    </row>
    <row r="127" ht="15.75" customHeight="1">
      <c r="A127" s="47"/>
      <c r="B127" s="47"/>
      <c r="C127" s="47"/>
      <c r="D127" s="47"/>
      <c r="E127" s="47"/>
      <c r="F127" s="47"/>
      <c r="G127" s="47"/>
    </row>
    <row r="128" ht="15.75" customHeight="1">
      <c r="A128" s="47"/>
      <c r="B128" s="47"/>
      <c r="C128" s="47"/>
      <c r="D128" s="47"/>
      <c r="E128" s="47"/>
      <c r="F128" s="47"/>
      <c r="G128" s="47"/>
    </row>
    <row r="129" ht="15.75" customHeight="1">
      <c r="A129" s="47"/>
      <c r="B129" s="47"/>
      <c r="C129" s="47"/>
      <c r="D129" s="47"/>
      <c r="E129" s="47"/>
      <c r="F129" s="47"/>
      <c r="G129" s="47"/>
    </row>
    <row r="130" ht="15.75" customHeight="1">
      <c r="A130" s="47"/>
      <c r="B130" s="47"/>
      <c r="C130" s="47"/>
      <c r="D130" s="47"/>
      <c r="E130" s="47"/>
      <c r="F130" s="47"/>
      <c r="G130" s="47"/>
    </row>
    <row r="131" ht="15.75" customHeight="1">
      <c r="A131" s="47"/>
      <c r="B131" s="47"/>
      <c r="C131" s="47"/>
      <c r="D131" s="47"/>
      <c r="E131" s="47"/>
      <c r="F131" s="47"/>
      <c r="G131" s="47"/>
    </row>
    <row r="132" ht="15.75" customHeight="1">
      <c r="A132" s="47"/>
      <c r="B132" s="47"/>
      <c r="C132" s="47"/>
      <c r="D132" s="47"/>
      <c r="E132" s="47"/>
      <c r="F132" s="47"/>
      <c r="G132" s="47"/>
    </row>
    <row r="133" ht="15.75" customHeight="1">
      <c r="A133" s="47"/>
      <c r="B133" s="47"/>
      <c r="C133" s="47"/>
      <c r="D133" s="47"/>
      <c r="E133" s="47"/>
      <c r="F133" s="47"/>
      <c r="G133" s="47"/>
    </row>
    <row r="134" ht="15.75" customHeight="1">
      <c r="A134" s="47"/>
      <c r="B134" s="47"/>
      <c r="C134" s="47"/>
      <c r="D134" s="47"/>
      <c r="E134" s="47"/>
      <c r="F134" s="47"/>
      <c r="G134" s="47"/>
    </row>
    <row r="135" ht="15.75" customHeight="1">
      <c r="A135" s="47"/>
      <c r="B135" s="47"/>
      <c r="C135" s="47"/>
      <c r="D135" s="47"/>
      <c r="E135" s="47"/>
      <c r="F135" s="47"/>
      <c r="G135" s="47"/>
    </row>
    <row r="136" ht="15.75" customHeight="1">
      <c r="A136" s="47"/>
      <c r="B136" s="47"/>
      <c r="C136" s="47"/>
      <c r="D136" s="47"/>
      <c r="E136" s="47"/>
      <c r="F136" s="47"/>
      <c r="G136" s="47"/>
    </row>
    <row r="137" ht="15.75" customHeight="1">
      <c r="A137" s="47"/>
      <c r="B137" s="47"/>
      <c r="C137" s="47"/>
      <c r="D137" s="47"/>
      <c r="E137" s="47"/>
      <c r="F137" s="47"/>
      <c r="G137" s="47"/>
    </row>
    <row r="138" ht="15.75" customHeight="1">
      <c r="A138" s="47"/>
      <c r="B138" s="47"/>
      <c r="C138" s="47"/>
      <c r="D138" s="47"/>
      <c r="E138" s="47"/>
      <c r="F138" s="47"/>
      <c r="G138" s="47"/>
    </row>
    <row r="139" ht="15.75" customHeight="1">
      <c r="A139" s="47"/>
      <c r="B139" s="47"/>
      <c r="C139" s="47"/>
      <c r="D139" s="47"/>
      <c r="E139" s="47"/>
      <c r="F139" s="47"/>
      <c r="G139" s="47"/>
    </row>
    <row r="140" ht="15.75" customHeight="1">
      <c r="A140" s="47"/>
      <c r="B140" s="47"/>
      <c r="C140" s="47"/>
      <c r="D140" s="47"/>
      <c r="E140" s="47"/>
      <c r="F140" s="47"/>
      <c r="G140" s="47"/>
    </row>
    <row r="141" ht="15.75" customHeight="1">
      <c r="A141" s="47"/>
      <c r="B141" s="47"/>
      <c r="C141" s="47"/>
      <c r="D141" s="47"/>
      <c r="E141" s="47"/>
      <c r="F141" s="47"/>
      <c r="G141" s="47"/>
    </row>
    <row r="142" ht="15.75" customHeight="1">
      <c r="A142" s="47"/>
      <c r="B142" s="47"/>
      <c r="C142" s="47"/>
      <c r="D142" s="47"/>
      <c r="E142" s="47"/>
      <c r="F142" s="47"/>
      <c r="G142" s="47"/>
    </row>
    <row r="143" ht="15.75" customHeight="1">
      <c r="A143" s="47"/>
      <c r="B143" s="47"/>
      <c r="C143" s="47"/>
      <c r="D143" s="47"/>
      <c r="E143" s="47"/>
      <c r="F143" s="47"/>
      <c r="G143" s="47"/>
    </row>
    <row r="144" ht="15.75" customHeight="1">
      <c r="A144" s="47"/>
      <c r="B144" s="47"/>
      <c r="C144" s="47"/>
      <c r="D144" s="47"/>
      <c r="E144" s="47"/>
      <c r="F144" s="47"/>
      <c r="G144" s="47"/>
    </row>
    <row r="145" ht="15.75" customHeight="1">
      <c r="A145" s="47"/>
      <c r="B145" s="47"/>
      <c r="C145" s="47"/>
      <c r="D145" s="47"/>
      <c r="E145" s="47"/>
      <c r="F145" s="47"/>
      <c r="G145" s="47"/>
    </row>
    <row r="146" ht="15.75" customHeight="1">
      <c r="A146" s="47"/>
      <c r="B146" s="47"/>
      <c r="C146" s="47"/>
      <c r="D146" s="47"/>
      <c r="E146" s="47"/>
      <c r="F146" s="47"/>
      <c r="G146" s="47"/>
    </row>
    <row r="147" ht="15.75" customHeight="1">
      <c r="A147" s="47"/>
      <c r="B147" s="47"/>
      <c r="C147" s="47"/>
      <c r="D147" s="47"/>
      <c r="E147" s="47"/>
      <c r="F147" s="47"/>
      <c r="G147" s="47"/>
    </row>
    <row r="148" ht="15.75" customHeight="1">
      <c r="A148" s="47"/>
      <c r="B148" s="47"/>
      <c r="C148" s="47"/>
      <c r="D148" s="47"/>
      <c r="E148" s="47"/>
      <c r="F148" s="47"/>
      <c r="G148" s="47"/>
    </row>
    <row r="149" ht="15.75" customHeight="1">
      <c r="A149" s="47"/>
      <c r="B149" s="47"/>
      <c r="C149" s="47"/>
      <c r="D149" s="47"/>
      <c r="E149" s="47"/>
      <c r="F149" s="47"/>
      <c r="G149" s="47"/>
    </row>
    <row r="150" ht="15.75" customHeight="1">
      <c r="A150" s="47"/>
      <c r="B150" s="47"/>
      <c r="C150" s="47"/>
      <c r="D150" s="47"/>
      <c r="E150" s="47"/>
      <c r="F150" s="47"/>
      <c r="G150" s="47"/>
    </row>
    <row r="151" ht="15.75" customHeight="1">
      <c r="A151" s="47"/>
      <c r="B151" s="47"/>
      <c r="C151" s="47"/>
      <c r="D151" s="47"/>
      <c r="E151" s="47"/>
      <c r="F151" s="47"/>
      <c r="G151" s="47"/>
    </row>
    <row r="152" ht="15.75" customHeight="1">
      <c r="A152" s="47"/>
      <c r="B152" s="47"/>
      <c r="C152" s="47"/>
      <c r="D152" s="47"/>
      <c r="E152" s="47"/>
      <c r="F152" s="47"/>
      <c r="G152" s="47"/>
    </row>
    <row r="153" ht="15.75" customHeight="1">
      <c r="A153" s="47"/>
      <c r="B153" s="47"/>
      <c r="C153" s="47"/>
      <c r="D153" s="47"/>
      <c r="E153" s="47"/>
      <c r="F153" s="47"/>
      <c r="G153" s="47"/>
    </row>
    <row r="154" ht="15.75" customHeight="1">
      <c r="A154" s="47"/>
      <c r="B154" s="47"/>
      <c r="C154" s="47"/>
      <c r="D154" s="47"/>
      <c r="E154" s="47"/>
      <c r="F154" s="47"/>
      <c r="G154" s="47"/>
    </row>
    <row r="155" ht="15.75" customHeight="1">
      <c r="A155" s="47"/>
      <c r="B155" s="47"/>
      <c r="C155" s="47"/>
      <c r="D155" s="47"/>
      <c r="E155" s="47"/>
      <c r="F155" s="47"/>
      <c r="G155" s="47"/>
    </row>
    <row r="156" ht="15.75" customHeight="1">
      <c r="A156" s="47"/>
      <c r="B156" s="47"/>
      <c r="C156" s="47"/>
      <c r="D156" s="47"/>
      <c r="E156" s="47"/>
      <c r="F156" s="47"/>
      <c r="G156" s="47"/>
    </row>
    <row r="157" ht="15.75" customHeight="1">
      <c r="A157" s="47"/>
      <c r="B157" s="47"/>
      <c r="C157" s="47"/>
      <c r="D157" s="47"/>
      <c r="E157" s="47"/>
      <c r="F157" s="47"/>
      <c r="G157" s="47"/>
    </row>
    <row r="158" ht="15.75" customHeight="1">
      <c r="A158" s="47"/>
      <c r="B158" s="47"/>
      <c r="C158" s="47"/>
      <c r="D158" s="47"/>
      <c r="E158" s="47"/>
      <c r="F158" s="47"/>
      <c r="G158" s="47"/>
    </row>
    <row r="159" ht="15.75" customHeight="1">
      <c r="A159" s="47"/>
      <c r="B159" s="47"/>
      <c r="C159" s="47"/>
      <c r="D159" s="47"/>
      <c r="E159" s="47"/>
      <c r="F159" s="47"/>
      <c r="G159" s="47"/>
    </row>
    <row r="160" ht="15.75" customHeight="1">
      <c r="A160" s="47"/>
      <c r="B160" s="47"/>
      <c r="C160" s="47"/>
      <c r="D160" s="47"/>
      <c r="E160" s="47"/>
      <c r="F160" s="47"/>
      <c r="G160" s="47"/>
    </row>
    <row r="161" ht="15.75" customHeight="1">
      <c r="A161" s="47"/>
      <c r="B161" s="47"/>
      <c r="C161" s="47"/>
      <c r="D161" s="47"/>
      <c r="E161" s="47"/>
      <c r="F161" s="47"/>
      <c r="G161" s="47"/>
    </row>
    <row r="162" ht="15.75" customHeight="1">
      <c r="A162" s="47"/>
      <c r="B162" s="47"/>
      <c r="C162" s="47"/>
      <c r="D162" s="47"/>
      <c r="E162" s="47"/>
      <c r="F162" s="47"/>
      <c r="G162" s="47"/>
    </row>
    <row r="163" ht="15.75" customHeight="1">
      <c r="A163" s="47"/>
      <c r="B163" s="47"/>
      <c r="C163" s="47"/>
      <c r="D163" s="47"/>
      <c r="E163" s="47"/>
      <c r="F163" s="47"/>
      <c r="G163" s="47"/>
    </row>
    <row r="164" ht="15.75" customHeight="1">
      <c r="A164" s="47"/>
      <c r="B164" s="47"/>
      <c r="C164" s="47"/>
      <c r="D164" s="47"/>
      <c r="E164" s="47"/>
      <c r="F164" s="47"/>
      <c r="G164" s="47"/>
    </row>
    <row r="165" ht="15.75" customHeight="1">
      <c r="A165" s="47"/>
      <c r="B165" s="47"/>
      <c r="C165" s="47"/>
      <c r="D165" s="47"/>
      <c r="E165" s="47"/>
      <c r="F165" s="47"/>
      <c r="G165" s="47"/>
    </row>
    <row r="166" ht="15.75" customHeight="1">
      <c r="A166" s="47"/>
      <c r="B166" s="47"/>
      <c r="C166" s="47"/>
      <c r="D166" s="47"/>
      <c r="E166" s="47"/>
      <c r="F166" s="47"/>
      <c r="G166" s="47"/>
    </row>
    <row r="167" ht="15.75" customHeight="1">
      <c r="A167" s="47"/>
      <c r="B167" s="47"/>
      <c r="C167" s="47"/>
      <c r="D167" s="47"/>
      <c r="E167" s="47"/>
      <c r="F167" s="47"/>
      <c r="G167" s="47"/>
    </row>
    <row r="168" ht="15.75" customHeight="1">
      <c r="A168" s="47"/>
      <c r="B168" s="47"/>
      <c r="C168" s="47"/>
      <c r="D168" s="47"/>
      <c r="E168" s="47"/>
      <c r="F168" s="47"/>
      <c r="G168" s="47"/>
    </row>
    <row r="169" ht="15.75" customHeight="1">
      <c r="A169" s="47"/>
      <c r="B169" s="47"/>
      <c r="C169" s="47"/>
      <c r="D169" s="47"/>
      <c r="E169" s="47"/>
      <c r="F169" s="47"/>
      <c r="G169" s="47"/>
    </row>
    <row r="170" ht="15.75" customHeight="1">
      <c r="A170" s="47"/>
      <c r="B170" s="47"/>
      <c r="C170" s="47"/>
      <c r="D170" s="47"/>
      <c r="E170" s="47"/>
      <c r="F170" s="47"/>
      <c r="G170" s="47"/>
    </row>
    <row r="171" ht="15.75" customHeight="1">
      <c r="A171" s="47"/>
      <c r="B171" s="47"/>
      <c r="C171" s="47"/>
      <c r="D171" s="47"/>
      <c r="E171" s="47"/>
      <c r="F171" s="47"/>
      <c r="G171" s="47"/>
    </row>
    <row r="172" ht="15.75" customHeight="1">
      <c r="A172" s="47"/>
      <c r="B172" s="47"/>
      <c r="C172" s="47"/>
      <c r="D172" s="47"/>
      <c r="E172" s="47"/>
      <c r="F172" s="47"/>
      <c r="G172" s="47"/>
    </row>
    <row r="173" ht="15.75" customHeight="1">
      <c r="A173" s="47"/>
      <c r="B173" s="47"/>
      <c r="C173" s="47"/>
      <c r="D173" s="47"/>
      <c r="E173" s="47"/>
      <c r="F173" s="47"/>
      <c r="G173" s="47"/>
    </row>
    <row r="174" ht="15.75" customHeight="1">
      <c r="A174" s="47"/>
      <c r="B174" s="47"/>
      <c r="C174" s="47"/>
      <c r="D174" s="47"/>
      <c r="E174" s="47"/>
      <c r="F174" s="47"/>
      <c r="G174" s="47"/>
    </row>
    <row r="175" ht="15.75" customHeight="1">
      <c r="A175" s="47"/>
      <c r="B175" s="47"/>
      <c r="C175" s="47"/>
      <c r="D175" s="47"/>
      <c r="E175" s="47"/>
      <c r="F175" s="47"/>
      <c r="G175" s="47"/>
    </row>
    <row r="176" ht="15.75" customHeight="1">
      <c r="A176" s="47"/>
      <c r="B176" s="47"/>
      <c r="C176" s="47"/>
      <c r="D176" s="47"/>
      <c r="E176" s="47"/>
      <c r="F176" s="47"/>
      <c r="G176" s="47"/>
    </row>
    <row r="177" ht="15.75" customHeight="1">
      <c r="A177" s="47"/>
      <c r="B177" s="47"/>
      <c r="C177" s="47"/>
      <c r="D177" s="47"/>
      <c r="E177" s="47"/>
      <c r="F177" s="47"/>
      <c r="G177" s="47"/>
    </row>
    <row r="178" ht="15.75" customHeight="1">
      <c r="A178" s="47"/>
      <c r="B178" s="47"/>
      <c r="C178" s="47"/>
      <c r="D178" s="47"/>
      <c r="E178" s="47"/>
      <c r="F178" s="47"/>
      <c r="G178" s="47"/>
    </row>
    <row r="179" ht="15.75" customHeight="1">
      <c r="A179" s="47"/>
      <c r="B179" s="47"/>
      <c r="C179" s="47"/>
      <c r="D179" s="47"/>
      <c r="E179" s="47"/>
      <c r="F179" s="47"/>
      <c r="G179" s="47"/>
    </row>
    <row r="180" ht="15.75" customHeight="1">
      <c r="A180" s="47"/>
      <c r="B180" s="47"/>
      <c r="C180" s="47"/>
      <c r="D180" s="47"/>
      <c r="E180" s="47"/>
      <c r="F180" s="47"/>
      <c r="G180" s="47"/>
    </row>
    <row r="181" ht="15.75" customHeight="1">
      <c r="A181" s="47"/>
      <c r="B181" s="47"/>
      <c r="C181" s="47"/>
      <c r="D181" s="47"/>
      <c r="E181" s="47"/>
      <c r="F181" s="47"/>
      <c r="G181" s="47"/>
    </row>
    <row r="182" ht="15.75" customHeight="1">
      <c r="A182" s="47"/>
      <c r="B182" s="47"/>
      <c r="C182" s="47"/>
      <c r="D182" s="47"/>
      <c r="E182" s="47"/>
      <c r="F182" s="47"/>
      <c r="G182" s="47"/>
    </row>
    <row r="183" ht="15.75" customHeight="1">
      <c r="A183" s="47"/>
      <c r="B183" s="47"/>
      <c r="C183" s="47"/>
      <c r="D183" s="47"/>
      <c r="E183" s="47"/>
      <c r="F183" s="47"/>
      <c r="G183" s="47"/>
    </row>
    <row r="184" ht="15.75" customHeight="1">
      <c r="A184" s="47"/>
      <c r="B184" s="47"/>
      <c r="C184" s="47"/>
      <c r="D184" s="47"/>
      <c r="E184" s="47"/>
      <c r="F184" s="47"/>
      <c r="G184" s="47"/>
    </row>
    <row r="185" ht="15.75" customHeight="1">
      <c r="A185" s="47"/>
      <c r="B185" s="47"/>
      <c r="C185" s="47"/>
      <c r="D185" s="47"/>
      <c r="E185" s="47"/>
      <c r="F185" s="47"/>
      <c r="G185" s="47"/>
    </row>
    <row r="186" ht="15.75" customHeight="1">
      <c r="A186" s="47"/>
      <c r="B186" s="47"/>
      <c r="C186" s="47"/>
      <c r="D186" s="47"/>
      <c r="E186" s="47"/>
      <c r="F186" s="47"/>
      <c r="G186" s="47"/>
    </row>
    <row r="187" ht="15.75" customHeight="1">
      <c r="A187" s="47"/>
      <c r="B187" s="47"/>
      <c r="C187" s="47"/>
      <c r="D187" s="47"/>
      <c r="E187" s="47"/>
      <c r="F187" s="47"/>
      <c r="G187" s="47"/>
    </row>
    <row r="188" ht="15.75" customHeight="1">
      <c r="A188" s="47"/>
      <c r="B188" s="47"/>
      <c r="C188" s="47"/>
      <c r="D188" s="47"/>
      <c r="E188" s="47"/>
      <c r="F188" s="47"/>
      <c r="G188" s="47"/>
    </row>
    <row r="189" ht="15.75" customHeight="1">
      <c r="A189" s="47"/>
      <c r="B189" s="47"/>
      <c r="C189" s="47"/>
      <c r="D189" s="47"/>
      <c r="E189" s="47"/>
      <c r="F189" s="47"/>
      <c r="G189" s="47"/>
    </row>
    <row r="190" ht="15.75" customHeight="1">
      <c r="A190" s="47"/>
      <c r="B190" s="47"/>
      <c r="C190" s="47"/>
      <c r="D190" s="47"/>
      <c r="E190" s="47"/>
      <c r="F190" s="47"/>
      <c r="G190" s="47"/>
    </row>
    <row r="191" ht="15.75" customHeight="1">
      <c r="A191" s="47"/>
      <c r="B191" s="47"/>
      <c r="C191" s="47"/>
      <c r="D191" s="47"/>
      <c r="E191" s="47"/>
      <c r="F191" s="47"/>
      <c r="G191" s="47"/>
    </row>
    <row r="192" ht="15.75" customHeight="1">
      <c r="A192" s="47"/>
      <c r="B192" s="47"/>
      <c r="C192" s="47"/>
      <c r="D192" s="47"/>
      <c r="E192" s="47"/>
      <c r="F192" s="47"/>
      <c r="G192" s="47"/>
    </row>
    <row r="193" ht="15.75" customHeight="1">
      <c r="A193" s="47"/>
      <c r="B193" s="47"/>
      <c r="C193" s="47"/>
      <c r="D193" s="47"/>
      <c r="E193" s="47"/>
      <c r="F193" s="47"/>
      <c r="G193" s="47"/>
    </row>
    <row r="194" ht="15.75" customHeight="1">
      <c r="A194" s="47"/>
      <c r="B194" s="47"/>
      <c r="C194" s="47"/>
      <c r="D194" s="47"/>
      <c r="E194" s="47"/>
      <c r="F194" s="47"/>
      <c r="G194" s="47"/>
    </row>
    <row r="195" ht="15.75" customHeight="1">
      <c r="A195" s="47"/>
      <c r="B195" s="47"/>
      <c r="C195" s="47"/>
      <c r="D195" s="47"/>
      <c r="E195" s="47"/>
      <c r="F195" s="47"/>
      <c r="G195" s="47"/>
    </row>
    <row r="196" ht="15.75" customHeight="1">
      <c r="A196" s="47"/>
      <c r="B196" s="47"/>
      <c r="C196" s="47"/>
      <c r="D196" s="47"/>
      <c r="E196" s="47"/>
      <c r="F196" s="47"/>
      <c r="G196" s="47"/>
    </row>
    <row r="197" ht="15.75" customHeight="1">
      <c r="A197" s="47"/>
      <c r="B197" s="47"/>
      <c r="C197" s="47"/>
      <c r="D197" s="47"/>
      <c r="E197" s="47"/>
      <c r="F197" s="47"/>
      <c r="G197" s="47"/>
    </row>
    <row r="198" ht="15.75" customHeight="1">
      <c r="A198" s="47"/>
      <c r="B198" s="47"/>
      <c r="C198" s="47"/>
      <c r="D198" s="47"/>
      <c r="E198" s="47"/>
      <c r="F198" s="47"/>
      <c r="G198" s="47"/>
    </row>
    <row r="199" ht="15.75" customHeight="1">
      <c r="A199" s="47"/>
      <c r="B199" s="47"/>
      <c r="C199" s="47"/>
      <c r="D199" s="47"/>
      <c r="E199" s="47"/>
      <c r="F199" s="47"/>
      <c r="G199" s="47"/>
    </row>
    <row r="200" ht="15.75" customHeight="1">
      <c r="A200" s="47"/>
      <c r="B200" s="47"/>
      <c r="C200" s="47"/>
      <c r="D200" s="47"/>
      <c r="E200" s="47"/>
      <c r="F200" s="47"/>
      <c r="G200" s="47"/>
    </row>
    <row r="201" ht="15.75" customHeight="1">
      <c r="A201" s="47"/>
      <c r="B201" s="47"/>
      <c r="C201" s="47"/>
      <c r="D201" s="47"/>
      <c r="E201" s="47"/>
      <c r="F201" s="47"/>
      <c r="G201" s="47"/>
    </row>
    <row r="202" ht="15.75" customHeight="1">
      <c r="A202" s="47"/>
      <c r="B202" s="47"/>
      <c r="C202" s="47"/>
      <c r="D202" s="47"/>
      <c r="E202" s="47"/>
      <c r="F202" s="47"/>
      <c r="G202" s="47"/>
    </row>
    <row r="203" ht="15.75" customHeight="1">
      <c r="A203" s="47"/>
      <c r="B203" s="47"/>
      <c r="C203" s="47"/>
      <c r="D203" s="47"/>
      <c r="E203" s="47"/>
      <c r="F203" s="47"/>
      <c r="G203" s="47"/>
    </row>
    <row r="204" ht="15.75" customHeight="1">
      <c r="A204" s="47"/>
      <c r="B204" s="47"/>
      <c r="C204" s="47"/>
      <c r="D204" s="47"/>
      <c r="E204" s="47"/>
      <c r="F204" s="47"/>
      <c r="G204" s="47"/>
    </row>
    <row r="205" ht="15.75" customHeight="1">
      <c r="A205" s="47"/>
      <c r="B205" s="47"/>
      <c r="C205" s="47"/>
      <c r="D205" s="47"/>
      <c r="E205" s="47"/>
      <c r="F205" s="47"/>
      <c r="G205" s="47"/>
    </row>
    <row r="206" ht="15.75" customHeight="1">
      <c r="A206" s="47"/>
      <c r="B206" s="47"/>
      <c r="C206" s="47"/>
      <c r="D206" s="47"/>
      <c r="E206" s="47"/>
      <c r="F206" s="47"/>
      <c r="G206" s="47"/>
    </row>
    <row r="207" ht="15.75" customHeight="1">
      <c r="A207" s="47"/>
      <c r="B207" s="47"/>
      <c r="C207" s="47"/>
      <c r="D207" s="47"/>
      <c r="E207" s="47"/>
      <c r="F207" s="47"/>
      <c r="G207" s="47"/>
    </row>
    <row r="208" ht="15.75" customHeight="1">
      <c r="A208" s="47"/>
      <c r="B208" s="47"/>
      <c r="C208" s="47"/>
      <c r="D208" s="47"/>
      <c r="E208" s="47"/>
      <c r="F208" s="47"/>
      <c r="G208" s="47"/>
    </row>
    <row r="209" ht="15.75" customHeight="1">
      <c r="A209" s="47"/>
      <c r="B209" s="47"/>
      <c r="C209" s="47"/>
      <c r="D209" s="47"/>
      <c r="E209" s="47"/>
      <c r="F209" s="47"/>
      <c r="G209" s="47"/>
    </row>
    <row r="210" ht="15.75" customHeight="1">
      <c r="A210" s="47"/>
      <c r="B210" s="47"/>
      <c r="C210" s="47"/>
      <c r="D210" s="47"/>
      <c r="E210" s="47"/>
      <c r="F210" s="47"/>
      <c r="G210" s="47"/>
    </row>
    <row r="211" ht="15.75" customHeight="1">
      <c r="A211" s="47"/>
      <c r="B211" s="47"/>
      <c r="C211" s="47"/>
      <c r="D211" s="47"/>
      <c r="E211" s="47"/>
      <c r="F211" s="47"/>
      <c r="G211" s="47"/>
    </row>
    <row r="212" ht="15.75" customHeight="1">
      <c r="A212" s="47"/>
      <c r="B212" s="47"/>
      <c r="C212" s="47"/>
      <c r="D212" s="47"/>
      <c r="E212" s="47"/>
      <c r="F212" s="47"/>
      <c r="G212" s="47"/>
    </row>
    <row r="213" ht="15.75" customHeight="1">
      <c r="A213" s="47"/>
      <c r="B213" s="47"/>
      <c r="C213" s="47"/>
      <c r="D213" s="47"/>
      <c r="E213" s="47"/>
      <c r="F213" s="47"/>
      <c r="G213" s="47"/>
    </row>
    <row r="214" ht="15.75" customHeight="1">
      <c r="A214" s="47"/>
      <c r="B214" s="47"/>
      <c r="C214" s="47"/>
      <c r="D214" s="47"/>
      <c r="E214" s="47"/>
      <c r="F214" s="47"/>
      <c r="G214" s="47"/>
    </row>
    <row r="215" ht="15.75" customHeight="1">
      <c r="A215" s="47"/>
      <c r="B215" s="47"/>
      <c r="C215" s="47"/>
      <c r="D215" s="47"/>
      <c r="E215" s="47"/>
      <c r="F215" s="47"/>
      <c r="G215" s="47"/>
    </row>
    <row r="216" ht="15.75" customHeight="1">
      <c r="A216" s="47"/>
      <c r="B216" s="47"/>
      <c r="C216" s="47"/>
      <c r="D216" s="47"/>
      <c r="E216" s="47"/>
      <c r="F216" s="47"/>
      <c r="G216" s="47"/>
    </row>
    <row r="217" ht="15.75" customHeight="1">
      <c r="A217" s="47"/>
      <c r="B217" s="47"/>
      <c r="C217" s="47"/>
      <c r="D217" s="47"/>
      <c r="E217" s="47"/>
      <c r="F217" s="47"/>
      <c r="G217" s="47"/>
    </row>
    <row r="218" ht="15.75" customHeight="1">
      <c r="A218" s="47"/>
      <c r="B218" s="47"/>
      <c r="C218" s="47"/>
      <c r="D218" s="47"/>
      <c r="E218" s="47"/>
      <c r="F218" s="47"/>
      <c r="G218" s="47"/>
    </row>
    <row r="219" ht="15.75" customHeight="1">
      <c r="A219" s="47"/>
      <c r="B219" s="47"/>
      <c r="C219" s="47"/>
      <c r="D219" s="47"/>
      <c r="E219" s="47"/>
      <c r="F219" s="47"/>
      <c r="G219" s="47"/>
    </row>
    <row r="220" ht="15.75" customHeight="1">
      <c r="A220" s="47"/>
      <c r="B220" s="47"/>
      <c r="C220" s="47"/>
      <c r="D220" s="47"/>
      <c r="E220" s="47"/>
      <c r="F220" s="47"/>
      <c r="G220" s="47"/>
    </row>
    <row r="221" ht="15.75" customHeight="1">
      <c r="A221" s="47"/>
      <c r="B221" s="47"/>
      <c r="C221" s="47"/>
      <c r="D221" s="47"/>
      <c r="E221" s="47"/>
      <c r="F221" s="47"/>
      <c r="G221" s="47"/>
    </row>
    <row r="222" ht="15.75" customHeight="1">
      <c r="A222" s="47"/>
      <c r="B222" s="47"/>
      <c r="C222" s="47"/>
      <c r="D222" s="47"/>
      <c r="E222" s="47"/>
      <c r="F222" s="47"/>
      <c r="G222" s="47"/>
    </row>
    <row r="223" ht="15.75" customHeight="1">
      <c r="A223" s="47"/>
      <c r="B223" s="47"/>
      <c r="C223" s="47"/>
      <c r="D223" s="47"/>
      <c r="E223" s="47"/>
      <c r="F223" s="47"/>
      <c r="G223" s="47"/>
    </row>
    <row r="224" ht="15.75" customHeight="1">
      <c r="A224" s="47"/>
      <c r="B224" s="47"/>
      <c r="C224" s="47"/>
      <c r="D224" s="47"/>
      <c r="E224" s="47"/>
      <c r="F224" s="47"/>
      <c r="G224" s="47"/>
    </row>
    <row r="225" ht="15.75" customHeight="1">
      <c r="A225" s="47"/>
      <c r="B225" s="47"/>
      <c r="C225" s="47"/>
      <c r="D225" s="47"/>
      <c r="E225" s="47"/>
      <c r="F225" s="47"/>
      <c r="G225" s="47"/>
    </row>
    <row r="226" ht="15.75" customHeight="1">
      <c r="A226" s="47"/>
      <c r="B226" s="47"/>
      <c r="C226" s="47"/>
      <c r="D226" s="47"/>
      <c r="E226" s="47"/>
      <c r="F226" s="47"/>
      <c r="G226" s="47"/>
    </row>
    <row r="227" ht="15.75" customHeight="1">
      <c r="A227" s="47"/>
      <c r="B227" s="47"/>
      <c r="C227" s="47"/>
      <c r="D227" s="47"/>
      <c r="E227" s="47"/>
      <c r="F227" s="47"/>
      <c r="G227" s="47"/>
    </row>
    <row r="228" ht="15.75" customHeight="1">
      <c r="A228" s="47"/>
      <c r="B228" s="47"/>
      <c r="C228" s="47"/>
      <c r="D228" s="47"/>
      <c r="E228" s="47"/>
      <c r="F228" s="47"/>
      <c r="G228" s="47"/>
    </row>
    <row r="229" ht="15.75" customHeight="1">
      <c r="A229" s="47"/>
      <c r="B229" s="47"/>
      <c r="C229" s="47"/>
      <c r="D229" s="47"/>
      <c r="E229" s="47"/>
      <c r="F229" s="47"/>
      <c r="G229" s="47"/>
    </row>
    <row r="230" ht="15.75" customHeight="1">
      <c r="A230" s="47"/>
      <c r="B230" s="47"/>
      <c r="C230" s="47"/>
      <c r="D230" s="47"/>
      <c r="E230" s="47"/>
      <c r="F230" s="47"/>
      <c r="G230" s="47"/>
    </row>
    <row r="231" ht="15.75" customHeight="1">
      <c r="A231" s="47"/>
      <c r="B231" s="47"/>
      <c r="C231" s="47"/>
      <c r="D231" s="47"/>
      <c r="E231" s="47"/>
      <c r="F231" s="47"/>
      <c r="G231" s="47"/>
    </row>
    <row r="232" ht="15.75" customHeight="1">
      <c r="A232" s="47"/>
      <c r="B232" s="47"/>
      <c r="C232" s="47"/>
      <c r="D232" s="47"/>
      <c r="E232" s="47"/>
      <c r="F232" s="47"/>
      <c r="G232" s="47"/>
    </row>
    <row r="233" ht="15.75" customHeight="1">
      <c r="A233" s="47"/>
      <c r="B233" s="47"/>
      <c r="C233" s="47"/>
      <c r="D233" s="47"/>
      <c r="E233" s="47"/>
      <c r="F233" s="47"/>
      <c r="G233" s="47"/>
    </row>
    <row r="234" ht="15.75" customHeight="1">
      <c r="A234" s="47"/>
      <c r="B234" s="47"/>
      <c r="C234" s="47"/>
      <c r="D234" s="47"/>
      <c r="E234" s="47"/>
      <c r="F234" s="47"/>
      <c r="G234" s="47"/>
    </row>
    <row r="235" ht="15.75" customHeight="1">
      <c r="A235" s="47"/>
      <c r="B235" s="47"/>
      <c r="C235" s="47"/>
      <c r="D235" s="47"/>
      <c r="E235" s="47"/>
      <c r="F235" s="47"/>
      <c r="G235" s="47"/>
    </row>
    <row r="236" ht="15.75" customHeight="1">
      <c r="A236" s="47"/>
      <c r="B236" s="47"/>
      <c r="C236" s="47"/>
      <c r="D236" s="47"/>
      <c r="E236" s="47"/>
      <c r="F236" s="47"/>
      <c r="G236" s="47"/>
    </row>
    <row r="237" ht="15.75" customHeight="1">
      <c r="A237" s="47"/>
      <c r="B237" s="47"/>
      <c r="C237" s="47"/>
      <c r="D237" s="47"/>
      <c r="E237" s="47"/>
      <c r="F237" s="47"/>
      <c r="G237" s="47"/>
    </row>
    <row r="238" ht="15.75" customHeight="1">
      <c r="A238" s="47"/>
      <c r="B238" s="47"/>
      <c r="C238" s="47"/>
      <c r="D238" s="47"/>
      <c r="E238" s="47"/>
      <c r="F238" s="47"/>
      <c r="G238" s="47"/>
    </row>
    <row r="239" ht="15.75" customHeight="1">
      <c r="A239" s="47"/>
      <c r="B239" s="47"/>
      <c r="C239" s="47"/>
      <c r="D239" s="47"/>
      <c r="E239" s="47"/>
      <c r="F239" s="47"/>
      <c r="G239" s="47"/>
    </row>
    <row r="240" ht="15.75" customHeight="1">
      <c r="A240" s="47"/>
      <c r="B240" s="47"/>
      <c r="C240" s="47"/>
      <c r="D240" s="47"/>
      <c r="E240" s="47"/>
      <c r="F240" s="47"/>
      <c r="G240" s="47"/>
    </row>
    <row r="241" ht="15.75" customHeight="1">
      <c r="A241" s="47"/>
      <c r="B241" s="47"/>
      <c r="C241" s="47"/>
      <c r="D241" s="47"/>
      <c r="E241" s="47"/>
      <c r="F241" s="47"/>
      <c r="G241" s="47"/>
    </row>
    <row r="242" ht="15.75" customHeight="1">
      <c r="A242" s="47"/>
      <c r="B242" s="47"/>
      <c r="C242" s="47"/>
      <c r="D242" s="47"/>
      <c r="E242" s="47"/>
      <c r="F242" s="47"/>
      <c r="G242" s="47"/>
    </row>
    <row r="243" ht="15.75" customHeight="1">
      <c r="A243" s="47"/>
      <c r="B243" s="47"/>
      <c r="C243" s="47"/>
      <c r="D243" s="47"/>
      <c r="E243" s="47"/>
      <c r="F243" s="47"/>
      <c r="G243" s="47"/>
    </row>
    <row r="244" ht="15.75" customHeight="1">
      <c r="A244" s="47"/>
      <c r="B244" s="47"/>
      <c r="C244" s="47"/>
      <c r="D244" s="47"/>
      <c r="E244" s="47"/>
      <c r="F244" s="47"/>
      <c r="G244" s="47"/>
    </row>
    <row r="245" ht="15.75" customHeight="1">
      <c r="A245" s="47"/>
      <c r="B245" s="47"/>
      <c r="C245" s="47"/>
      <c r="D245" s="47"/>
      <c r="E245" s="47"/>
      <c r="F245" s="47"/>
      <c r="G245" s="47"/>
    </row>
    <row r="246" ht="15.75" customHeight="1">
      <c r="A246" s="47"/>
      <c r="B246" s="47"/>
      <c r="C246" s="47"/>
      <c r="D246" s="47"/>
      <c r="E246" s="47"/>
      <c r="F246" s="47"/>
      <c r="G246" s="47"/>
    </row>
    <row r="247" ht="15.75" customHeight="1">
      <c r="A247" s="47"/>
      <c r="B247" s="47"/>
      <c r="C247" s="47"/>
      <c r="D247" s="47"/>
      <c r="E247" s="47"/>
      <c r="F247" s="47"/>
      <c r="G247" s="47"/>
    </row>
    <row r="248" ht="15.75" customHeight="1">
      <c r="A248" s="47"/>
      <c r="B248" s="47"/>
      <c r="C248" s="47"/>
      <c r="D248" s="47"/>
      <c r="E248" s="47"/>
      <c r="F248" s="47"/>
      <c r="G248" s="47"/>
    </row>
    <row r="249" ht="15.75" customHeight="1">
      <c r="A249" s="47"/>
      <c r="B249" s="47"/>
      <c r="C249" s="47"/>
      <c r="D249" s="47"/>
      <c r="E249" s="47"/>
      <c r="F249" s="47"/>
      <c r="G249" s="47"/>
    </row>
    <row r="250" ht="15.75" customHeight="1">
      <c r="A250" s="47"/>
      <c r="B250" s="47"/>
      <c r="C250" s="47"/>
      <c r="D250" s="47"/>
      <c r="E250" s="47"/>
      <c r="F250" s="47"/>
      <c r="G250" s="47"/>
    </row>
    <row r="251" ht="15.75" customHeight="1">
      <c r="A251" s="47"/>
      <c r="B251" s="47"/>
      <c r="C251" s="47"/>
      <c r="D251" s="47"/>
      <c r="E251" s="47"/>
      <c r="F251" s="47"/>
      <c r="G251" s="47"/>
    </row>
    <row r="252" ht="15.75" customHeight="1">
      <c r="A252" s="47"/>
      <c r="B252" s="47"/>
      <c r="C252" s="47"/>
      <c r="D252" s="47"/>
      <c r="E252" s="47"/>
      <c r="F252" s="47"/>
      <c r="G252" s="47"/>
    </row>
    <row r="253" ht="15.75" customHeight="1">
      <c r="A253" s="47"/>
      <c r="B253" s="47"/>
      <c r="C253" s="47"/>
      <c r="D253" s="47"/>
      <c r="E253" s="47"/>
      <c r="F253" s="47"/>
      <c r="G253" s="47"/>
    </row>
    <row r="254" ht="15.75" customHeight="1">
      <c r="A254" s="47"/>
      <c r="B254" s="47"/>
      <c r="C254" s="47"/>
      <c r="D254" s="47"/>
      <c r="E254" s="47"/>
      <c r="F254" s="47"/>
      <c r="G254" s="47"/>
    </row>
    <row r="255" ht="15.75" customHeight="1">
      <c r="A255" s="47"/>
      <c r="B255" s="47"/>
      <c r="C255" s="47"/>
      <c r="D255" s="47"/>
      <c r="E255" s="47"/>
      <c r="F255" s="47"/>
      <c r="G255" s="47"/>
    </row>
    <row r="256" ht="15.75" customHeight="1">
      <c r="A256" s="47"/>
      <c r="B256" s="47"/>
      <c r="C256" s="47"/>
      <c r="D256" s="47"/>
      <c r="E256" s="47"/>
      <c r="F256" s="47"/>
      <c r="G256" s="47"/>
    </row>
    <row r="257" ht="15.75" customHeight="1">
      <c r="A257" s="47"/>
      <c r="B257" s="47"/>
      <c r="C257" s="47"/>
      <c r="D257" s="47"/>
      <c r="E257" s="47"/>
      <c r="F257" s="47"/>
      <c r="G257" s="47"/>
    </row>
    <row r="258" ht="15.75" customHeight="1">
      <c r="A258" s="47"/>
      <c r="B258" s="47"/>
      <c r="C258" s="47"/>
      <c r="D258" s="47"/>
      <c r="E258" s="47"/>
      <c r="F258" s="47"/>
      <c r="G258" s="47"/>
    </row>
    <row r="259" ht="15.75" customHeight="1">
      <c r="A259" s="47"/>
      <c r="B259" s="47"/>
      <c r="C259" s="47"/>
      <c r="D259" s="47"/>
      <c r="E259" s="47"/>
      <c r="F259" s="47"/>
      <c r="G259" s="47"/>
    </row>
    <row r="260" ht="15.75" customHeight="1">
      <c r="A260" s="47"/>
      <c r="B260" s="47"/>
      <c r="C260" s="47"/>
      <c r="D260" s="47"/>
      <c r="E260" s="47"/>
      <c r="F260" s="47"/>
      <c r="G260" s="47"/>
    </row>
    <row r="261" ht="15.75" customHeight="1">
      <c r="A261" s="47"/>
      <c r="B261" s="47"/>
      <c r="C261" s="47"/>
      <c r="D261" s="47"/>
      <c r="E261" s="47"/>
      <c r="F261" s="47"/>
      <c r="G261" s="47"/>
    </row>
    <row r="262" ht="15.75" customHeight="1">
      <c r="A262" s="47"/>
      <c r="B262" s="47"/>
      <c r="C262" s="47"/>
      <c r="D262" s="47"/>
      <c r="E262" s="47"/>
      <c r="F262" s="47"/>
      <c r="G262" s="47"/>
    </row>
    <row r="263" ht="15.75" customHeight="1">
      <c r="A263" s="47"/>
      <c r="B263" s="47"/>
      <c r="C263" s="47"/>
      <c r="D263" s="47"/>
      <c r="E263" s="47"/>
      <c r="F263" s="47"/>
      <c r="G263" s="47"/>
    </row>
    <row r="264" ht="15.75" customHeight="1">
      <c r="A264" s="47"/>
      <c r="B264" s="47"/>
      <c r="C264" s="47"/>
      <c r="D264" s="47"/>
      <c r="E264" s="47"/>
      <c r="F264" s="47"/>
      <c r="G264" s="47"/>
    </row>
    <row r="265" ht="15.75" customHeight="1">
      <c r="A265" s="47"/>
      <c r="B265" s="47"/>
      <c r="C265" s="47"/>
      <c r="D265" s="47"/>
      <c r="E265" s="47"/>
      <c r="F265" s="47"/>
      <c r="G265" s="47"/>
    </row>
    <row r="266" ht="15.75" customHeight="1">
      <c r="A266" s="47"/>
      <c r="B266" s="47"/>
      <c r="C266" s="47"/>
      <c r="D266" s="47"/>
      <c r="E266" s="47"/>
      <c r="F266" s="47"/>
      <c r="G266" s="47"/>
    </row>
    <row r="267" ht="15.75" customHeight="1">
      <c r="A267" s="47"/>
      <c r="B267" s="47"/>
      <c r="C267" s="47"/>
      <c r="D267" s="47"/>
      <c r="E267" s="47"/>
      <c r="F267" s="47"/>
      <c r="G267" s="47"/>
    </row>
    <row r="268" ht="15.75" customHeight="1">
      <c r="A268" s="47"/>
      <c r="B268" s="47"/>
      <c r="C268" s="47"/>
      <c r="D268" s="47"/>
      <c r="E268" s="47"/>
      <c r="F268" s="47"/>
      <c r="G268" s="47"/>
    </row>
    <row r="269" ht="15.75" customHeight="1">
      <c r="A269" s="47"/>
      <c r="B269" s="47"/>
      <c r="C269" s="47"/>
      <c r="D269" s="47"/>
      <c r="E269" s="47"/>
      <c r="F269" s="47"/>
      <c r="G269" s="47"/>
    </row>
    <row r="270" ht="15.75" customHeight="1">
      <c r="A270" s="47"/>
      <c r="B270" s="47"/>
      <c r="C270" s="47"/>
      <c r="D270" s="47"/>
      <c r="E270" s="47"/>
      <c r="F270" s="47"/>
      <c r="G270" s="47"/>
    </row>
    <row r="271" ht="15.75" customHeight="1">
      <c r="A271" s="47"/>
      <c r="B271" s="47"/>
      <c r="C271" s="47"/>
      <c r="D271" s="47"/>
      <c r="E271" s="47"/>
      <c r="F271" s="47"/>
      <c r="G271" s="47"/>
    </row>
    <row r="272" ht="15.75" customHeight="1">
      <c r="A272" s="47"/>
      <c r="B272" s="47"/>
      <c r="C272" s="47"/>
      <c r="D272" s="47"/>
      <c r="E272" s="47"/>
      <c r="F272" s="47"/>
      <c r="G272" s="47"/>
    </row>
    <row r="273" ht="15.75" customHeight="1">
      <c r="A273" s="47"/>
      <c r="B273" s="47"/>
      <c r="C273" s="47"/>
      <c r="D273" s="47"/>
      <c r="E273" s="47"/>
      <c r="F273" s="47"/>
      <c r="G273" s="47"/>
    </row>
    <row r="274" ht="15.75" customHeight="1">
      <c r="A274" s="47"/>
      <c r="B274" s="47"/>
      <c r="C274" s="47"/>
      <c r="D274" s="47"/>
      <c r="E274" s="47"/>
      <c r="F274" s="47"/>
      <c r="G274" s="47"/>
    </row>
    <row r="275" ht="15.75" customHeight="1">
      <c r="A275" s="47"/>
      <c r="B275" s="47"/>
      <c r="C275" s="47"/>
      <c r="D275" s="47"/>
      <c r="E275" s="47"/>
      <c r="F275" s="47"/>
      <c r="G275" s="47"/>
    </row>
    <row r="276" ht="15.75" customHeight="1">
      <c r="A276" s="47"/>
      <c r="B276" s="47"/>
      <c r="C276" s="47"/>
      <c r="D276" s="47"/>
      <c r="E276" s="47"/>
      <c r="F276" s="47"/>
      <c r="G276" s="47"/>
    </row>
    <row r="277" ht="15.75" customHeight="1">
      <c r="A277" s="47"/>
      <c r="B277" s="47"/>
      <c r="C277" s="47"/>
      <c r="D277" s="47"/>
      <c r="E277" s="47"/>
      <c r="F277" s="47"/>
      <c r="G277" s="47"/>
    </row>
    <row r="278" ht="15.75" customHeight="1">
      <c r="A278" s="47"/>
      <c r="B278" s="47"/>
      <c r="C278" s="47"/>
      <c r="D278" s="47"/>
      <c r="E278" s="47"/>
      <c r="F278" s="47"/>
      <c r="G278" s="47"/>
    </row>
    <row r="279" ht="15.75" customHeight="1">
      <c r="A279" s="47"/>
      <c r="B279" s="47"/>
      <c r="C279" s="47"/>
      <c r="D279" s="47"/>
      <c r="E279" s="47"/>
      <c r="F279" s="47"/>
      <c r="G279" s="47"/>
    </row>
    <row r="280" ht="15.75" customHeight="1">
      <c r="A280" s="47"/>
      <c r="B280" s="47"/>
      <c r="C280" s="47"/>
      <c r="D280" s="47"/>
      <c r="E280" s="47"/>
      <c r="F280" s="47"/>
      <c r="G280" s="47"/>
    </row>
    <row r="281" ht="15.75" customHeight="1">
      <c r="A281" s="47"/>
      <c r="B281" s="47"/>
      <c r="C281" s="47"/>
      <c r="D281" s="47"/>
      <c r="E281" s="47"/>
      <c r="F281" s="47"/>
      <c r="G281" s="47"/>
    </row>
    <row r="282" ht="15.75" customHeight="1">
      <c r="A282" s="47"/>
      <c r="B282" s="47"/>
      <c r="C282" s="47"/>
      <c r="D282" s="47"/>
      <c r="E282" s="47"/>
      <c r="F282" s="47"/>
      <c r="G282" s="47"/>
    </row>
    <row r="283" ht="15.75" customHeight="1">
      <c r="A283" s="47"/>
      <c r="B283" s="47"/>
      <c r="C283" s="47"/>
      <c r="D283" s="47"/>
      <c r="E283" s="47"/>
      <c r="F283" s="47"/>
      <c r="G283" s="47"/>
    </row>
    <row r="284" ht="15.75" customHeight="1">
      <c r="A284" s="47"/>
      <c r="B284" s="47"/>
      <c r="C284" s="47"/>
      <c r="D284" s="47"/>
      <c r="E284" s="47"/>
      <c r="F284" s="47"/>
      <c r="G284" s="47"/>
    </row>
    <row r="285" ht="15.75" customHeight="1">
      <c r="A285" s="47"/>
      <c r="B285" s="47"/>
      <c r="C285" s="47"/>
      <c r="D285" s="47"/>
      <c r="E285" s="47"/>
      <c r="F285" s="47"/>
      <c r="G285" s="47"/>
    </row>
    <row r="286" ht="15.75" customHeight="1">
      <c r="A286" s="47"/>
      <c r="B286" s="47"/>
      <c r="C286" s="47"/>
      <c r="D286" s="47"/>
      <c r="E286" s="47"/>
      <c r="F286" s="47"/>
      <c r="G286" s="47"/>
    </row>
    <row r="287" ht="15.75" customHeight="1">
      <c r="A287" s="47"/>
      <c r="B287" s="47"/>
      <c r="C287" s="47"/>
      <c r="D287" s="47"/>
      <c r="E287" s="47"/>
      <c r="F287" s="47"/>
      <c r="G287" s="47"/>
    </row>
    <row r="288" ht="15.75" customHeight="1">
      <c r="A288" s="47"/>
      <c r="B288" s="47"/>
      <c r="C288" s="47"/>
      <c r="D288" s="47"/>
      <c r="E288" s="47"/>
      <c r="F288" s="47"/>
      <c r="G288" s="47"/>
    </row>
    <row r="289" ht="15.75" customHeight="1">
      <c r="A289" s="47"/>
      <c r="B289" s="47"/>
      <c r="C289" s="47"/>
      <c r="D289" s="47"/>
      <c r="E289" s="47"/>
      <c r="F289" s="47"/>
      <c r="G289" s="47"/>
    </row>
    <row r="290" ht="15.75" customHeight="1">
      <c r="A290" s="47"/>
      <c r="B290" s="47"/>
      <c r="C290" s="47"/>
      <c r="D290" s="47"/>
      <c r="E290" s="47"/>
      <c r="F290" s="47"/>
      <c r="G290" s="47"/>
    </row>
    <row r="291" ht="15.75" customHeight="1">
      <c r="A291" s="47"/>
      <c r="B291" s="47"/>
      <c r="C291" s="47"/>
      <c r="D291" s="47"/>
      <c r="E291" s="47"/>
      <c r="F291" s="47"/>
      <c r="G291" s="47"/>
    </row>
    <row r="292" ht="15.75" customHeight="1">
      <c r="A292" s="47"/>
      <c r="B292" s="47"/>
      <c r="C292" s="47"/>
      <c r="D292" s="47"/>
      <c r="E292" s="47"/>
      <c r="F292" s="47"/>
      <c r="G292" s="47"/>
    </row>
    <row r="293" ht="15.75" customHeight="1">
      <c r="A293" s="47"/>
      <c r="B293" s="47"/>
      <c r="C293" s="47"/>
      <c r="D293" s="47"/>
      <c r="E293" s="47"/>
      <c r="F293" s="47"/>
      <c r="G293" s="47"/>
    </row>
    <row r="294" ht="15.75" customHeight="1">
      <c r="A294" s="47"/>
      <c r="B294" s="47"/>
      <c r="C294" s="47"/>
      <c r="D294" s="47"/>
      <c r="E294" s="47"/>
      <c r="F294" s="47"/>
      <c r="G294" s="47"/>
    </row>
    <row r="295" ht="15.75" customHeight="1">
      <c r="A295" s="47"/>
      <c r="B295" s="47"/>
      <c r="C295" s="47"/>
      <c r="D295" s="47"/>
      <c r="E295" s="47"/>
      <c r="F295" s="47"/>
      <c r="G295" s="47"/>
    </row>
    <row r="296" ht="15.75" customHeight="1">
      <c r="A296" s="47"/>
      <c r="B296" s="47"/>
      <c r="C296" s="47"/>
      <c r="D296" s="47"/>
      <c r="E296" s="47"/>
      <c r="F296" s="47"/>
      <c r="G296" s="47"/>
    </row>
    <row r="297" ht="15.75" customHeight="1">
      <c r="A297" s="47"/>
      <c r="B297" s="47"/>
      <c r="C297" s="47"/>
      <c r="D297" s="47"/>
      <c r="E297" s="47"/>
      <c r="F297" s="47"/>
      <c r="G297" s="47"/>
    </row>
    <row r="298" ht="15.75" customHeight="1">
      <c r="A298" s="47"/>
      <c r="B298" s="47"/>
      <c r="C298" s="47"/>
      <c r="D298" s="47"/>
      <c r="E298" s="47"/>
      <c r="F298" s="47"/>
      <c r="G298" s="47"/>
    </row>
    <row r="299" ht="15.75" customHeight="1">
      <c r="A299" s="47"/>
      <c r="B299" s="47"/>
      <c r="C299" s="47"/>
      <c r="D299" s="47"/>
      <c r="E299" s="47"/>
      <c r="F299" s="47"/>
      <c r="G299" s="47"/>
    </row>
    <row r="300" ht="15.75" customHeight="1">
      <c r="A300" s="47"/>
      <c r="B300" s="47"/>
      <c r="C300" s="47"/>
      <c r="D300" s="47"/>
      <c r="E300" s="47"/>
      <c r="F300" s="47"/>
      <c r="G300" s="47"/>
    </row>
    <row r="301" ht="15.75" customHeight="1">
      <c r="A301" s="47"/>
      <c r="B301" s="47"/>
      <c r="C301" s="47"/>
      <c r="D301" s="47"/>
      <c r="E301" s="47"/>
      <c r="F301" s="47"/>
      <c r="G301" s="47"/>
    </row>
    <row r="302" ht="15.75" customHeight="1">
      <c r="A302" s="47"/>
      <c r="B302" s="47"/>
      <c r="C302" s="47"/>
      <c r="D302" s="47"/>
      <c r="E302" s="47"/>
      <c r="F302" s="47"/>
      <c r="G302" s="47"/>
    </row>
    <row r="303" ht="15.75" customHeight="1">
      <c r="A303" s="47"/>
      <c r="B303" s="47"/>
      <c r="C303" s="47"/>
      <c r="D303" s="47"/>
      <c r="E303" s="47"/>
      <c r="F303" s="47"/>
      <c r="G303" s="47"/>
    </row>
    <row r="304" ht="15.75" customHeight="1">
      <c r="A304" s="47"/>
      <c r="B304" s="47"/>
      <c r="C304" s="47"/>
      <c r="D304" s="47"/>
      <c r="E304" s="47"/>
      <c r="F304" s="47"/>
      <c r="G304" s="47"/>
    </row>
    <row r="305" ht="15.75" customHeight="1">
      <c r="A305" s="47"/>
      <c r="B305" s="47"/>
      <c r="C305" s="47"/>
      <c r="D305" s="47"/>
      <c r="E305" s="47"/>
      <c r="F305" s="47"/>
      <c r="G305" s="47"/>
    </row>
    <row r="306" ht="15.75" customHeight="1">
      <c r="A306" s="47"/>
      <c r="B306" s="47"/>
      <c r="C306" s="47"/>
      <c r="D306" s="47"/>
      <c r="E306" s="47"/>
      <c r="F306" s="47"/>
      <c r="G306" s="47"/>
    </row>
    <row r="307" ht="15.75" customHeight="1">
      <c r="A307" s="47"/>
      <c r="B307" s="47"/>
      <c r="C307" s="47"/>
      <c r="D307" s="47"/>
      <c r="E307" s="47"/>
      <c r="F307" s="47"/>
      <c r="G307" s="47"/>
    </row>
    <row r="308" ht="15.75" customHeight="1">
      <c r="A308" s="47"/>
      <c r="B308" s="47"/>
      <c r="C308" s="47"/>
      <c r="D308" s="47"/>
      <c r="E308" s="47"/>
      <c r="F308" s="47"/>
      <c r="G308" s="47"/>
    </row>
    <row r="309" ht="15.75" customHeight="1">
      <c r="A309" s="47"/>
      <c r="B309" s="47"/>
      <c r="C309" s="47"/>
      <c r="D309" s="47"/>
      <c r="E309" s="47"/>
      <c r="F309" s="47"/>
      <c r="G309" s="47"/>
    </row>
    <row r="310" ht="15.75" customHeight="1">
      <c r="A310" s="47"/>
      <c r="B310" s="47"/>
      <c r="C310" s="47"/>
      <c r="D310" s="47"/>
      <c r="E310" s="47"/>
      <c r="F310" s="47"/>
      <c r="G310" s="47"/>
    </row>
    <row r="311" ht="15.75" customHeight="1">
      <c r="A311" s="47"/>
      <c r="B311" s="47"/>
      <c r="C311" s="47"/>
      <c r="D311" s="47"/>
      <c r="E311" s="47"/>
      <c r="F311" s="47"/>
      <c r="G311" s="47"/>
    </row>
    <row r="312" ht="15.75" customHeight="1">
      <c r="A312" s="47"/>
      <c r="B312" s="47"/>
      <c r="C312" s="47"/>
      <c r="D312" s="47"/>
      <c r="E312" s="47"/>
      <c r="F312" s="47"/>
      <c r="G312" s="47"/>
    </row>
    <row r="313" ht="15.75" customHeight="1">
      <c r="A313" s="47"/>
      <c r="B313" s="47"/>
      <c r="C313" s="47"/>
      <c r="D313" s="47"/>
      <c r="E313" s="47"/>
      <c r="F313" s="47"/>
      <c r="G313" s="47"/>
    </row>
    <row r="314" ht="15.75" customHeight="1">
      <c r="A314" s="47"/>
      <c r="B314" s="47"/>
      <c r="C314" s="47"/>
      <c r="D314" s="47"/>
      <c r="E314" s="47"/>
      <c r="F314" s="47"/>
      <c r="G314" s="47"/>
    </row>
    <row r="315" ht="15.75" customHeight="1">
      <c r="A315" s="47"/>
      <c r="B315" s="47"/>
      <c r="C315" s="47"/>
      <c r="D315" s="47"/>
      <c r="E315" s="47"/>
      <c r="F315" s="47"/>
      <c r="G315" s="47"/>
    </row>
    <row r="316" ht="15.75" customHeight="1">
      <c r="A316" s="47"/>
      <c r="B316" s="47"/>
      <c r="C316" s="47"/>
      <c r="D316" s="47"/>
      <c r="E316" s="47"/>
      <c r="F316" s="47"/>
      <c r="G316" s="47"/>
    </row>
    <row r="317" ht="15.75" customHeight="1">
      <c r="A317" s="47"/>
      <c r="B317" s="47"/>
      <c r="C317" s="47"/>
      <c r="D317" s="47"/>
      <c r="E317" s="47"/>
      <c r="F317" s="47"/>
      <c r="G317" s="47"/>
    </row>
    <row r="318" ht="15.75" customHeight="1">
      <c r="A318" s="47"/>
      <c r="B318" s="47"/>
      <c r="C318" s="47"/>
      <c r="D318" s="47"/>
      <c r="E318" s="47"/>
      <c r="F318" s="47"/>
      <c r="G318" s="47"/>
    </row>
    <row r="319" ht="15.75" customHeight="1">
      <c r="A319" s="47"/>
      <c r="B319" s="47"/>
      <c r="C319" s="47"/>
      <c r="D319" s="47"/>
      <c r="E319" s="47"/>
      <c r="F319" s="47"/>
      <c r="G319" s="47"/>
    </row>
    <row r="320" ht="15.75" customHeight="1">
      <c r="A320" s="47"/>
      <c r="B320" s="47"/>
      <c r="C320" s="47"/>
      <c r="D320" s="47"/>
      <c r="E320" s="47"/>
      <c r="F320" s="47"/>
      <c r="G320" s="47"/>
    </row>
    <row r="321" ht="15.75" customHeight="1">
      <c r="A321" s="47"/>
      <c r="B321" s="47"/>
      <c r="C321" s="47"/>
      <c r="D321" s="47"/>
      <c r="E321" s="47"/>
      <c r="F321" s="47"/>
      <c r="G321" s="47"/>
    </row>
    <row r="322" ht="15.75" customHeight="1">
      <c r="A322" s="47"/>
      <c r="B322" s="47"/>
      <c r="C322" s="47"/>
      <c r="D322" s="47"/>
      <c r="E322" s="47"/>
      <c r="F322" s="47"/>
      <c r="G322" s="47"/>
    </row>
    <row r="323" ht="15.75" customHeight="1">
      <c r="A323" s="47"/>
      <c r="B323" s="47"/>
      <c r="C323" s="47"/>
      <c r="D323" s="47"/>
      <c r="E323" s="47"/>
      <c r="F323" s="47"/>
      <c r="G323" s="47"/>
    </row>
    <row r="324" ht="15.75" customHeight="1">
      <c r="A324" s="47"/>
      <c r="B324" s="47"/>
      <c r="C324" s="47"/>
      <c r="D324" s="47"/>
      <c r="E324" s="47"/>
      <c r="F324" s="47"/>
      <c r="G324" s="47"/>
    </row>
    <row r="325" ht="15.75" customHeight="1">
      <c r="A325" s="47"/>
      <c r="B325" s="47"/>
      <c r="C325" s="47"/>
      <c r="D325" s="47"/>
      <c r="E325" s="47"/>
      <c r="F325" s="47"/>
      <c r="G325" s="47"/>
    </row>
    <row r="326" ht="15.75" customHeight="1">
      <c r="A326" s="47"/>
      <c r="B326" s="47"/>
      <c r="C326" s="47"/>
      <c r="D326" s="47"/>
      <c r="E326" s="47"/>
      <c r="F326" s="47"/>
      <c r="G326" s="47"/>
    </row>
    <row r="327" ht="15.75" customHeight="1">
      <c r="A327" s="47"/>
      <c r="B327" s="47"/>
      <c r="C327" s="47"/>
      <c r="D327" s="47"/>
      <c r="E327" s="47"/>
      <c r="F327" s="47"/>
      <c r="G327" s="47"/>
    </row>
    <row r="328" ht="15.75" customHeight="1">
      <c r="A328" s="47"/>
      <c r="B328" s="47"/>
      <c r="C328" s="47"/>
      <c r="D328" s="47"/>
      <c r="E328" s="47"/>
      <c r="F328" s="47"/>
      <c r="G328" s="47"/>
    </row>
    <row r="329" ht="15.75" customHeight="1">
      <c r="A329" s="47"/>
      <c r="B329" s="47"/>
      <c r="C329" s="47"/>
      <c r="D329" s="47"/>
      <c r="E329" s="47"/>
      <c r="F329" s="47"/>
      <c r="G329" s="47"/>
    </row>
    <row r="330" ht="15.75" customHeight="1">
      <c r="A330" s="47"/>
      <c r="B330" s="47"/>
      <c r="C330" s="47"/>
      <c r="D330" s="47"/>
      <c r="E330" s="47"/>
      <c r="F330" s="47"/>
      <c r="G330" s="47"/>
    </row>
    <row r="331" ht="15.75" customHeight="1">
      <c r="A331" s="47"/>
      <c r="B331" s="47"/>
      <c r="C331" s="47"/>
      <c r="D331" s="47"/>
      <c r="E331" s="47"/>
      <c r="F331" s="47"/>
      <c r="G331" s="47"/>
    </row>
    <row r="332" ht="15.75" customHeight="1">
      <c r="A332" s="47"/>
      <c r="B332" s="47"/>
      <c r="C332" s="47"/>
      <c r="D332" s="47"/>
      <c r="E332" s="47"/>
      <c r="F332" s="47"/>
      <c r="G332" s="47"/>
    </row>
    <row r="333" ht="15.75" customHeight="1">
      <c r="A333" s="47"/>
      <c r="B333" s="47"/>
      <c r="C333" s="47"/>
      <c r="D333" s="47"/>
      <c r="E333" s="47"/>
      <c r="F333" s="47"/>
      <c r="G333" s="47"/>
    </row>
    <row r="334" ht="15.75" customHeight="1">
      <c r="A334" s="47"/>
      <c r="B334" s="47"/>
      <c r="C334" s="47"/>
      <c r="D334" s="47"/>
      <c r="E334" s="47"/>
      <c r="F334" s="47"/>
      <c r="G334" s="47"/>
    </row>
    <row r="335" ht="15.75" customHeight="1">
      <c r="A335" s="47"/>
      <c r="B335" s="47"/>
      <c r="C335" s="47"/>
      <c r="D335" s="47"/>
      <c r="E335" s="47"/>
      <c r="F335" s="47"/>
      <c r="G335" s="47"/>
    </row>
    <row r="336" ht="15.75" customHeight="1">
      <c r="A336" s="47"/>
      <c r="B336" s="47"/>
      <c r="C336" s="47"/>
      <c r="D336" s="47"/>
      <c r="E336" s="47"/>
      <c r="F336" s="47"/>
      <c r="G336" s="47"/>
    </row>
    <row r="337" ht="15.75" customHeight="1">
      <c r="A337" s="47"/>
      <c r="B337" s="47"/>
      <c r="C337" s="47"/>
      <c r="D337" s="47"/>
      <c r="E337" s="47"/>
      <c r="F337" s="47"/>
      <c r="G337" s="47"/>
    </row>
    <row r="338" ht="15.75" customHeight="1">
      <c r="A338" s="47"/>
      <c r="B338" s="47"/>
      <c r="C338" s="47"/>
      <c r="D338" s="47"/>
      <c r="E338" s="47"/>
      <c r="F338" s="47"/>
      <c r="G338" s="47"/>
    </row>
    <row r="339" ht="15.75" customHeight="1">
      <c r="A339" s="47"/>
      <c r="B339" s="47"/>
      <c r="C339" s="47"/>
      <c r="D339" s="47"/>
      <c r="E339" s="47"/>
      <c r="F339" s="47"/>
      <c r="G339" s="47"/>
    </row>
    <row r="340" ht="15.75" customHeight="1">
      <c r="A340" s="47"/>
      <c r="B340" s="47"/>
      <c r="C340" s="47"/>
      <c r="D340" s="47"/>
      <c r="E340" s="47"/>
      <c r="F340" s="47"/>
      <c r="G340" s="47"/>
    </row>
    <row r="341" ht="15.75" customHeight="1">
      <c r="A341" s="47"/>
      <c r="B341" s="47"/>
      <c r="C341" s="47"/>
      <c r="D341" s="47"/>
      <c r="E341" s="47"/>
      <c r="F341" s="47"/>
      <c r="G341" s="47"/>
    </row>
    <row r="342" ht="15.75" customHeight="1">
      <c r="A342" s="47"/>
      <c r="B342" s="47"/>
      <c r="C342" s="47"/>
      <c r="D342" s="47"/>
      <c r="E342" s="47"/>
      <c r="F342" s="47"/>
      <c r="G342" s="47"/>
    </row>
    <row r="343" ht="15.75" customHeight="1">
      <c r="A343" s="47"/>
      <c r="B343" s="47"/>
      <c r="C343" s="47"/>
      <c r="D343" s="47"/>
      <c r="E343" s="47"/>
      <c r="F343" s="47"/>
      <c r="G343" s="47"/>
    </row>
    <row r="344" ht="15.75" customHeight="1">
      <c r="A344" s="47"/>
      <c r="B344" s="47"/>
      <c r="C344" s="47"/>
      <c r="D344" s="47"/>
      <c r="E344" s="47"/>
      <c r="F344" s="47"/>
      <c r="G344" s="47"/>
    </row>
    <row r="345" ht="15.75" customHeight="1">
      <c r="A345" s="47"/>
      <c r="B345" s="47"/>
      <c r="C345" s="47"/>
      <c r="D345" s="47"/>
      <c r="E345" s="47"/>
      <c r="F345" s="47"/>
      <c r="G345" s="47"/>
    </row>
    <row r="346" ht="15.75" customHeight="1">
      <c r="A346" s="47"/>
      <c r="B346" s="47"/>
      <c r="C346" s="47"/>
      <c r="D346" s="47"/>
      <c r="E346" s="47"/>
      <c r="F346" s="47"/>
      <c r="G346" s="47"/>
    </row>
    <row r="347" ht="15.75" customHeight="1">
      <c r="A347" s="47"/>
      <c r="B347" s="47"/>
      <c r="C347" s="47"/>
      <c r="D347" s="47"/>
      <c r="E347" s="47"/>
      <c r="F347" s="47"/>
      <c r="G347" s="47"/>
    </row>
    <row r="348" ht="15.75" customHeight="1">
      <c r="A348" s="47"/>
      <c r="B348" s="47"/>
      <c r="C348" s="47"/>
      <c r="D348" s="47"/>
      <c r="E348" s="47"/>
      <c r="F348" s="47"/>
      <c r="G348" s="47"/>
    </row>
    <row r="349" ht="15.75" customHeight="1">
      <c r="A349" s="47"/>
      <c r="B349" s="47"/>
      <c r="C349" s="47"/>
      <c r="D349" s="47"/>
      <c r="E349" s="47"/>
      <c r="F349" s="47"/>
      <c r="G349" s="47"/>
    </row>
    <row r="350" ht="15.75" customHeight="1">
      <c r="A350" s="47"/>
      <c r="B350" s="47"/>
      <c r="C350" s="47"/>
      <c r="D350" s="47"/>
      <c r="E350" s="47"/>
      <c r="F350" s="47"/>
      <c r="G350" s="47"/>
    </row>
    <row r="351" ht="15.75" customHeight="1">
      <c r="A351" s="47"/>
      <c r="B351" s="47"/>
      <c r="C351" s="47"/>
      <c r="D351" s="47"/>
      <c r="E351" s="47"/>
      <c r="F351" s="47"/>
      <c r="G351" s="47"/>
    </row>
    <row r="352" ht="15.75" customHeight="1">
      <c r="A352" s="47"/>
      <c r="B352" s="47"/>
      <c r="C352" s="47"/>
      <c r="D352" s="47"/>
      <c r="E352" s="47"/>
      <c r="F352" s="47"/>
      <c r="G352" s="47"/>
    </row>
    <row r="353" ht="15.75" customHeight="1">
      <c r="A353" s="47"/>
      <c r="B353" s="47"/>
      <c r="C353" s="47"/>
      <c r="D353" s="47"/>
      <c r="E353" s="47"/>
      <c r="F353" s="47"/>
      <c r="G353" s="47"/>
    </row>
    <row r="354" ht="15.75" customHeight="1">
      <c r="A354" s="47"/>
      <c r="B354" s="47"/>
      <c r="C354" s="47"/>
      <c r="D354" s="47"/>
      <c r="E354" s="47"/>
      <c r="F354" s="47"/>
      <c r="G354" s="47"/>
    </row>
    <row r="355" ht="15.75" customHeight="1">
      <c r="A355" s="47"/>
      <c r="B355" s="47"/>
      <c r="C355" s="47"/>
      <c r="D355" s="47"/>
      <c r="E355" s="47"/>
      <c r="F355" s="47"/>
      <c r="G355" s="47"/>
    </row>
    <row r="356" ht="15.75" customHeight="1">
      <c r="A356" s="47"/>
      <c r="B356" s="47"/>
      <c r="C356" s="47"/>
      <c r="D356" s="47"/>
      <c r="E356" s="47"/>
      <c r="F356" s="47"/>
      <c r="G356" s="47"/>
    </row>
    <row r="357" ht="15.75" customHeight="1">
      <c r="A357" s="47"/>
      <c r="B357" s="47"/>
      <c r="C357" s="47"/>
      <c r="D357" s="47"/>
      <c r="E357" s="47"/>
      <c r="F357" s="47"/>
      <c r="G357" s="47"/>
    </row>
    <row r="358" ht="15.75" customHeight="1">
      <c r="A358" s="47"/>
      <c r="B358" s="47"/>
      <c r="C358" s="47"/>
      <c r="D358" s="47"/>
      <c r="E358" s="47"/>
      <c r="F358" s="47"/>
      <c r="G358" s="47"/>
    </row>
    <row r="359" ht="15.75" customHeight="1">
      <c r="A359" s="47"/>
      <c r="B359" s="47"/>
      <c r="C359" s="47"/>
      <c r="D359" s="47"/>
      <c r="E359" s="47"/>
      <c r="F359" s="47"/>
      <c r="G359" s="47"/>
    </row>
    <row r="360" ht="15.75" customHeight="1">
      <c r="A360" s="47"/>
      <c r="B360" s="47"/>
      <c r="C360" s="47"/>
      <c r="D360" s="47"/>
      <c r="E360" s="47"/>
      <c r="F360" s="47"/>
      <c r="G360" s="47"/>
    </row>
    <row r="361" ht="15.75" customHeight="1">
      <c r="A361" s="47"/>
      <c r="B361" s="47"/>
      <c r="C361" s="47"/>
      <c r="D361" s="47"/>
      <c r="E361" s="47"/>
      <c r="F361" s="47"/>
      <c r="G361" s="47"/>
    </row>
    <row r="362" ht="15.75" customHeight="1">
      <c r="A362" s="47"/>
      <c r="B362" s="47"/>
      <c r="C362" s="47"/>
      <c r="D362" s="47"/>
      <c r="E362" s="47"/>
      <c r="F362" s="47"/>
      <c r="G362" s="47"/>
    </row>
    <row r="363" ht="15.75" customHeight="1">
      <c r="A363" s="47"/>
      <c r="B363" s="47"/>
      <c r="C363" s="47"/>
      <c r="D363" s="47"/>
      <c r="E363" s="47"/>
      <c r="F363" s="47"/>
      <c r="G363" s="47"/>
    </row>
    <row r="364" ht="15.75" customHeight="1">
      <c r="A364" s="47"/>
      <c r="B364" s="47"/>
      <c r="C364" s="47"/>
      <c r="D364" s="47"/>
      <c r="E364" s="47"/>
      <c r="F364" s="47"/>
      <c r="G364" s="47"/>
    </row>
    <row r="365" ht="15.75" customHeight="1">
      <c r="A365" s="47"/>
      <c r="B365" s="47"/>
      <c r="C365" s="47"/>
      <c r="D365" s="47"/>
      <c r="E365" s="47"/>
      <c r="F365" s="47"/>
      <c r="G365" s="47"/>
    </row>
    <row r="366" ht="15.75" customHeight="1">
      <c r="A366" s="47"/>
      <c r="B366" s="47"/>
      <c r="C366" s="47"/>
      <c r="D366" s="47"/>
      <c r="E366" s="47"/>
      <c r="F366" s="47"/>
      <c r="G366" s="47"/>
    </row>
    <row r="367" ht="15.75" customHeight="1">
      <c r="A367" s="47"/>
      <c r="B367" s="47"/>
      <c r="C367" s="47"/>
      <c r="D367" s="47"/>
      <c r="E367" s="47"/>
      <c r="F367" s="47"/>
      <c r="G367" s="47"/>
    </row>
    <row r="368" ht="15.75" customHeight="1">
      <c r="A368" s="47"/>
      <c r="B368" s="47"/>
      <c r="C368" s="47"/>
      <c r="D368" s="47"/>
      <c r="E368" s="47"/>
      <c r="F368" s="47"/>
      <c r="G368" s="47"/>
    </row>
    <row r="369" ht="15.75" customHeight="1">
      <c r="A369" s="47"/>
      <c r="B369" s="47"/>
      <c r="C369" s="47"/>
      <c r="D369" s="47"/>
      <c r="E369" s="47"/>
      <c r="F369" s="47"/>
      <c r="G369" s="47"/>
    </row>
    <row r="370" ht="15.75" customHeight="1">
      <c r="A370" s="47"/>
      <c r="B370" s="47"/>
      <c r="C370" s="47"/>
      <c r="D370" s="47"/>
      <c r="E370" s="47"/>
      <c r="F370" s="47"/>
      <c r="G370" s="47"/>
    </row>
    <row r="371" ht="15.75" customHeight="1">
      <c r="A371" s="47"/>
      <c r="B371" s="47"/>
      <c r="C371" s="47"/>
      <c r="D371" s="47"/>
      <c r="E371" s="47"/>
      <c r="F371" s="47"/>
      <c r="G371" s="47"/>
    </row>
    <row r="372" ht="15.75" customHeight="1">
      <c r="A372" s="47"/>
      <c r="B372" s="47"/>
      <c r="C372" s="47"/>
      <c r="D372" s="47"/>
      <c r="E372" s="47"/>
      <c r="F372" s="47"/>
      <c r="G372" s="47"/>
    </row>
    <row r="373" ht="15.75" customHeight="1">
      <c r="A373" s="47"/>
      <c r="B373" s="47"/>
      <c r="C373" s="47"/>
      <c r="D373" s="47"/>
      <c r="E373" s="47"/>
      <c r="F373" s="47"/>
      <c r="G373" s="47"/>
    </row>
    <row r="374" ht="15.75" customHeight="1">
      <c r="A374" s="47"/>
      <c r="B374" s="47"/>
      <c r="C374" s="47"/>
      <c r="D374" s="47"/>
      <c r="E374" s="47"/>
      <c r="F374" s="47"/>
      <c r="G374" s="47"/>
    </row>
    <row r="375" ht="15.75" customHeight="1">
      <c r="A375" s="47"/>
      <c r="B375" s="47"/>
      <c r="C375" s="47"/>
      <c r="D375" s="47"/>
      <c r="E375" s="47"/>
      <c r="F375" s="47"/>
      <c r="G375" s="47"/>
    </row>
    <row r="376" ht="15.75" customHeight="1">
      <c r="A376" s="47"/>
      <c r="B376" s="47"/>
      <c r="C376" s="47"/>
      <c r="D376" s="47"/>
      <c r="E376" s="47"/>
      <c r="F376" s="47"/>
      <c r="G376" s="47"/>
    </row>
    <row r="377" ht="15.75" customHeight="1">
      <c r="A377" s="47"/>
      <c r="B377" s="47"/>
      <c r="C377" s="47"/>
      <c r="D377" s="47"/>
      <c r="E377" s="47"/>
      <c r="F377" s="47"/>
      <c r="G377" s="47"/>
    </row>
    <row r="378" ht="15.75" customHeight="1">
      <c r="A378" s="47"/>
      <c r="B378" s="47"/>
      <c r="C378" s="47"/>
      <c r="D378" s="47"/>
      <c r="E378" s="47"/>
      <c r="F378" s="47"/>
      <c r="G378" s="47"/>
    </row>
    <row r="379" ht="15.75" customHeight="1">
      <c r="A379" s="47"/>
      <c r="B379" s="47"/>
      <c r="C379" s="47"/>
      <c r="D379" s="47"/>
      <c r="E379" s="47"/>
      <c r="F379" s="47"/>
      <c r="G379" s="47"/>
    </row>
    <row r="380" ht="15.75" customHeight="1">
      <c r="A380" s="47"/>
      <c r="B380" s="47"/>
      <c r="C380" s="47"/>
      <c r="D380" s="47"/>
      <c r="E380" s="47"/>
      <c r="F380" s="47"/>
      <c r="G380" s="47"/>
    </row>
    <row r="381" ht="15.75" customHeight="1">
      <c r="A381" s="47"/>
      <c r="B381" s="47"/>
      <c r="C381" s="47"/>
      <c r="D381" s="47"/>
      <c r="E381" s="47"/>
      <c r="F381" s="47"/>
      <c r="G381" s="47"/>
    </row>
    <row r="382" ht="15.75" customHeight="1">
      <c r="A382" s="47"/>
      <c r="B382" s="47"/>
      <c r="C382" s="47"/>
      <c r="D382" s="47"/>
      <c r="E382" s="47"/>
      <c r="F382" s="47"/>
      <c r="G382" s="47"/>
    </row>
    <row r="383" ht="15.75" customHeight="1">
      <c r="A383" s="47"/>
      <c r="B383" s="47"/>
      <c r="C383" s="47"/>
      <c r="D383" s="47"/>
      <c r="E383" s="47"/>
      <c r="F383" s="47"/>
      <c r="G383" s="47"/>
    </row>
    <row r="384" ht="15.75" customHeight="1">
      <c r="A384" s="47"/>
      <c r="B384" s="47"/>
      <c r="C384" s="47"/>
      <c r="D384" s="47"/>
      <c r="E384" s="47"/>
      <c r="F384" s="47"/>
      <c r="G384" s="47"/>
    </row>
    <row r="385" ht="15.75" customHeight="1">
      <c r="A385" s="47"/>
      <c r="B385" s="47"/>
      <c r="C385" s="47"/>
      <c r="D385" s="47"/>
      <c r="E385" s="47"/>
      <c r="F385" s="47"/>
      <c r="G385" s="47"/>
    </row>
    <row r="386" ht="15.75" customHeight="1">
      <c r="A386" s="47"/>
      <c r="B386" s="47"/>
      <c r="C386" s="47"/>
      <c r="D386" s="47"/>
      <c r="E386" s="47"/>
      <c r="F386" s="47"/>
      <c r="G386" s="47"/>
    </row>
    <row r="387" ht="15.75" customHeight="1">
      <c r="A387" s="47"/>
      <c r="B387" s="47"/>
      <c r="C387" s="47"/>
      <c r="D387" s="47"/>
      <c r="E387" s="47"/>
      <c r="F387" s="47"/>
      <c r="G387" s="47"/>
    </row>
    <row r="388" ht="15.75" customHeight="1">
      <c r="A388" s="47"/>
      <c r="B388" s="47"/>
      <c r="C388" s="47"/>
      <c r="D388" s="47"/>
      <c r="E388" s="47"/>
      <c r="F388" s="47"/>
      <c r="G388" s="47"/>
    </row>
    <row r="389" ht="15.75" customHeight="1">
      <c r="A389" s="47"/>
      <c r="B389" s="47"/>
      <c r="C389" s="47"/>
      <c r="D389" s="47"/>
      <c r="E389" s="47"/>
      <c r="F389" s="47"/>
      <c r="G389" s="47"/>
    </row>
    <row r="390" ht="15.75" customHeight="1">
      <c r="A390" s="47"/>
      <c r="B390" s="47"/>
      <c r="C390" s="47"/>
      <c r="D390" s="47"/>
      <c r="E390" s="47"/>
      <c r="F390" s="47"/>
      <c r="G390" s="47"/>
    </row>
    <row r="391" ht="15.75" customHeight="1">
      <c r="A391" s="47"/>
      <c r="B391" s="47"/>
      <c r="C391" s="47"/>
      <c r="D391" s="47"/>
      <c r="E391" s="47"/>
      <c r="F391" s="47"/>
      <c r="G391" s="47"/>
    </row>
    <row r="392" ht="15.75" customHeight="1">
      <c r="A392" s="47"/>
      <c r="B392" s="47"/>
      <c r="C392" s="47"/>
      <c r="D392" s="47"/>
      <c r="E392" s="47"/>
      <c r="F392" s="47"/>
      <c r="G392" s="47"/>
    </row>
    <row r="393" ht="15.75" customHeight="1">
      <c r="A393" s="47"/>
      <c r="B393" s="47"/>
      <c r="C393" s="47"/>
      <c r="D393" s="47"/>
      <c r="E393" s="47"/>
      <c r="F393" s="47"/>
      <c r="G393" s="47"/>
    </row>
    <row r="394" ht="15.75" customHeight="1">
      <c r="A394" s="47"/>
      <c r="B394" s="47"/>
      <c r="C394" s="47"/>
      <c r="D394" s="47"/>
      <c r="E394" s="47"/>
      <c r="F394" s="47"/>
      <c r="G394" s="47"/>
    </row>
    <row r="395" ht="15.75" customHeight="1">
      <c r="A395" s="47"/>
      <c r="B395" s="47"/>
      <c r="C395" s="47"/>
      <c r="D395" s="47"/>
      <c r="E395" s="47"/>
      <c r="F395" s="47"/>
      <c r="G395" s="47"/>
    </row>
    <row r="396" ht="15.75" customHeight="1">
      <c r="A396" s="47"/>
      <c r="B396" s="47"/>
      <c r="C396" s="47"/>
      <c r="D396" s="47"/>
      <c r="E396" s="47"/>
      <c r="F396" s="47"/>
      <c r="G396" s="47"/>
    </row>
    <row r="397" ht="15.75" customHeight="1">
      <c r="A397" s="47"/>
      <c r="B397" s="47"/>
      <c r="C397" s="47"/>
      <c r="D397" s="47"/>
      <c r="E397" s="47"/>
      <c r="F397" s="47"/>
      <c r="G397" s="47"/>
    </row>
    <row r="398" ht="15.75" customHeight="1">
      <c r="A398" s="47"/>
      <c r="B398" s="47"/>
      <c r="C398" s="47"/>
      <c r="D398" s="47"/>
      <c r="E398" s="47"/>
      <c r="F398" s="47"/>
      <c r="G398" s="47"/>
    </row>
    <row r="399" ht="15.75" customHeight="1">
      <c r="A399" s="47"/>
      <c r="B399" s="47"/>
      <c r="C399" s="47"/>
      <c r="D399" s="47"/>
      <c r="E399" s="47"/>
      <c r="F399" s="47"/>
      <c r="G399" s="47"/>
    </row>
    <row r="400" ht="15.75" customHeight="1">
      <c r="A400" s="47"/>
      <c r="B400" s="47"/>
      <c r="C400" s="47"/>
      <c r="D400" s="47"/>
      <c r="E400" s="47"/>
      <c r="F400" s="47"/>
      <c r="G400" s="47"/>
    </row>
    <row r="401" ht="15.75" customHeight="1">
      <c r="A401" s="47"/>
      <c r="B401" s="47"/>
      <c r="C401" s="47"/>
      <c r="D401" s="47"/>
      <c r="E401" s="47"/>
      <c r="F401" s="47"/>
      <c r="G401" s="47"/>
    </row>
    <row r="402" ht="15.75" customHeight="1">
      <c r="A402" s="47"/>
      <c r="B402" s="47"/>
      <c r="C402" s="47"/>
      <c r="D402" s="47"/>
      <c r="E402" s="47"/>
      <c r="F402" s="47"/>
      <c r="G402" s="47"/>
    </row>
    <row r="403" ht="15.75" customHeight="1">
      <c r="A403" s="47"/>
      <c r="B403" s="47"/>
      <c r="C403" s="47"/>
      <c r="D403" s="47"/>
      <c r="E403" s="47"/>
      <c r="F403" s="47"/>
      <c r="G403" s="47"/>
    </row>
    <row r="404" ht="15.75" customHeight="1">
      <c r="A404" s="47"/>
      <c r="B404" s="47"/>
      <c r="C404" s="47"/>
      <c r="D404" s="47"/>
      <c r="E404" s="47"/>
      <c r="F404" s="47"/>
      <c r="G404" s="47"/>
    </row>
    <row r="405" ht="15.75" customHeight="1">
      <c r="A405" s="47"/>
      <c r="B405" s="47"/>
      <c r="C405" s="47"/>
      <c r="D405" s="47"/>
      <c r="E405" s="47"/>
      <c r="F405" s="47"/>
      <c r="G405" s="47"/>
    </row>
    <row r="406" ht="15.75" customHeight="1">
      <c r="A406" s="47"/>
      <c r="B406" s="47"/>
      <c r="C406" s="47"/>
      <c r="D406" s="47"/>
      <c r="E406" s="47"/>
      <c r="F406" s="47"/>
      <c r="G406" s="47"/>
    </row>
    <row r="407" ht="15.75" customHeight="1">
      <c r="A407" s="47"/>
      <c r="B407" s="47"/>
      <c r="C407" s="47"/>
      <c r="D407" s="47"/>
      <c r="E407" s="47"/>
      <c r="F407" s="47"/>
      <c r="G407" s="47"/>
    </row>
    <row r="408" ht="15.75" customHeight="1">
      <c r="A408" s="47"/>
      <c r="B408" s="47"/>
      <c r="C408" s="47"/>
      <c r="D408" s="47"/>
      <c r="E408" s="47"/>
      <c r="F408" s="47"/>
      <c r="G408" s="47"/>
    </row>
    <row r="409" ht="15.75" customHeight="1">
      <c r="A409" s="47"/>
      <c r="B409" s="47"/>
      <c r="C409" s="47"/>
      <c r="D409" s="47"/>
      <c r="E409" s="47"/>
      <c r="F409" s="47"/>
      <c r="G409" s="47"/>
    </row>
    <row r="410" ht="15.75" customHeight="1">
      <c r="A410" s="47"/>
      <c r="B410" s="47"/>
      <c r="C410" s="47"/>
      <c r="D410" s="47"/>
      <c r="E410" s="47"/>
      <c r="F410" s="47"/>
      <c r="G410" s="47"/>
    </row>
    <row r="411" ht="15.75" customHeight="1">
      <c r="A411" s="47"/>
      <c r="B411" s="47"/>
      <c r="C411" s="47"/>
      <c r="D411" s="47"/>
      <c r="E411" s="47"/>
      <c r="F411" s="47"/>
      <c r="G411" s="47"/>
    </row>
    <row r="412" ht="15.75" customHeight="1">
      <c r="A412" s="47"/>
      <c r="B412" s="47"/>
      <c r="C412" s="47"/>
      <c r="D412" s="47"/>
      <c r="E412" s="47"/>
      <c r="F412" s="47"/>
      <c r="G412" s="47"/>
    </row>
    <row r="413" ht="15.75" customHeight="1">
      <c r="A413" s="47"/>
      <c r="B413" s="47"/>
      <c r="C413" s="47"/>
      <c r="D413" s="47"/>
      <c r="E413" s="47"/>
      <c r="F413" s="47"/>
      <c r="G413" s="47"/>
    </row>
    <row r="414" ht="15.75" customHeight="1">
      <c r="A414" s="47"/>
      <c r="B414" s="47"/>
      <c r="C414" s="47"/>
      <c r="D414" s="47"/>
      <c r="E414" s="47"/>
      <c r="F414" s="47"/>
      <c r="G414" s="47"/>
    </row>
    <row r="415" ht="15.75" customHeight="1">
      <c r="A415" s="47"/>
      <c r="B415" s="47"/>
      <c r="C415" s="47"/>
      <c r="D415" s="47"/>
      <c r="E415" s="47"/>
      <c r="F415" s="47"/>
      <c r="G415" s="47"/>
    </row>
    <row r="416" ht="15.75" customHeight="1">
      <c r="A416" s="47"/>
      <c r="B416" s="47"/>
      <c r="C416" s="47"/>
      <c r="D416" s="47"/>
      <c r="E416" s="47"/>
      <c r="F416" s="47"/>
      <c r="G416" s="47"/>
    </row>
    <row r="417" ht="15.75" customHeight="1">
      <c r="A417" s="47"/>
      <c r="B417" s="47"/>
      <c r="C417" s="47"/>
      <c r="D417" s="47"/>
      <c r="E417" s="47"/>
      <c r="F417" s="47"/>
      <c r="G417" s="47"/>
    </row>
    <row r="418" ht="15.75" customHeight="1">
      <c r="A418" s="47"/>
      <c r="B418" s="47"/>
      <c r="C418" s="47"/>
      <c r="D418" s="47"/>
      <c r="E418" s="47"/>
      <c r="F418" s="47"/>
      <c r="G418" s="47"/>
    </row>
    <row r="419" ht="15.75" customHeight="1">
      <c r="A419" s="47"/>
      <c r="B419" s="47"/>
      <c r="C419" s="47"/>
      <c r="D419" s="47"/>
      <c r="E419" s="47"/>
      <c r="F419" s="47"/>
      <c r="G419" s="47"/>
    </row>
    <row r="420" ht="15.75" customHeight="1">
      <c r="A420" s="47"/>
      <c r="B420" s="47"/>
      <c r="C420" s="47"/>
      <c r="D420" s="47"/>
      <c r="E420" s="47"/>
      <c r="F420" s="47"/>
      <c r="G420" s="47"/>
    </row>
    <row r="421" ht="15.75" customHeight="1">
      <c r="A421" s="47"/>
      <c r="B421" s="47"/>
      <c r="C421" s="47"/>
      <c r="D421" s="47"/>
      <c r="E421" s="47"/>
      <c r="F421" s="47"/>
      <c r="G421" s="47"/>
    </row>
    <row r="422" ht="15.75" customHeight="1">
      <c r="A422" s="47"/>
      <c r="B422" s="47"/>
      <c r="C422" s="47"/>
      <c r="D422" s="47"/>
      <c r="E422" s="47"/>
      <c r="F422" s="47"/>
      <c r="G422" s="47"/>
    </row>
    <row r="423" ht="15.75" customHeight="1">
      <c r="A423" s="47"/>
      <c r="B423" s="47"/>
      <c r="C423" s="47"/>
      <c r="D423" s="47"/>
      <c r="E423" s="47"/>
      <c r="F423" s="47"/>
      <c r="G423" s="47"/>
    </row>
    <row r="424" ht="15.75" customHeight="1">
      <c r="A424" s="47"/>
      <c r="B424" s="47"/>
      <c r="C424" s="47"/>
      <c r="D424" s="47"/>
      <c r="E424" s="47"/>
      <c r="F424" s="47"/>
      <c r="G424" s="47"/>
    </row>
    <row r="425" ht="15.75" customHeight="1">
      <c r="A425" s="47"/>
      <c r="B425" s="47"/>
      <c r="C425" s="47"/>
      <c r="D425" s="47"/>
      <c r="E425" s="47"/>
      <c r="F425" s="47"/>
      <c r="G425" s="47"/>
    </row>
    <row r="426" ht="15.75" customHeight="1">
      <c r="A426" s="47"/>
      <c r="B426" s="47"/>
      <c r="C426" s="47"/>
      <c r="D426" s="47"/>
      <c r="E426" s="47"/>
      <c r="F426" s="47"/>
      <c r="G426" s="47"/>
    </row>
    <row r="427" ht="15.75" customHeight="1">
      <c r="A427" s="47"/>
      <c r="B427" s="47"/>
      <c r="C427" s="47"/>
      <c r="D427" s="47"/>
      <c r="E427" s="47"/>
      <c r="F427" s="47"/>
      <c r="G427" s="47"/>
    </row>
    <row r="428" ht="15.75" customHeight="1">
      <c r="A428" s="47"/>
      <c r="B428" s="47"/>
      <c r="C428" s="47"/>
      <c r="D428" s="47"/>
      <c r="E428" s="47"/>
      <c r="F428" s="47"/>
      <c r="G428" s="47"/>
    </row>
    <row r="429" ht="15.75" customHeight="1">
      <c r="A429" s="47"/>
      <c r="B429" s="47"/>
      <c r="C429" s="47"/>
      <c r="D429" s="47"/>
      <c r="E429" s="47"/>
      <c r="F429" s="47"/>
      <c r="G429" s="47"/>
    </row>
    <row r="430" ht="15.75" customHeight="1">
      <c r="A430" s="47"/>
      <c r="B430" s="47"/>
      <c r="C430" s="47"/>
      <c r="D430" s="47"/>
      <c r="E430" s="47"/>
      <c r="F430" s="47"/>
      <c r="G430" s="47"/>
    </row>
    <row r="431" ht="15.75" customHeight="1">
      <c r="A431" s="47"/>
      <c r="B431" s="47"/>
      <c r="C431" s="47"/>
      <c r="D431" s="47"/>
      <c r="E431" s="47"/>
      <c r="F431" s="47"/>
      <c r="G431" s="47"/>
    </row>
    <row r="432" ht="15.75" customHeight="1">
      <c r="A432" s="47"/>
      <c r="B432" s="47"/>
      <c r="C432" s="47"/>
      <c r="D432" s="47"/>
      <c r="E432" s="47"/>
      <c r="F432" s="47"/>
      <c r="G432" s="47"/>
    </row>
    <row r="433" ht="15.75" customHeight="1">
      <c r="A433" s="47"/>
      <c r="B433" s="47"/>
      <c r="C433" s="47"/>
      <c r="D433" s="47"/>
      <c r="E433" s="47"/>
      <c r="F433" s="47"/>
      <c r="G433" s="47"/>
    </row>
    <row r="434" ht="15.75" customHeight="1">
      <c r="A434" s="47"/>
      <c r="B434" s="47"/>
      <c r="C434" s="47"/>
      <c r="D434" s="47"/>
      <c r="E434" s="47"/>
      <c r="F434" s="47"/>
      <c r="G434" s="47"/>
    </row>
    <row r="435" ht="15.75" customHeight="1">
      <c r="A435" s="47"/>
      <c r="B435" s="47"/>
      <c r="C435" s="47"/>
      <c r="D435" s="47"/>
      <c r="E435" s="47"/>
      <c r="F435" s="47"/>
      <c r="G435" s="47"/>
    </row>
    <row r="436" ht="15.75" customHeight="1">
      <c r="A436" s="47"/>
      <c r="B436" s="47"/>
      <c r="C436" s="47"/>
      <c r="D436" s="47"/>
      <c r="E436" s="47"/>
      <c r="F436" s="47"/>
      <c r="G436" s="47"/>
    </row>
    <row r="437" ht="15.75" customHeight="1">
      <c r="A437" s="47"/>
      <c r="B437" s="47"/>
      <c r="C437" s="47"/>
      <c r="D437" s="47"/>
      <c r="E437" s="47"/>
      <c r="F437" s="47"/>
      <c r="G437" s="47"/>
    </row>
    <row r="438" ht="15.75" customHeight="1">
      <c r="A438" s="47"/>
      <c r="B438" s="47"/>
      <c r="C438" s="47"/>
      <c r="D438" s="47"/>
      <c r="E438" s="47"/>
      <c r="F438" s="47"/>
      <c r="G438" s="47"/>
    </row>
    <row r="439" ht="15.75" customHeight="1">
      <c r="A439" s="47"/>
      <c r="B439" s="47"/>
      <c r="C439" s="47"/>
      <c r="D439" s="47"/>
      <c r="E439" s="47"/>
      <c r="F439" s="47"/>
      <c r="G439" s="47"/>
    </row>
    <row r="440" ht="15.75" customHeight="1">
      <c r="A440" s="47"/>
      <c r="B440" s="47"/>
      <c r="C440" s="47"/>
      <c r="D440" s="47"/>
      <c r="E440" s="47"/>
      <c r="F440" s="47"/>
      <c r="G440" s="47"/>
    </row>
    <row r="441" ht="15.75" customHeight="1">
      <c r="A441" s="47"/>
      <c r="B441" s="47"/>
      <c r="C441" s="47"/>
      <c r="D441" s="47"/>
      <c r="E441" s="47"/>
      <c r="F441" s="47"/>
      <c r="G441" s="47"/>
    </row>
    <row r="442" ht="15.75" customHeight="1">
      <c r="A442" s="47"/>
      <c r="B442" s="47"/>
      <c r="C442" s="47"/>
      <c r="D442" s="47"/>
      <c r="E442" s="47"/>
      <c r="F442" s="47"/>
      <c r="G442" s="47"/>
    </row>
    <row r="443" ht="15.75" customHeight="1">
      <c r="A443" s="47"/>
      <c r="B443" s="47"/>
      <c r="C443" s="47"/>
      <c r="D443" s="47"/>
      <c r="E443" s="47"/>
      <c r="F443" s="47"/>
      <c r="G443" s="47"/>
    </row>
    <row r="444" ht="15.75" customHeight="1">
      <c r="A444" s="47"/>
      <c r="B444" s="47"/>
      <c r="C444" s="47"/>
      <c r="D444" s="47"/>
      <c r="E444" s="47"/>
      <c r="F444" s="47"/>
      <c r="G444" s="47"/>
    </row>
    <row r="445" ht="15.75" customHeight="1">
      <c r="A445" s="47"/>
      <c r="B445" s="47"/>
      <c r="C445" s="47"/>
      <c r="D445" s="47"/>
      <c r="E445" s="47"/>
      <c r="F445" s="47"/>
      <c r="G445" s="47"/>
    </row>
    <row r="446" ht="15.75" customHeight="1">
      <c r="A446" s="47"/>
      <c r="B446" s="47"/>
      <c r="C446" s="47"/>
      <c r="D446" s="47"/>
      <c r="E446" s="47"/>
      <c r="F446" s="47"/>
      <c r="G446" s="47"/>
    </row>
    <row r="447" ht="15.75" customHeight="1">
      <c r="A447" s="47"/>
      <c r="B447" s="47"/>
      <c r="C447" s="47"/>
      <c r="D447" s="47"/>
      <c r="E447" s="47"/>
      <c r="F447" s="47"/>
      <c r="G447" s="47"/>
    </row>
    <row r="448" ht="15.75" customHeight="1">
      <c r="A448" s="47"/>
      <c r="B448" s="47"/>
      <c r="C448" s="47"/>
      <c r="D448" s="47"/>
      <c r="E448" s="47"/>
      <c r="F448" s="47"/>
      <c r="G448" s="47"/>
    </row>
    <row r="449" ht="15.75" customHeight="1">
      <c r="A449" s="47"/>
      <c r="B449" s="47"/>
      <c r="C449" s="47"/>
      <c r="D449" s="47"/>
      <c r="E449" s="47"/>
      <c r="F449" s="47"/>
      <c r="G449" s="47"/>
    </row>
    <row r="450" ht="15.75" customHeight="1">
      <c r="A450" s="47"/>
      <c r="B450" s="47"/>
      <c r="C450" s="47"/>
      <c r="D450" s="47"/>
      <c r="E450" s="47"/>
      <c r="F450" s="47"/>
      <c r="G450" s="47"/>
    </row>
    <row r="451" ht="15.75" customHeight="1">
      <c r="A451" s="47"/>
      <c r="B451" s="47"/>
      <c r="C451" s="47"/>
      <c r="D451" s="47"/>
      <c r="E451" s="47"/>
      <c r="F451" s="47"/>
      <c r="G451" s="47"/>
    </row>
    <row r="452" ht="15.75" customHeight="1">
      <c r="A452" s="47"/>
      <c r="B452" s="47"/>
      <c r="C452" s="47"/>
      <c r="D452" s="47"/>
      <c r="E452" s="47"/>
      <c r="F452" s="47"/>
      <c r="G452" s="47"/>
    </row>
    <row r="453" ht="15.75" customHeight="1">
      <c r="A453" s="47"/>
      <c r="B453" s="47"/>
      <c r="C453" s="47"/>
      <c r="D453" s="47"/>
      <c r="E453" s="47"/>
      <c r="F453" s="47"/>
      <c r="G453" s="47"/>
    </row>
    <row r="454" ht="15.75" customHeight="1">
      <c r="A454" s="47"/>
      <c r="B454" s="47"/>
      <c r="C454" s="47"/>
      <c r="D454" s="47"/>
      <c r="E454" s="47"/>
      <c r="F454" s="47"/>
      <c r="G454" s="47"/>
    </row>
    <row r="455" ht="15.75" customHeight="1">
      <c r="A455" s="47"/>
      <c r="B455" s="47"/>
      <c r="C455" s="47"/>
      <c r="D455" s="47"/>
      <c r="E455" s="47"/>
      <c r="F455" s="47"/>
      <c r="G455" s="47"/>
    </row>
    <row r="456" ht="15.75" customHeight="1">
      <c r="A456" s="47"/>
      <c r="B456" s="47"/>
      <c r="C456" s="47"/>
      <c r="D456" s="47"/>
      <c r="E456" s="47"/>
      <c r="F456" s="47"/>
      <c r="G456" s="47"/>
    </row>
    <row r="457" ht="15.75" customHeight="1">
      <c r="A457" s="47"/>
      <c r="B457" s="47"/>
      <c r="C457" s="47"/>
      <c r="D457" s="47"/>
      <c r="E457" s="47"/>
      <c r="F457" s="47"/>
      <c r="G457" s="47"/>
    </row>
    <row r="458" ht="15.75" customHeight="1">
      <c r="A458" s="47"/>
      <c r="B458" s="47"/>
      <c r="C458" s="47"/>
      <c r="D458" s="47"/>
      <c r="E458" s="47"/>
      <c r="F458" s="47"/>
      <c r="G458" s="47"/>
    </row>
    <row r="459" ht="15.75" customHeight="1">
      <c r="A459" s="47"/>
      <c r="B459" s="47"/>
      <c r="C459" s="47"/>
      <c r="D459" s="47"/>
      <c r="E459" s="47"/>
      <c r="F459" s="47"/>
      <c r="G459" s="47"/>
    </row>
    <row r="460" ht="15.75" customHeight="1">
      <c r="A460" s="47"/>
      <c r="B460" s="47"/>
      <c r="C460" s="47"/>
      <c r="D460" s="47"/>
      <c r="E460" s="47"/>
      <c r="F460" s="47"/>
      <c r="G460" s="47"/>
    </row>
    <row r="461" ht="15.75" customHeight="1">
      <c r="A461" s="47"/>
      <c r="B461" s="47"/>
      <c r="C461" s="47"/>
      <c r="D461" s="47"/>
      <c r="E461" s="47"/>
      <c r="F461" s="47"/>
      <c r="G461" s="47"/>
    </row>
    <row r="462" ht="15.75" customHeight="1">
      <c r="A462" s="47"/>
      <c r="B462" s="47"/>
      <c r="C462" s="47"/>
      <c r="D462" s="47"/>
      <c r="E462" s="47"/>
      <c r="F462" s="47"/>
      <c r="G462" s="47"/>
    </row>
    <row r="463" ht="15.75" customHeight="1">
      <c r="A463" s="47"/>
      <c r="B463" s="47"/>
      <c r="C463" s="47"/>
      <c r="D463" s="47"/>
      <c r="E463" s="47"/>
      <c r="F463" s="47"/>
      <c r="G463" s="47"/>
    </row>
    <row r="464" ht="15.75" customHeight="1">
      <c r="A464" s="47"/>
      <c r="B464" s="47"/>
      <c r="C464" s="47"/>
      <c r="D464" s="47"/>
      <c r="E464" s="47"/>
      <c r="F464" s="47"/>
      <c r="G464" s="47"/>
    </row>
    <row r="465" ht="15.75" customHeight="1">
      <c r="A465" s="47"/>
      <c r="B465" s="47"/>
      <c r="C465" s="47"/>
      <c r="D465" s="47"/>
      <c r="E465" s="47"/>
      <c r="F465" s="47"/>
      <c r="G465" s="47"/>
    </row>
    <row r="466" ht="15.75" customHeight="1">
      <c r="A466" s="47"/>
      <c r="B466" s="47"/>
      <c r="C466" s="47"/>
      <c r="D466" s="47"/>
      <c r="E466" s="47"/>
      <c r="F466" s="47"/>
      <c r="G466" s="47"/>
    </row>
    <row r="467" ht="15.75" customHeight="1">
      <c r="A467" s="47"/>
      <c r="B467" s="47"/>
      <c r="C467" s="47"/>
      <c r="D467" s="47"/>
      <c r="E467" s="47"/>
      <c r="F467" s="47"/>
      <c r="G467" s="47"/>
    </row>
    <row r="468" ht="15.75" customHeight="1">
      <c r="A468" s="47"/>
      <c r="B468" s="47"/>
      <c r="C468" s="47"/>
      <c r="D468" s="47"/>
      <c r="E468" s="47"/>
      <c r="F468" s="47"/>
      <c r="G468" s="47"/>
    </row>
    <row r="469" ht="15.75" customHeight="1">
      <c r="A469" s="47"/>
      <c r="B469" s="47"/>
      <c r="C469" s="47"/>
      <c r="D469" s="47"/>
      <c r="E469" s="47"/>
      <c r="F469" s="47"/>
      <c r="G469" s="47"/>
    </row>
    <row r="470" ht="15.75" customHeight="1">
      <c r="A470" s="47"/>
      <c r="B470" s="47"/>
      <c r="C470" s="47"/>
      <c r="D470" s="47"/>
      <c r="E470" s="47"/>
      <c r="F470" s="47"/>
      <c r="G470" s="47"/>
    </row>
    <row r="471" ht="15.75" customHeight="1">
      <c r="A471" s="47"/>
      <c r="B471" s="47"/>
      <c r="C471" s="47"/>
      <c r="D471" s="47"/>
      <c r="E471" s="47"/>
      <c r="F471" s="47"/>
      <c r="G471" s="47"/>
    </row>
    <row r="472" ht="15.75" customHeight="1">
      <c r="A472" s="47"/>
      <c r="B472" s="47"/>
      <c r="C472" s="47"/>
      <c r="D472" s="47"/>
      <c r="E472" s="47"/>
      <c r="F472" s="47"/>
      <c r="G472" s="47"/>
    </row>
    <row r="473" ht="15.75" customHeight="1">
      <c r="A473" s="47"/>
      <c r="B473" s="47"/>
      <c r="C473" s="47"/>
      <c r="D473" s="47"/>
      <c r="E473" s="47"/>
      <c r="F473" s="47"/>
      <c r="G473" s="47"/>
    </row>
    <row r="474" ht="15.75" customHeight="1">
      <c r="A474" s="47"/>
      <c r="B474" s="47"/>
      <c r="C474" s="47"/>
      <c r="D474" s="47"/>
      <c r="E474" s="47"/>
      <c r="F474" s="47"/>
      <c r="G474" s="47"/>
    </row>
    <row r="475" ht="15.75" customHeight="1">
      <c r="A475" s="47"/>
      <c r="B475" s="47"/>
      <c r="C475" s="47"/>
      <c r="D475" s="47"/>
      <c r="E475" s="47"/>
      <c r="F475" s="47"/>
      <c r="G475" s="47"/>
    </row>
    <row r="476" ht="15.75" customHeight="1">
      <c r="A476" s="47"/>
      <c r="B476" s="47"/>
      <c r="C476" s="47"/>
      <c r="D476" s="47"/>
      <c r="E476" s="47"/>
      <c r="F476" s="47"/>
      <c r="G476" s="47"/>
    </row>
    <row r="477" ht="15.75" customHeight="1">
      <c r="A477" s="47"/>
      <c r="B477" s="47"/>
      <c r="C477" s="47"/>
      <c r="D477" s="47"/>
      <c r="E477" s="47"/>
      <c r="F477" s="47"/>
      <c r="G477" s="47"/>
    </row>
    <row r="478" ht="15.75" customHeight="1">
      <c r="A478" s="47"/>
      <c r="B478" s="47"/>
      <c r="C478" s="47"/>
      <c r="D478" s="47"/>
      <c r="E478" s="47"/>
      <c r="F478" s="47"/>
      <c r="G478" s="47"/>
    </row>
    <row r="479" ht="15.75" customHeight="1">
      <c r="A479" s="47"/>
      <c r="B479" s="47"/>
      <c r="C479" s="47"/>
      <c r="D479" s="47"/>
      <c r="E479" s="47"/>
      <c r="F479" s="47"/>
      <c r="G479" s="47"/>
    </row>
    <row r="480" ht="15.75" customHeight="1">
      <c r="A480" s="47"/>
      <c r="B480" s="47"/>
      <c r="C480" s="47"/>
      <c r="D480" s="47"/>
      <c r="E480" s="47"/>
      <c r="F480" s="47"/>
      <c r="G480" s="47"/>
    </row>
    <row r="481" ht="15.75" customHeight="1">
      <c r="A481" s="47"/>
      <c r="B481" s="47"/>
      <c r="C481" s="47"/>
      <c r="D481" s="47"/>
      <c r="E481" s="47"/>
      <c r="F481" s="47"/>
      <c r="G481" s="47"/>
    </row>
    <row r="482" ht="15.75" customHeight="1">
      <c r="A482" s="47"/>
      <c r="B482" s="47"/>
      <c r="C482" s="47"/>
      <c r="D482" s="47"/>
      <c r="E482" s="47"/>
      <c r="F482" s="47"/>
      <c r="G482" s="47"/>
    </row>
    <row r="483" ht="15.75" customHeight="1">
      <c r="A483" s="47"/>
      <c r="B483" s="47"/>
      <c r="C483" s="47"/>
      <c r="D483" s="47"/>
      <c r="E483" s="47"/>
      <c r="F483" s="47"/>
      <c r="G483" s="47"/>
    </row>
    <row r="484" ht="15.75" customHeight="1">
      <c r="A484" s="47"/>
      <c r="B484" s="47"/>
      <c r="C484" s="47"/>
      <c r="D484" s="47"/>
      <c r="E484" s="47"/>
      <c r="F484" s="47"/>
      <c r="G484" s="47"/>
    </row>
    <row r="485" ht="15.75" customHeight="1">
      <c r="A485" s="47"/>
      <c r="B485" s="47"/>
      <c r="C485" s="47"/>
      <c r="D485" s="47"/>
      <c r="E485" s="47"/>
      <c r="F485" s="47"/>
      <c r="G485" s="47"/>
    </row>
    <row r="486" ht="15.75" customHeight="1">
      <c r="A486" s="47"/>
      <c r="B486" s="47"/>
      <c r="C486" s="47"/>
      <c r="D486" s="47"/>
      <c r="E486" s="47"/>
      <c r="F486" s="47"/>
      <c r="G486" s="47"/>
    </row>
    <row r="487" ht="15.75" customHeight="1">
      <c r="A487" s="47"/>
      <c r="B487" s="47"/>
      <c r="C487" s="47"/>
      <c r="D487" s="47"/>
      <c r="E487" s="47"/>
      <c r="F487" s="47"/>
      <c r="G487" s="47"/>
    </row>
    <row r="488" ht="15.75" customHeight="1">
      <c r="A488" s="47"/>
      <c r="B488" s="47"/>
      <c r="C488" s="47"/>
      <c r="D488" s="47"/>
      <c r="E488" s="47"/>
      <c r="F488" s="47"/>
      <c r="G488" s="47"/>
    </row>
    <row r="489" ht="15.75" customHeight="1">
      <c r="A489" s="47"/>
      <c r="B489" s="47"/>
      <c r="C489" s="47"/>
      <c r="D489" s="47"/>
      <c r="E489" s="47"/>
      <c r="F489" s="47"/>
      <c r="G489" s="47"/>
    </row>
    <row r="490" ht="15.75" customHeight="1">
      <c r="A490" s="47"/>
      <c r="B490" s="47"/>
      <c r="C490" s="47"/>
      <c r="D490" s="47"/>
      <c r="E490" s="47"/>
      <c r="F490" s="47"/>
      <c r="G490" s="47"/>
    </row>
    <row r="491" ht="15.75" customHeight="1">
      <c r="A491" s="47"/>
      <c r="B491" s="47"/>
      <c r="C491" s="47"/>
      <c r="D491" s="47"/>
      <c r="E491" s="47"/>
      <c r="F491" s="47"/>
      <c r="G491" s="47"/>
    </row>
    <row r="492" ht="15.75" customHeight="1">
      <c r="A492" s="47"/>
      <c r="B492" s="47"/>
      <c r="C492" s="47"/>
      <c r="D492" s="47"/>
      <c r="E492" s="47"/>
      <c r="F492" s="47"/>
      <c r="G492" s="47"/>
    </row>
    <row r="493" ht="15.75" customHeight="1">
      <c r="A493" s="47"/>
      <c r="B493" s="47"/>
      <c r="C493" s="47"/>
      <c r="D493" s="47"/>
      <c r="E493" s="47"/>
      <c r="F493" s="47"/>
      <c r="G493" s="47"/>
    </row>
    <row r="494" ht="15.75" customHeight="1">
      <c r="A494" s="47"/>
      <c r="B494" s="47"/>
      <c r="C494" s="47"/>
      <c r="D494" s="47"/>
      <c r="E494" s="47"/>
      <c r="F494" s="47"/>
      <c r="G494" s="47"/>
    </row>
    <row r="495" ht="15.75" customHeight="1">
      <c r="A495" s="47"/>
      <c r="B495" s="47"/>
      <c r="C495" s="47"/>
      <c r="D495" s="47"/>
      <c r="E495" s="47"/>
      <c r="F495" s="47"/>
      <c r="G495" s="47"/>
    </row>
    <row r="496" ht="15.75" customHeight="1">
      <c r="A496" s="47"/>
      <c r="B496" s="47"/>
      <c r="C496" s="47"/>
      <c r="D496" s="47"/>
      <c r="E496" s="47"/>
      <c r="F496" s="47"/>
      <c r="G496" s="47"/>
    </row>
    <row r="497" ht="15.75" customHeight="1">
      <c r="A497" s="47"/>
      <c r="B497" s="47"/>
      <c r="C497" s="47"/>
      <c r="D497" s="47"/>
      <c r="E497" s="47"/>
      <c r="F497" s="47"/>
      <c r="G497" s="47"/>
    </row>
    <row r="498" ht="15.75" customHeight="1">
      <c r="A498" s="47"/>
      <c r="B498" s="47"/>
      <c r="C498" s="47"/>
      <c r="D498" s="47"/>
      <c r="E498" s="47"/>
      <c r="F498" s="47"/>
      <c r="G498" s="47"/>
    </row>
    <row r="499" ht="15.75" customHeight="1">
      <c r="A499" s="47"/>
      <c r="B499" s="47"/>
      <c r="C499" s="47"/>
      <c r="D499" s="47"/>
      <c r="E499" s="47"/>
      <c r="F499" s="47"/>
      <c r="G499" s="47"/>
    </row>
    <row r="500" ht="15.75" customHeight="1">
      <c r="A500" s="47"/>
      <c r="B500" s="47"/>
      <c r="C500" s="47"/>
      <c r="D500" s="47"/>
      <c r="E500" s="47"/>
      <c r="F500" s="47"/>
      <c r="G500" s="47"/>
    </row>
    <row r="501" ht="15.75" customHeight="1">
      <c r="A501" s="47"/>
      <c r="B501" s="47"/>
      <c r="C501" s="47"/>
      <c r="D501" s="47"/>
      <c r="E501" s="47"/>
      <c r="F501" s="47"/>
      <c r="G501" s="47"/>
    </row>
    <row r="502" ht="15.75" customHeight="1">
      <c r="A502" s="47"/>
      <c r="B502" s="47"/>
      <c r="C502" s="47"/>
      <c r="D502" s="47"/>
      <c r="E502" s="47"/>
      <c r="F502" s="47"/>
      <c r="G502" s="47"/>
    </row>
    <row r="503" ht="15.75" customHeight="1">
      <c r="A503" s="47"/>
      <c r="B503" s="47"/>
      <c r="C503" s="47"/>
      <c r="D503" s="47"/>
      <c r="E503" s="47"/>
      <c r="F503" s="47"/>
      <c r="G503" s="47"/>
    </row>
    <row r="504" ht="15.75" customHeight="1">
      <c r="A504" s="47"/>
      <c r="B504" s="47"/>
      <c r="C504" s="47"/>
      <c r="D504" s="47"/>
      <c r="E504" s="47"/>
      <c r="F504" s="47"/>
      <c r="G504" s="47"/>
    </row>
    <row r="505" ht="15.75" customHeight="1">
      <c r="A505" s="47"/>
      <c r="B505" s="47"/>
      <c r="C505" s="47"/>
      <c r="D505" s="47"/>
      <c r="E505" s="47"/>
      <c r="F505" s="47"/>
      <c r="G505" s="47"/>
    </row>
    <row r="506" ht="15.75" customHeight="1">
      <c r="A506" s="47"/>
      <c r="B506" s="47"/>
      <c r="C506" s="47"/>
      <c r="D506" s="47"/>
      <c r="E506" s="47"/>
      <c r="F506" s="47"/>
      <c r="G506" s="47"/>
    </row>
    <row r="507" ht="15.75" customHeight="1">
      <c r="A507" s="47"/>
      <c r="B507" s="47"/>
      <c r="C507" s="47"/>
      <c r="D507" s="47"/>
      <c r="E507" s="47"/>
      <c r="F507" s="47"/>
      <c r="G507" s="47"/>
    </row>
    <row r="508" ht="15.75" customHeight="1">
      <c r="A508" s="47"/>
      <c r="B508" s="47"/>
      <c r="C508" s="47"/>
      <c r="D508" s="47"/>
      <c r="E508" s="47"/>
      <c r="F508" s="47"/>
      <c r="G508" s="47"/>
    </row>
    <row r="509" ht="15.75" customHeight="1">
      <c r="A509" s="47"/>
      <c r="B509" s="47"/>
      <c r="C509" s="47"/>
      <c r="D509" s="47"/>
      <c r="E509" s="47"/>
      <c r="F509" s="47"/>
      <c r="G509" s="47"/>
    </row>
    <row r="510" ht="15.75" customHeight="1">
      <c r="A510" s="47"/>
      <c r="B510" s="47"/>
      <c r="C510" s="47"/>
      <c r="D510" s="47"/>
      <c r="E510" s="47"/>
      <c r="F510" s="47"/>
      <c r="G510" s="47"/>
    </row>
    <row r="511" ht="15.75" customHeight="1">
      <c r="A511" s="47"/>
      <c r="B511" s="47"/>
      <c r="C511" s="47"/>
      <c r="D511" s="47"/>
      <c r="E511" s="47"/>
      <c r="F511" s="47"/>
      <c r="G511" s="47"/>
    </row>
    <row r="512" ht="15.75" customHeight="1">
      <c r="A512" s="47"/>
      <c r="B512" s="47"/>
      <c r="C512" s="47"/>
      <c r="D512" s="47"/>
      <c r="E512" s="47"/>
      <c r="F512" s="47"/>
      <c r="G512" s="47"/>
    </row>
    <row r="513" ht="15.75" customHeight="1">
      <c r="A513" s="47"/>
      <c r="B513" s="47"/>
      <c r="C513" s="47"/>
      <c r="D513" s="47"/>
      <c r="E513" s="47"/>
      <c r="F513" s="47"/>
      <c r="G513" s="47"/>
    </row>
    <row r="514" ht="15.75" customHeight="1">
      <c r="A514" s="47"/>
      <c r="B514" s="47"/>
      <c r="C514" s="47"/>
      <c r="D514" s="47"/>
      <c r="E514" s="47"/>
      <c r="F514" s="47"/>
      <c r="G514" s="47"/>
    </row>
    <row r="515" ht="15.75" customHeight="1">
      <c r="A515" s="47"/>
      <c r="B515" s="47"/>
      <c r="C515" s="47"/>
      <c r="D515" s="47"/>
      <c r="E515" s="47"/>
      <c r="F515" s="47"/>
      <c r="G515" s="47"/>
    </row>
    <row r="516" ht="15.75" customHeight="1">
      <c r="A516" s="47"/>
      <c r="B516" s="47"/>
      <c r="C516" s="47"/>
      <c r="D516" s="47"/>
      <c r="E516" s="47"/>
      <c r="F516" s="47"/>
      <c r="G516" s="47"/>
    </row>
    <row r="517" ht="15.75" customHeight="1">
      <c r="A517" s="47"/>
      <c r="B517" s="47"/>
      <c r="C517" s="47"/>
      <c r="D517" s="47"/>
      <c r="E517" s="47"/>
      <c r="F517" s="47"/>
      <c r="G517" s="47"/>
    </row>
    <row r="518" ht="15.75" customHeight="1">
      <c r="A518" s="47"/>
      <c r="B518" s="47"/>
      <c r="C518" s="47"/>
      <c r="D518" s="47"/>
      <c r="E518" s="47"/>
      <c r="F518" s="47"/>
      <c r="G518" s="47"/>
    </row>
    <row r="519" ht="15.75" customHeight="1">
      <c r="A519" s="47"/>
      <c r="B519" s="47"/>
      <c r="C519" s="47"/>
      <c r="D519" s="47"/>
      <c r="E519" s="47"/>
      <c r="F519" s="47"/>
      <c r="G519" s="47"/>
    </row>
    <row r="520" ht="15.75" customHeight="1">
      <c r="A520" s="47"/>
      <c r="B520" s="47"/>
      <c r="C520" s="47"/>
      <c r="D520" s="47"/>
      <c r="E520" s="47"/>
      <c r="F520" s="47"/>
      <c r="G520" s="47"/>
    </row>
    <row r="521" ht="15.75" customHeight="1">
      <c r="A521" s="47"/>
      <c r="B521" s="47"/>
      <c r="C521" s="47"/>
      <c r="D521" s="47"/>
      <c r="E521" s="47"/>
      <c r="F521" s="47"/>
      <c r="G521" s="47"/>
    </row>
    <row r="522" ht="15.75" customHeight="1">
      <c r="A522" s="47"/>
      <c r="B522" s="47"/>
      <c r="C522" s="47"/>
      <c r="D522" s="47"/>
      <c r="E522" s="47"/>
      <c r="F522" s="47"/>
      <c r="G522" s="47"/>
    </row>
    <row r="523" ht="15.75" customHeight="1">
      <c r="A523" s="47"/>
      <c r="B523" s="47"/>
      <c r="C523" s="47"/>
      <c r="D523" s="47"/>
      <c r="E523" s="47"/>
      <c r="F523" s="47"/>
      <c r="G523" s="47"/>
    </row>
    <row r="524" ht="15.75" customHeight="1">
      <c r="A524" s="47"/>
      <c r="B524" s="47"/>
      <c r="C524" s="47"/>
      <c r="D524" s="47"/>
      <c r="E524" s="47"/>
      <c r="F524" s="47"/>
      <c r="G524" s="47"/>
    </row>
    <row r="525" ht="15.75" customHeight="1">
      <c r="A525" s="47"/>
      <c r="B525" s="47"/>
      <c r="C525" s="47"/>
      <c r="D525" s="47"/>
      <c r="E525" s="47"/>
      <c r="F525" s="47"/>
      <c r="G525" s="47"/>
    </row>
    <row r="526" ht="15.75" customHeight="1">
      <c r="A526" s="47"/>
      <c r="B526" s="47"/>
      <c r="C526" s="47"/>
      <c r="D526" s="47"/>
      <c r="E526" s="47"/>
      <c r="F526" s="47"/>
      <c r="G526" s="47"/>
    </row>
    <row r="527" ht="15.75" customHeight="1">
      <c r="A527" s="47"/>
      <c r="B527" s="47"/>
      <c r="C527" s="47"/>
      <c r="D527" s="47"/>
      <c r="E527" s="47"/>
      <c r="F527" s="47"/>
      <c r="G527" s="47"/>
    </row>
    <row r="528" ht="15.75" customHeight="1">
      <c r="A528" s="47"/>
      <c r="B528" s="47"/>
      <c r="C528" s="47"/>
      <c r="D528" s="47"/>
      <c r="E528" s="47"/>
      <c r="F528" s="47"/>
      <c r="G528" s="47"/>
    </row>
    <row r="529" ht="15.75" customHeight="1">
      <c r="A529" s="47"/>
      <c r="B529" s="47"/>
      <c r="C529" s="47"/>
      <c r="D529" s="47"/>
      <c r="E529" s="47"/>
      <c r="F529" s="47"/>
      <c r="G529" s="47"/>
    </row>
    <row r="530" ht="15.75" customHeight="1">
      <c r="A530" s="47"/>
      <c r="B530" s="47"/>
      <c r="C530" s="47"/>
      <c r="D530" s="47"/>
      <c r="E530" s="47"/>
      <c r="F530" s="47"/>
      <c r="G530" s="47"/>
    </row>
    <row r="531" ht="15.75" customHeight="1">
      <c r="A531" s="47"/>
      <c r="B531" s="47"/>
      <c r="C531" s="47"/>
      <c r="D531" s="47"/>
      <c r="E531" s="47"/>
      <c r="F531" s="47"/>
      <c r="G531" s="47"/>
    </row>
    <row r="532" ht="15.75" customHeight="1">
      <c r="A532" s="47"/>
      <c r="B532" s="47"/>
      <c r="C532" s="47"/>
      <c r="D532" s="47"/>
      <c r="E532" s="47"/>
      <c r="F532" s="47"/>
      <c r="G532" s="47"/>
    </row>
    <row r="533" ht="15.75" customHeight="1">
      <c r="A533" s="47"/>
      <c r="B533" s="47"/>
      <c r="C533" s="47"/>
      <c r="D533" s="47"/>
      <c r="E533" s="47"/>
      <c r="F533" s="47"/>
      <c r="G533" s="47"/>
    </row>
    <row r="534" ht="15.75" customHeight="1">
      <c r="A534" s="47"/>
      <c r="B534" s="47"/>
      <c r="C534" s="47"/>
      <c r="D534" s="47"/>
      <c r="E534" s="47"/>
      <c r="F534" s="47"/>
      <c r="G534" s="47"/>
    </row>
    <row r="535" ht="15.75" customHeight="1">
      <c r="A535" s="47"/>
      <c r="B535" s="47"/>
      <c r="C535" s="47"/>
      <c r="D535" s="47"/>
      <c r="E535" s="47"/>
      <c r="F535" s="47"/>
      <c r="G535" s="47"/>
    </row>
    <row r="536" ht="15.75" customHeight="1">
      <c r="A536" s="47"/>
      <c r="B536" s="47"/>
      <c r="C536" s="47"/>
      <c r="D536" s="47"/>
      <c r="E536" s="47"/>
      <c r="F536" s="47"/>
      <c r="G536" s="47"/>
    </row>
    <row r="537" ht="15.75" customHeight="1">
      <c r="A537" s="47"/>
      <c r="B537" s="47"/>
      <c r="C537" s="47"/>
      <c r="D537" s="47"/>
      <c r="E537" s="47"/>
      <c r="F537" s="47"/>
      <c r="G537" s="47"/>
    </row>
    <row r="538" ht="15.75" customHeight="1">
      <c r="A538" s="47"/>
      <c r="B538" s="47"/>
      <c r="C538" s="47"/>
      <c r="D538" s="47"/>
      <c r="E538" s="47"/>
      <c r="F538" s="47"/>
      <c r="G538" s="47"/>
    </row>
    <row r="539" ht="15.75" customHeight="1">
      <c r="A539" s="47"/>
      <c r="B539" s="47"/>
      <c r="C539" s="47"/>
      <c r="D539" s="47"/>
      <c r="E539" s="47"/>
      <c r="F539" s="47"/>
      <c r="G539" s="47"/>
    </row>
    <row r="540" ht="15.75" customHeight="1">
      <c r="A540" s="47"/>
      <c r="B540" s="47"/>
      <c r="C540" s="47"/>
      <c r="D540" s="47"/>
      <c r="E540" s="47"/>
      <c r="F540" s="47"/>
      <c r="G540" s="47"/>
    </row>
    <row r="541" ht="15.75" customHeight="1">
      <c r="A541" s="47"/>
      <c r="B541" s="47"/>
      <c r="C541" s="47"/>
      <c r="D541" s="47"/>
      <c r="E541" s="47"/>
      <c r="F541" s="47"/>
      <c r="G541" s="47"/>
    </row>
    <row r="542" ht="15.75" customHeight="1">
      <c r="A542" s="47"/>
      <c r="B542" s="47"/>
      <c r="C542" s="47"/>
      <c r="D542" s="47"/>
      <c r="E542" s="47"/>
      <c r="F542" s="47"/>
      <c r="G542" s="47"/>
    </row>
    <row r="543" ht="15.75" customHeight="1">
      <c r="A543" s="47"/>
      <c r="B543" s="47"/>
      <c r="C543" s="47"/>
      <c r="D543" s="47"/>
      <c r="E543" s="47"/>
      <c r="F543" s="47"/>
      <c r="G543" s="47"/>
    </row>
    <row r="544" ht="15.75" customHeight="1">
      <c r="A544" s="47"/>
      <c r="B544" s="47"/>
      <c r="C544" s="47"/>
      <c r="D544" s="47"/>
      <c r="E544" s="47"/>
      <c r="F544" s="47"/>
      <c r="G544" s="47"/>
    </row>
    <row r="545" ht="15.75" customHeight="1">
      <c r="A545" s="47"/>
      <c r="B545" s="47"/>
      <c r="C545" s="47"/>
      <c r="D545" s="47"/>
      <c r="E545" s="47"/>
      <c r="F545" s="47"/>
      <c r="G545" s="47"/>
    </row>
    <row r="546" ht="15.75" customHeight="1">
      <c r="A546" s="47"/>
      <c r="B546" s="47"/>
      <c r="C546" s="47"/>
      <c r="D546" s="47"/>
      <c r="E546" s="47"/>
      <c r="F546" s="47"/>
      <c r="G546" s="47"/>
    </row>
    <row r="547" ht="15.75" customHeight="1">
      <c r="A547" s="47"/>
      <c r="B547" s="47"/>
      <c r="C547" s="47"/>
      <c r="D547" s="47"/>
      <c r="E547" s="47"/>
      <c r="F547" s="47"/>
      <c r="G547" s="47"/>
    </row>
    <row r="548" ht="15.75" customHeight="1">
      <c r="A548" s="47"/>
      <c r="B548" s="47"/>
      <c r="C548" s="47"/>
      <c r="D548" s="47"/>
      <c r="E548" s="47"/>
      <c r="F548" s="47"/>
      <c r="G548" s="47"/>
    </row>
    <row r="549" ht="15.75" customHeight="1">
      <c r="A549" s="47"/>
      <c r="B549" s="47"/>
      <c r="C549" s="47"/>
      <c r="D549" s="47"/>
      <c r="E549" s="47"/>
      <c r="F549" s="47"/>
      <c r="G549" s="47"/>
    </row>
    <row r="550" ht="15.75" customHeight="1">
      <c r="A550" s="47"/>
      <c r="B550" s="47"/>
      <c r="C550" s="47"/>
      <c r="D550" s="47"/>
      <c r="E550" s="47"/>
      <c r="F550" s="47"/>
      <c r="G550" s="47"/>
    </row>
    <row r="551" ht="15.75" customHeight="1">
      <c r="A551" s="47"/>
      <c r="B551" s="47"/>
      <c r="C551" s="47"/>
      <c r="D551" s="47"/>
      <c r="E551" s="47"/>
      <c r="F551" s="47"/>
      <c r="G551" s="47"/>
    </row>
    <row r="552" ht="15.75" customHeight="1">
      <c r="A552" s="47"/>
      <c r="B552" s="47"/>
      <c r="C552" s="47"/>
      <c r="D552" s="47"/>
      <c r="E552" s="47"/>
      <c r="F552" s="47"/>
      <c r="G552" s="47"/>
    </row>
    <row r="553" ht="15.75" customHeight="1">
      <c r="A553" s="47"/>
      <c r="B553" s="47"/>
      <c r="C553" s="47"/>
      <c r="D553" s="47"/>
      <c r="E553" s="47"/>
      <c r="F553" s="47"/>
      <c r="G553" s="47"/>
    </row>
    <row r="554" ht="15.75" customHeight="1">
      <c r="A554" s="47"/>
      <c r="B554" s="47"/>
      <c r="C554" s="47"/>
      <c r="D554" s="47"/>
      <c r="E554" s="47"/>
      <c r="F554" s="47"/>
      <c r="G554" s="47"/>
    </row>
    <row r="555" ht="15.75" customHeight="1">
      <c r="A555" s="47"/>
      <c r="B555" s="47"/>
      <c r="C555" s="47"/>
      <c r="D555" s="47"/>
      <c r="E555" s="47"/>
      <c r="F555" s="47"/>
      <c r="G555" s="47"/>
    </row>
    <row r="556" ht="15.75" customHeight="1">
      <c r="A556" s="47"/>
      <c r="B556" s="47"/>
      <c r="C556" s="47"/>
      <c r="D556" s="47"/>
      <c r="E556" s="47"/>
      <c r="F556" s="47"/>
      <c r="G556" s="47"/>
    </row>
    <row r="557" ht="15.75" customHeight="1">
      <c r="A557" s="47"/>
      <c r="B557" s="47"/>
      <c r="C557" s="47"/>
      <c r="D557" s="47"/>
      <c r="E557" s="47"/>
      <c r="F557" s="47"/>
      <c r="G557" s="47"/>
    </row>
    <row r="558" ht="15.75" customHeight="1">
      <c r="A558" s="47"/>
      <c r="B558" s="47"/>
      <c r="C558" s="47"/>
      <c r="D558" s="47"/>
      <c r="E558" s="47"/>
      <c r="F558" s="47"/>
      <c r="G558" s="47"/>
    </row>
    <row r="559" ht="15.75" customHeight="1">
      <c r="A559" s="47"/>
      <c r="B559" s="47"/>
      <c r="C559" s="47"/>
      <c r="D559" s="47"/>
      <c r="E559" s="47"/>
      <c r="F559" s="47"/>
      <c r="G559" s="47"/>
    </row>
    <row r="560" ht="15.75" customHeight="1">
      <c r="A560" s="47"/>
      <c r="B560" s="47"/>
      <c r="C560" s="47"/>
      <c r="D560" s="47"/>
      <c r="E560" s="47"/>
      <c r="F560" s="47"/>
      <c r="G560" s="47"/>
    </row>
    <row r="561" ht="15.75" customHeight="1">
      <c r="A561" s="47"/>
      <c r="B561" s="47"/>
      <c r="C561" s="47"/>
      <c r="D561" s="47"/>
      <c r="E561" s="47"/>
      <c r="F561" s="47"/>
      <c r="G561" s="47"/>
    </row>
    <row r="562" ht="15.75" customHeight="1">
      <c r="A562" s="47"/>
      <c r="B562" s="47"/>
      <c r="C562" s="47"/>
      <c r="D562" s="47"/>
      <c r="E562" s="47"/>
      <c r="F562" s="47"/>
      <c r="G562" s="47"/>
    </row>
    <row r="563" ht="15.75" customHeight="1">
      <c r="A563" s="47"/>
      <c r="B563" s="47"/>
      <c r="C563" s="47"/>
      <c r="D563" s="47"/>
      <c r="E563" s="47"/>
      <c r="F563" s="47"/>
      <c r="G563" s="47"/>
    </row>
    <row r="564" ht="15.75" customHeight="1">
      <c r="A564" s="47"/>
      <c r="B564" s="47"/>
      <c r="C564" s="47"/>
      <c r="D564" s="47"/>
      <c r="E564" s="47"/>
      <c r="F564" s="47"/>
      <c r="G564" s="47"/>
    </row>
    <row r="565" ht="15.75" customHeight="1">
      <c r="A565" s="47"/>
      <c r="B565" s="47"/>
      <c r="C565" s="47"/>
      <c r="D565" s="47"/>
      <c r="E565" s="47"/>
      <c r="F565" s="47"/>
      <c r="G565" s="47"/>
    </row>
    <row r="566" ht="15.75" customHeight="1">
      <c r="A566" s="47"/>
      <c r="B566" s="47"/>
      <c r="C566" s="47"/>
      <c r="D566" s="47"/>
      <c r="E566" s="47"/>
      <c r="F566" s="47"/>
      <c r="G566" s="47"/>
    </row>
    <row r="567" ht="15.75" customHeight="1">
      <c r="A567" s="47"/>
      <c r="B567" s="47"/>
      <c r="C567" s="47"/>
      <c r="D567" s="47"/>
      <c r="E567" s="47"/>
      <c r="F567" s="47"/>
      <c r="G567" s="47"/>
    </row>
    <row r="568" ht="15.75" customHeight="1">
      <c r="A568" s="47"/>
      <c r="B568" s="47"/>
      <c r="C568" s="47"/>
      <c r="D568" s="47"/>
      <c r="E568" s="47"/>
      <c r="F568" s="47"/>
      <c r="G568" s="47"/>
    </row>
    <row r="569" ht="15.75" customHeight="1">
      <c r="A569" s="47"/>
      <c r="B569" s="47"/>
      <c r="C569" s="47"/>
      <c r="D569" s="47"/>
      <c r="E569" s="47"/>
      <c r="F569" s="47"/>
      <c r="G569" s="47"/>
    </row>
    <row r="570" ht="15.75" customHeight="1">
      <c r="A570" s="47"/>
      <c r="B570" s="47"/>
      <c r="C570" s="47"/>
      <c r="D570" s="47"/>
      <c r="E570" s="47"/>
      <c r="F570" s="47"/>
      <c r="G570" s="47"/>
    </row>
    <row r="571" ht="15.75" customHeight="1">
      <c r="A571" s="47"/>
      <c r="B571" s="47"/>
      <c r="C571" s="47"/>
      <c r="D571" s="47"/>
      <c r="E571" s="47"/>
      <c r="F571" s="47"/>
      <c r="G571" s="47"/>
    </row>
    <row r="572" ht="15.75" customHeight="1">
      <c r="A572" s="47"/>
      <c r="B572" s="47"/>
      <c r="C572" s="47"/>
      <c r="D572" s="47"/>
      <c r="E572" s="47"/>
      <c r="F572" s="47"/>
      <c r="G572" s="47"/>
    </row>
    <row r="573" ht="15.75" customHeight="1">
      <c r="A573" s="47"/>
      <c r="B573" s="47"/>
      <c r="C573" s="47"/>
      <c r="D573" s="47"/>
      <c r="E573" s="47"/>
      <c r="F573" s="47"/>
      <c r="G573" s="47"/>
    </row>
    <row r="574" ht="15.75" customHeight="1">
      <c r="A574" s="47"/>
      <c r="B574" s="47"/>
      <c r="C574" s="47"/>
      <c r="D574" s="47"/>
      <c r="E574" s="47"/>
      <c r="F574" s="47"/>
      <c r="G574" s="47"/>
    </row>
    <row r="575" ht="15.75" customHeight="1">
      <c r="A575" s="47"/>
      <c r="B575" s="47"/>
      <c r="C575" s="47"/>
      <c r="D575" s="47"/>
      <c r="E575" s="47"/>
      <c r="F575" s="47"/>
      <c r="G575" s="47"/>
    </row>
    <row r="576" ht="15.75" customHeight="1">
      <c r="A576" s="47"/>
      <c r="B576" s="47"/>
      <c r="C576" s="47"/>
      <c r="D576" s="47"/>
      <c r="E576" s="47"/>
      <c r="F576" s="47"/>
      <c r="G576" s="47"/>
    </row>
    <row r="577" ht="15.75" customHeight="1">
      <c r="A577" s="47"/>
      <c r="B577" s="47"/>
      <c r="C577" s="47"/>
      <c r="D577" s="47"/>
      <c r="E577" s="47"/>
      <c r="F577" s="47"/>
      <c r="G577" s="47"/>
    </row>
    <row r="578" ht="15.75" customHeight="1">
      <c r="A578" s="47"/>
      <c r="B578" s="47"/>
      <c r="C578" s="47"/>
      <c r="D578" s="47"/>
      <c r="E578" s="47"/>
      <c r="F578" s="47"/>
      <c r="G578" s="47"/>
    </row>
    <row r="579" ht="15.75" customHeight="1">
      <c r="A579" s="47"/>
      <c r="B579" s="47"/>
      <c r="C579" s="47"/>
      <c r="D579" s="47"/>
      <c r="E579" s="47"/>
      <c r="F579" s="47"/>
      <c r="G579" s="47"/>
    </row>
    <row r="580" ht="15.75" customHeight="1">
      <c r="A580" s="47"/>
      <c r="B580" s="47"/>
      <c r="C580" s="47"/>
      <c r="D580" s="47"/>
      <c r="E580" s="47"/>
      <c r="F580" s="47"/>
      <c r="G580" s="47"/>
    </row>
    <row r="581" ht="15.75" customHeight="1">
      <c r="A581" s="47"/>
      <c r="B581" s="47"/>
      <c r="C581" s="47"/>
      <c r="D581" s="47"/>
      <c r="E581" s="47"/>
      <c r="F581" s="47"/>
      <c r="G581" s="47"/>
    </row>
    <row r="582" ht="15.75" customHeight="1">
      <c r="A582" s="47"/>
      <c r="B582" s="47"/>
      <c r="C582" s="47"/>
      <c r="D582" s="47"/>
      <c r="E582" s="47"/>
      <c r="F582" s="47"/>
      <c r="G582" s="47"/>
    </row>
    <row r="583" ht="15.75" customHeight="1">
      <c r="A583" s="47"/>
      <c r="B583" s="47"/>
      <c r="C583" s="47"/>
      <c r="D583" s="47"/>
      <c r="E583" s="47"/>
      <c r="F583" s="47"/>
      <c r="G583" s="47"/>
    </row>
    <row r="584" ht="15.75" customHeight="1">
      <c r="A584" s="47"/>
      <c r="B584" s="47"/>
      <c r="C584" s="47"/>
      <c r="D584" s="47"/>
      <c r="E584" s="47"/>
      <c r="F584" s="47"/>
      <c r="G584" s="47"/>
    </row>
    <row r="585" ht="15.75" customHeight="1">
      <c r="A585" s="47"/>
      <c r="B585" s="47"/>
      <c r="C585" s="47"/>
      <c r="D585" s="47"/>
      <c r="E585" s="47"/>
      <c r="F585" s="47"/>
      <c r="G585" s="47"/>
    </row>
    <row r="586" ht="15.75" customHeight="1">
      <c r="A586" s="47"/>
      <c r="B586" s="47"/>
      <c r="C586" s="47"/>
      <c r="D586" s="47"/>
      <c r="E586" s="47"/>
      <c r="F586" s="47"/>
      <c r="G586" s="47"/>
    </row>
    <row r="587" ht="15.75" customHeight="1">
      <c r="A587" s="47"/>
      <c r="B587" s="47"/>
      <c r="C587" s="47"/>
      <c r="D587" s="47"/>
      <c r="E587" s="47"/>
      <c r="F587" s="47"/>
      <c r="G587" s="47"/>
    </row>
    <row r="588" ht="15.75" customHeight="1">
      <c r="A588" s="47"/>
      <c r="B588" s="47"/>
      <c r="C588" s="47"/>
      <c r="D588" s="47"/>
      <c r="E588" s="47"/>
      <c r="F588" s="47"/>
      <c r="G588" s="47"/>
    </row>
    <row r="589" ht="15.75" customHeight="1">
      <c r="A589" s="47"/>
      <c r="B589" s="47"/>
      <c r="C589" s="47"/>
      <c r="D589" s="47"/>
      <c r="E589" s="47"/>
      <c r="F589" s="47"/>
      <c r="G589" s="47"/>
    </row>
    <row r="590" ht="15.75" customHeight="1">
      <c r="A590" s="47"/>
      <c r="B590" s="47"/>
      <c r="C590" s="47"/>
      <c r="D590" s="47"/>
      <c r="E590" s="47"/>
      <c r="F590" s="47"/>
      <c r="G590" s="47"/>
    </row>
    <row r="591" ht="15.75" customHeight="1">
      <c r="A591" s="47"/>
      <c r="B591" s="47"/>
      <c r="C591" s="47"/>
      <c r="D591" s="47"/>
      <c r="E591" s="47"/>
      <c r="F591" s="47"/>
      <c r="G591" s="47"/>
    </row>
    <row r="592" ht="15.75" customHeight="1">
      <c r="A592" s="47"/>
      <c r="B592" s="47"/>
      <c r="C592" s="47"/>
      <c r="D592" s="47"/>
      <c r="E592" s="47"/>
      <c r="F592" s="47"/>
      <c r="G592" s="47"/>
    </row>
    <row r="593" ht="15.75" customHeight="1">
      <c r="A593" s="47"/>
      <c r="B593" s="47"/>
      <c r="C593" s="47"/>
      <c r="D593" s="47"/>
      <c r="E593" s="47"/>
      <c r="F593" s="47"/>
      <c r="G593" s="47"/>
    </row>
    <row r="594" ht="15.75" customHeight="1">
      <c r="A594" s="47"/>
      <c r="B594" s="47"/>
      <c r="C594" s="47"/>
      <c r="D594" s="47"/>
      <c r="E594" s="47"/>
      <c r="F594" s="47"/>
      <c r="G594" s="47"/>
    </row>
    <row r="595" ht="15.75" customHeight="1">
      <c r="A595" s="47"/>
      <c r="B595" s="47"/>
      <c r="C595" s="47"/>
      <c r="D595" s="47"/>
      <c r="E595" s="47"/>
      <c r="F595" s="47"/>
      <c r="G595" s="47"/>
    </row>
    <row r="596" ht="15.75" customHeight="1">
      <c r="A596" s="47"/>
      <c r="B596" s="47"/>
      <c r="C596" s="47"/>
      <c r="D596" s="47"/>
      <c r="E596" s="47"/>
      <c r="F596" s="47"/>
      <c r="G596" s="47"/>
    </row>
    <row r="597" ht="15.75" customHeight="1">
      <c r="A597" s="47"/>
      <c r="B597" s="47"/>
      <c r="C597" s="47"/>
      <c r="D597" s="47"/>
      <c r="E597" s="47"/>
      <c r="F597" s="47"/>
      <c r="G597" s="47"/>
    </row>
    <row r="598" ht="15.75" customHeight="1">
      <c r="A598" s="47"/>
      <c r="B598" s="47"/>
      <c r="C598" s="47"/>
      <c r="D598" s="47"/>
      <c r="E598" s="47"/>
      <c r="F598" s="47"/>
      <c r="G598" s="47"/>
    </row>
    <row r="599" ht="15.75" customHeight="1">
      <c r="A599" s="47"/>
      <c r="B599" s="47"/>
      <c r="C599" s="47"/>
      <c r="D599" s="47"/>
      <c r="E599" s="47"/>
      <c r="F599" s="47"/>
      <c r="G599" s="47"/>
    </row>
    <row r="600" ht="15.75" customHeight="1">
      <c r="A600" s="47"/>
      <c r="B600" s="47"/>
      <c r="C600" s="47"/>
      <c r="D600" s="47"/>
      <c r="E600" s="47"/>
      <c r="F600" s="47"/>
      <c r="G600" s="47"/>
    </row>
    <row r="601" ht="15.75" customHeight="1">
      <c r="A601" s="47"/>
      <c r="B601" s="47"/>
      <c r="C601" s="47"/>
      <c r="D601" s="47"/>
      <c r="E601" s="47"/>
      <c r="F601" s="47"/>
      <c r="G601" s="47"/>
    </row>
    <row r="602" ht="15.75" customHeight="1">
      <c r="A602" s="47"/>
      <c r="B602" s="47"/>
      <c r="C602" s="47"/>
      <c r="D602" s="47"/>
      <c r="E602" s="47"/>
      <c r="F602" s="47"/>
      <c r="G602" s="47"/>
    </row>
    <row r="603" ht="15.75" customHeight="1">
      <c r="A603" s="47"/>
      <c r="B603" s="47"/>
      <c r="C603" s="47"/>
      <c r="D603" s="47"/>
      <c r="E603" s="47"/>
      <c r="F603" s="47"/>
      <c r="G603" s="47"/>
    </row>
    <row r="604" ht="15.75" customHeight="1">
      <c r="A604" s="47"/>
      <c r="B604" s="47"/>
      <c r="C604" s="47"/>
      <c r="D604" s="47"/>
      <c r="E604" s="47"/>
      <c r="F604" s="47"/>
      <c r="G604" s="47"/>
    </row>
    <row r="605" ht="15.75" customHeight="1">
      <c r="A605" s="47"/>
      <c r="B605" s="47"/>
      <c r="C605" s="47"/>
      <c r="D605" s="47"/>
      <c r="E605" s="47"/>
      <c r="F605" s="47"/>
      <c r="G605" s="47"/>
    </row>
    <row r="606" ht="15.75" customHeight="1">
      <c r="A606" s="47"/>
      <c r="B606" s="47"/>
      <c r="C606" s="47"/>
      <c r="D606" s="47"/>
      <c r="E606" s="47"/>
      <c r="F606" s="47"/>
      <c r="G606" s="47"/>
    </row>
    <row r="607" ht="15.75" customHeight="1">
      <c r="A607" s="47"/>
      <c r="B607" s="47"/>
      <c r="C607" s="47"/>
      <c r="D607" s="47"/>
      <c r="E607" s="47"/>
      <c r="F607" s="47"/>
      <c r="G607" s="47"/>
    </row>
    <row r="608" ht="15.75" customHeight="1">
      <c r="A608" s="47"/>
      <c r="B608" s="47"/>
      <c r="C608" s="47"/>
      <c r="D608" s="47"/>
      <c r="E608" s="47"/>
      <c r="F608" s="47"/>
      <c r="G608" s="47"/>
    </row>
    <row r="609" ht="15.75" customHeight="1">
      <c r="A609" s="47"/>
      <c r="B609" s="47"/>
      <c r="C609" s="47"/>
      <c r="D609" s="47"/>
      <c r="E609" s="47"/>
      <c r="F609" s="47"/>
      <c r="G609" s="47"/>
    </row>
    <row r="610" ht="15.75" customHeight="1">
      <c r="A610" s="47"/>
      <c r="B610" s="47"/>
      <c r="C610" s="47"/>
      <c r="D610" s="47"/>
      <c r="E610" s="47"/>
      <c r="F610" s="47"/>
      <c r="G610" s="47"/>
    </row>
    <row r="611" ht="15.75" customHeight="1">
      <c r="A611" s="47"/>
      <c r="B611" s="47"/>
      <c r="C611" s="47"/>
      <c r="D611" s="47"/>
      <c r="E611" s="47"/>
      <c r="F611" s="47"/>
      <c r="G611" s="47"/>
    </row>
    <row r="612" ht="15.75" customHeight="1">
      <c r="A612" s="47"/>
      <c r="B612" s="47"/>
      <c r="C612" s="47"/>
      <c r="D612" s="47"/>
      <c r="E612" s="47"/>
      <c r="F612" s="47"/>
      <c r="G612" s="47"/>
    </row>
    <row r="613" ht="15.75" customHeight="1">
      <c r="A613" s="47"/>
      <c r="B613" s="47"/>
      <c r="C613" s="47"/>
      <c r="D613" s="47"/>
      <c r="E613" s="47"/>
      <c r="F613" s="47"/>
      <c r="G613" s="47"/>
    </row>
    <row r="614" ht="15.75" customHeight="1">
      <c r="A614" s="47"/>
      <c r="B614" s="47"/>
      <c r="C614" s="47"/>
      <c r="D614" s="47"/>
      <c r="E614" s="47"/>
      <c r="F614" s="47"/>
      <c r="G614" s="47"/>
    </row>
    <row r="615" ht="15.75" customHeight="1">
      <c r="A615" s="47"/>
      <c r="B615" s="47"/>
      <c r="C615" s="47"/>
      <c r="D615" s="47"/>
      <c r="E615" s="47"/>
      <c r="F615" s="47"/>
      <c r="G615" s="47"/>
    </row>
    <row r="616" ht="15.75" customHeight="1">
      <c r="A616" s="47"/>
      <c r="B616" s="47"/>
      <c r="C616" s="47"/>
      <c r="D616" s="47"/>
      <c r="E616" s="47"/>
      <c r="F616" s="47"/>
      <c r="G616" s="47"/>
    </row>
    <row r="617" ht="15.75" customHeight="1">
      <c r="A617" s="47"/>
      <c r="B617" s="47"/>
      <c r="C617" s="47"/>
      <c r="D617" s="47"/>
      <c r="E617" s="47"/>
      <c r="F617" s="47"/>
      <c r="G617" s="47"/>
    </row>
    <row r="618" ht="15.75" customHeight="1">
      <c r="A618" s="47"/>
      <c r="B618" s="47"/>
      <c r="C618" s="47"/>
      <c r="D618" s="47"/>
      <c r="E618" s="47"/>
      <c r="F618" s="47"/>
      <c r="G618" s="47"/>
    </row>
    <row r="619" ht="15.75" customHeight="1">
      <c r="A619" s="47"/>
      <c r="B619" s="47"/>
      <c r="C619" s="47"/>
      <c r="D619" s="47"/>
      <c r="E619" s="47"/>
      <c r="F619" s="47"/>
      <c r="G619" s="47"/>
    </row>
    <row r="620" ht="15.75" customHeight="1">
      <c r="A620" s="47"/>
      <c r="B620" s="47"/>
      <c r="C620" s="47"/>
      <c r="D620" s="47"/>
      <c r="E620" s="47"/>
      <c r="F620" s="47"/>
      <c r="G620" s="47"/>
    </row>
    <row r="621" ht="15.75" customHeight="1">
      <c r="A621" s="47"/>
      <c r="B621" s="47"/>
      <c r="C621" s="47"/>
      <c r="D621" s="47"/>
      <c r="E621" s="47"/>
      <c r="F621" s="47"/>
      <c r="G621" s="47"/>
    </row>
    <row r="622" ht="15.75" customHeight="1">
      <c r="A622" s="47"/>
      <c r="B622" s="47"/>
      <c r="C622" s="47"/>
      <c r="D622" s="47"/>
      <c r="E622" s="47"/>
      <c r="F622" s="47"/>
      <c r="G622" s="47"/>
    </row>
    <row r="623" ht="15.75" customHeight="1">
      <c r="A623" s="47"/>
      <c r="B623" s="47"/>
      <c r="C623" s="47"/>
      <c r="D623" s="47"/>
      <c r="E623" s="47"/>
      <c r="F623" s="47"/>
      <c r="G623" s="47"/>
    </row>
    <row r="624" ht="15.75" customHeight="1">
      <c r="A624" s="47"/>
      <c r="B624" s="47"/>
      <c r="C624" s="47"/>
      <c r="D624" s="47"/>
      <c r="E624" s="47"/>
      <c r="F624" s="47"/>
      <c r="G624" s="47"/>
    </row>
    <row r="625" ht="15.75" customHeight="1">
      <c r="A625" s="47"/>
      <c r="B625" s="47"/>
      <c r="C625" s="47"/>
      <c r="D625" s="47"/>
      <c r="E625" s="47"/>
      <c r="F625" s="47"/>
      <c r="G625" s="47"/>
    </row>
    <row r="626" ht="15.75" customHeight="1">
      <c r="A626" s="47"/>
      <c r="B626" s="47"/>
      <c r="C626" s="47"/>
      <c r="D626" s="47"/>
      <c r="E626" s="47"/>
      <c r="F626" s="47"/>
      <c r="G626" s="47"/>
    </row>
    <row r="627" ht="15.75" customHeight="1">
      <c r="A627" s="47"/>
      <c r="B627" s="47"/>
      <c r="C627" s="47"/>
      <c r="D627" s="47"/>
      <c r="E627" s="47"/>
      <c r="F627" s="47"/>
      <c r="G627" s="47"/>
    </row>
    <row r="628" ht="15.75" customHeight="1">
      <c r="A628" s="47"/>
      <c r="B628" s="47"/>
      <c r="C628" s="47"/>
      <c r="D628" s="47"/>
      <c r="E628" s="47"/>
      <c r="F628" s="47"/>
      <c r="G628" s="47"/>
    </row>
    <row r="629" ht="15.75" customHeight="1">
      <c r="A629" s="47"/>
      <c r="B629" s="47"/>
      <c r="C629" s="47"/>
      <c r="D629" s="47"/>
      <c r="E629" s="47"/>
      <c r="F629" s="47"/>
      <c r="G629" s="47"/>
    </row>
    <row r="630" ht="15.75" customHeight="1">
      <c r="A630" s="47"/>
      <c r="B630" s="47"/>
      <c r="C630" s="47"/>
      <c r="D630" s="47"/>
      <c r="E630" s="47"/>
      <c r="F630" s="47"/>
      <c r="G630" s="47"/>
    </row>
    <row r="631" ht="15.75" customHeight="1">
      <c r="A631" s="47"/>
      <c r="B631" s="47"/>
      <c r="C631" s="47"/>
      <c r="D631" s="47"/>
      <c r="E631" s="47"/>
      <c r="F631" s="47"/>
      <c r="G631" s="47"/>
    </row>
    <row r="632" ht="15.75" customHeight="1">
      <c r="A632" s="47"/>
      <c r="B632" s="47"/>
      <c r="C632" s="47"/>
      <c r="D632" s="47"/>
      <c r="E632" s="47"/>
      <c r="F632" s="47"/>
      <c r="G632" s="47"/>
    </row>
    <row r="633" ht="15.75" customHeight="1">
      <c r="A633" s="47"/>
      <c r="B633" s="47"/>
      <c r="C633" s="47"/>
      <c r="D633" s="47"/>
      <c r="E633" s="47"/>
      <c r="F633" s="47"/>
      <c r="G633" s="47"/>
    </row>
    <row r="634" ht="15.75" customHeight="1">
      <c r="A634" s="47"/>
      <c r="B634" s="47"/>
      <c r="C634" s="47"/>
      <c r="D634" s="47"/>
      <c r="E634" s="47"/>
      <c r="F634" s="47"/>
      <c r="G634" s="47"/>
    </row>
    <row r="635" ht="15.75" customHeight="1">
      <c r="A635" s="47"/>
      <c r="B635" s="47"/>
      <c r="C635" s="47"/>
      <c r="D635" s="47"/>
      <c r="E635" s="47"/>
      <c r="F635" s="47"/>
      <c r="G635" s="47"/>
    </row>
    <row r="636" ht="15.75" customHeight="1">
      <c r="A636" s="47"/>
      <c r="B636" s="47"/>
      <c r="C636" s="47"/>
      <c r="D636" s="47"/>
      <c r="E636" s="47"/>
      <c r="F636" s="47"/>
      <c r="G636" s="47"/>
    </row>
    <row r="637" ht="15.75" customHeight="1">
      <c r="A637" s="47"/>
      <c r="B637" s="47"/>
      <c r="C637" s="47"/>
      <c r="D637" s="47"/>
      <c r="E637" s="47"/>
      <c r="F637" s="47"/>
      <c r="G637" s="47"/>
    </row>
    <row r="638" ht="15.75" customHeight="1">
      <c r="A638" s="47"/>
      <c r="B638" s="47"/>
      <c r="C638" s="47"/>
      <c r="D638" s="47"/>
      <c r="E638" s="47"/>
      <c r="F638" s="47"/>
      <c r="G638" s="47"/>
    </row>
    <row r="639" ht="15.75" customHeight="1">
      <c r="A639" s="47"/>
      <c r="B639" s="47"/>
      <c r="C639" s="47"/>
      <c r="D639" s="47"/>
      <c r="E639" s="47"/>
      <c r="F639" s="47"/>
      <c r="G639" s="47"/>
    </row>
    <row r="640" ht="15.75" customHeight="1">
      <c r="A640" s="47"/>
      <c r="B640" s="47"/>
      <c r="C640" s="47"/>
      <c r="D640" s="47"/>
      <c r="E640" s="47"/>
      <c r="F640" s="47"/>
      <c r="G640" s="47"/>
    </row>
    <row r="641" ht="15.75" customHeight="1">
      <c r="A641" s="47"/>
      <c r="B641" s="47"/>
      <c r="C641" s="47"/>
      <c r="D641" s="47"/>
      <c r="E641" s="47"/>
      <c r="F641" s="47"/>
      <c r="G641" s="47"/>
    </row>
    <row r="642" ht="15.75" customHeight="1">
      <c r="A642" s="47"/>
      <c r="B642" s="47"/>
      <c r="C642" s="47"/>
      <c r="D642" s="47"/>
      <c r="E642" s="47"/>
      <c r="F642" s="47"/>
      <c r="G642" s="47"/>
    </row>
    <row r="643" ht="15.75" customHeight="1">
      <c r="A643" s="47"/>
      <c r="B643" s="47"/>
      <c r="C643" s="47"/>
      <c r="D643" s="47"/>
      <c r="E643" s="47"/>
      <c r="F643" s="47"/>
      <c r="G643" s="47"/>
    </row>
    <row r="644" ht="15.75" customHeight="1">
      <c r="A644" s="47"/>
      <c r="B644" s="47"/>
      <c r="C644" s="47"/>
      <c r="D644" s="47"/>
      <c r="E644" s="47"/>
      <c r="F644" s="47"/>
      <c r="G644" s="47"/>
    </row>
    <row r="645" ht="15.75" customHeight="1">
      <c r="A645" s="47"/>
      <c r="B645" s="47"/>
      <c r="C645" s="47"/>
      <c r="D645" s="47"/>
      <c r="E645" s="47"/>
      <c r="F645" s="47"/>
      <c r="G645" s="47"/>
    </row>
    <row r="646" ht="15.75" customHeight="1">
      <c r="A646" s="47"/>
      <c r="B646" s="47"/>
      <c r="C646" s="47"/>
      <c r="D646" s="47"/>
      <c r="E646" s="47"/>
      <c r="F646" s="47"/>
      <c r="G646" s="47"/>
    </row>
    <row r="647" ht="15.75" customHeight="1">
      <c r="A647" s="47"/>
      <c r="B647" s="47"/>
      <c r="C647" s="47"/>
      <c r="D647" s="47"/>
      <c r="E647" s="47"/>
      <c r="F647" s="47"/>
      <c r="G647" s="47"/>
    </row>
    <row r="648" ht="15.75" customHeight="1">
      <c r="A648" s="47"/>
      <c r="B648" s="47"/>
      <c r="C648" s="47"/>
      <c r="D648" s="47"/>
      <c r="E648" s="47"/>
      <c r="F648" s="47"/>
      <c r="G648" s="47"/>
    </row>
    <row r="649" ht="15.75" customHeight="1">
      <c r="A649" s="47"/>
      <c r="B649" s="47"/>
      <c r="C649" s="47"/>
      <c r="D649" s="47"/>
      <c r="E649" s="47"/>
      <c r="F649" s="47"/>
      <c r="G649" s="47"/>
    </row>
    <row r="650" ht="15.75" customHeight="1">
      <c r="A650" s="47"/>
      <c r="B650" s="47"/>
      <c r="C650" s="47"/>
      <c r="D650" s="47"/>
      <c r="E650" s="47"/>
      <c r="F650" s="47"/>
      <c r="G650" s="47"/>
    </row>
    <row r="651" ht="15.75" customHeight="1">
      <c r="A651" s="47"/>
      <c r="B651" s="47"/>
      <c r="C651" s="47"/>
      <c r="D651" s="47"/>
      <c r="E651" s="47"/>
      <c r="F651" s="47"/>
      <c r="G651" s="47"/>
    </row>
    <row r="652" ht="15.75" customHeight="1">
      <c r="A652" s="47"/>
      <c r="B652" s="47"/>
      <c r="C652" s="47"/>
      <c r="D652" s="47"/>
      <c r="E652" s="47"/>
      <c r="F652" s="47"/>
      <c r="G652" s="47"/>
    </row>
    <row r="653" ht="15.75" customHeight="1">
      <c r="A653" s="47"/>
      <c r="B653" s="47"/>
      <c r="C653" s="47"/>
      <c r="D653" s="47"/>
      <c r="E653" s="47"/>
      <c r="F653" s="47"/>
      <c r="G653" s="47"/>
    </row>
    <row r="654" ht="15.75" customHeight="1">
      <c r="A654" s="47"/>
      <c r="B654" s="47"/>
      <c r="C654" s="47"/>
      <c r="D654" s="47"/>
      <c r="E654" s="47"/>
      <c r="F654" s="47"/>
      <c r="G654" s="47"/>
    </row>
    <row r="655" ht="15.75" customHeight="1">
      <c r="A655" s="47"/>
      <c r="B655" s="47"/>
      <c r="C655" s="47"/>
      <c r="D655" s="47"/>
      <c r="E655" s="47"/>
      <c r="F655" s="47"/>
      <c r="G655" s="47"/>
    </row>
    <row r="656" ht="15.75" customHeight="1">
      <c r="A656" s="47"/>
      <c r="B656" s="47"/>
      <c r="C656" s="47"/>
      <c r="D656" s="47"/>
      <c r="E656" s="47"/>
      <c r="F656" s="47"/>
      <c r="G656" s="47"/>
    </row>
    <row r="657" ht="15.75" customHeight="1">
      <c r="A657" s="47"/>
      <c r="B657" s="47"/>
      <c r="C657" s="47"/>
      <c r="D657" s="47"/>
      <c r="E657" s="47"/>
      <c r="F657" s="47"/>
      <c r="G657" s="47"/>
    </row>
    <row r="658" ht="15.75" customHeight="1">
      <c r="A658" s="47"/>
      <c r="B658" s="47"/>
      <c r="C658" s="47"/>
      <c r="D658" s="47"/>
      <c r="E658" s="47"/>
      <c r="F658" s="47"/>
      <c r="G658" s="47"/>
    </row>
    <row r="659" ht="15.75" customHeight="1">
      <c r="A659" s="47"/>
      <c r="B659" s="47"/>
      <c r="C659" s="47"/>
      <c r="D659" s="47"/>
      <c r="E659" s="47"/>
      <c r="F659" s="47"/>
      <c r="G659" s="47"/>
    </row>
    <row r="660" ht="15.75" customHeight="1">
      <c r="A660" s="47"/>
      <c r="B660" s="47"/>
      <c r="C660" s="47"/>
      <c r="D660" s="47"/>
      <c r="E660" s="47"/>
      <c r="F660" s="47"/>
      <c r="G660" s="47"/>
    </row>
    <row r="661" ht="15.75" customHeight="1">
      <c r="A661" s="47"/>
      <c r="B661" s="47"/>
      <c r="C661" s="47"/>
      <c r="D661" s="47"/>
      <c r="E661" s="47"/>
      <c r="F661" s="47"/>
      <c r="G661" s="47"/>
    </row>
    <row r="662" ht="15.75" customHeight="1">
      <c r="A662" s="47"/>
      <c r="B662" s="47"/>
      <c r="C662" s="47"/>
      <c r="D662" s="47"/>
      <c r="E662" s="47"/>
      <c r="F662" s="47"/>
      <c r="G662" s="47"/>
    </row>
    <row r="663" ht="15.75" customHeight="1">
      <c r="A663" s="47"/>
      <c r="B663" s="47"/>
      <c r="C663" s="47"/>
      <c r="D663" s="47"/>
      <c r="E663" s="47"/>
      <c r="F663" s="47"/>
      <c r="G663" s="47"/>
    </row>
    <row r="664" ht="15.75" customHeight="1">
      <c r="A664" s="47"/>
      <c r="B664" s="47"/>
      <c r="C664" s="47"/>
      <c r="D664" s="47"/>
      <c r="E664" s="47"/>
      <c r="F664" s="47"/>
      <c r="G664" s="47"/>
    </row>
    <row r="665" ht="15.75" customHeight="1">
      <c r="A665" s="47"/>
      <c r="B665" s="47"/>
      <c r="C665" s="47"/>
      <c r="D665" s="47"/>
      <c r="E665" s="47"/>
      <c r="F665" s="47"/>
      <c r="G665" s="47"/>
    </row>
    <row r="666" ht="15.75" customHeight="1">
      <c r="A666" s="47"/>
      <c r="B666" s="47"/>
      <c r="C666" s="47"/>
      <c r="D666" s="47"/>
      <c r="E666" s="47"/>
      <c r="F666" s="47"/>
      <c r="G666" s="47"/>
    </row>
    <row r="667" ht="15.75" customHeight="1">
      <c r="A667" s="47"/>
      <c r="B667" s="47"/>
      <c r="C667" s="47"/>
      <c r="D667" s="47"/>
      <c r="E667" s="47"/>
      <c r="F667" s="47"/>
      <c r="G667" s="47"/>
    </row>
    <row r="668" ht="15.75" customHeight="1">
      <c r="A668" s="47"/>
      <c r="B668" s="47"/>
      <c r="C668" s="47"/>
      <c r="D668" s="47"/>
      <c r="E668" s="47"/>
      <c r="F668" s="47"/>
      <c r="G668" s="47"/>
    </row>
    <row r="669" ht="15.75" customHeight="1">
      <c r="A669" s="47"/>
      <c r="B669" s="47"/>
      <c r="C669" s="47"/>
      <c r="D669" s="47"/>
      <c r="E669" s="47"/>
      <c r="F669" s="47"/>
      <c r="G669" s="47"/>
    </row>
    <row r="670" ht="15.75" customHeight="1">
      <c r="A670" s="47"/>
      <c r="B670" s="47"/>
      <c r="C670" s="47"/>
      <c r="D670" s="47"/>
      <c r="E670" s="47"/>
      <c r="F670" s="47"/>
      <c r="G670" s="47"/>
    </row>
    <row r="671" ht="15.75" customHeight="1">
      <c r="A671" s="47"/>
      <c r="B671" s="47"/>
      <c r="C671" s="47"/>
      <c r="D671" s="47"/>
      <c r="E671" s="47"/>
      <c r="F671" s="47"/>
      <c r="G671" s="47"/>
    </row>
    <row r="672" ht="15.75" customHeight="1">
      <c r="A672" s="47"/>
      <c r="B672" s="47"/>
      <c r="C672" s="47"/>
      <c r="D672" s="47"/>
      <c r="E672" s="47"/>
      <c r="F672" s="47"/>
      <c r="G672" s="47"/>
    </row>
    <row r="673" ht="15.75" customHeight="1">
      <c r="A673" s="47"/>
      <c r="B673" s="47"/>
      <c r="C673" s="47"/>
      <c r="D673" s="47"/>
      <c r="E673" s="47"/>
      <c r="F673" s="47"/>
      <c r="G673" s="47"/>
    </row>
    <row r="674" ht="15.75" customHeight="1">
      <c r="A674" s="47"/>
      <c r="B674" s="47"/>
      <c r="C674" s="47"/>
      <c r="D674" s="47"/>
      <c r="E674" s="47"/>
      <c r="F674" s="47"/>
      <c r="G674" s="47"/>
    </row>
    <row r="675" ht="15.75" customHeight="1">
      <c r="A675" s="47"/>
      <c r="B675" s="47"/>
      <c r="C675" s="47"/>
      <c r="D675" s="47"/>
      <c r="E675" s="47"/>
      <c r="F675" s="47"/>
      <c r="G675" s="47"/>
    </row>
    <row r="676" ht="15.75" customHeight="1">
      <c r="A676" s="47"/>
      <c r="B676" s="47"/>
      <c r="C676" s="47"/>
      <c r="D676" s="47"/>
      <c r="E676" s="47"/>
      <c r="F676" s="47"/>
      <c r="G676" s="47"/>
    </row>
    <row r="677" ht="15.75" customHeight="1">
      <c r="A677" s="47"/>
      <c r="B677" s="47"/>
      <c r="C677" s="47"/>
      <c r="D677" s="47"/>
      <c r="E677" s="47"/>
      <c r="F677" s="47"/>
      <c r="G677" s="47"/>
    </row>
    <row r="678" ht="15.75" customHeight="1">
      <c r="A678" s="47"/>
      <c r="B678" s="47"/>
      <c r="C678" s="47"/>
      <c r="D678" s="47"/>
      <c r="E678" s="47"/>
      <c r="F678" s="47"/>
      <c r="G678" s="47"/>
    </row>
    <row r="679" ht="15.75" customHeight="1">
      <c r="A679" s="47"/>
      <c r="B679" s="47"/>
      <c r="C679" s="47"/>
      <c r="D679" s="47"/>
      <c r="E679" s="47"/>
      <c r="F679" s="47"/>
      <c r="G679" s="47"/>
    </row>
    <row r="680" ht="15.75" customHeight="1">
      <c r="A680" s="47"/>
      <c r="B680" s="47"/>
      <c r="C680" s="47"/>
      <c r="D680" s="47"/>
      <c r="E680" s="47"/>
      <c r="F680" s="47"/>
      <c r="G680" s="47"/>
    </row>
    <row r="681" ht="15.75" customHeight="1">
      <c r="A681" s="47"/>
      <c r="B681" s="47"/>
      <c r="C681" s="47"/>
      <c r="D681" s="47"/>
      <c r="E681" s="47"/>
      <c r="F681" s="47"/>
      <c r="G681" s="47"/>
    </row>
    <row r="682" ht="15.75" customHeight="1">
      <c r="A682" s="47"/>
      <c r="B682" s="47"/>
      <c r="C682" s="47"/>
      <c r="D682" s="47"/>
      <c r="E682" s="47"/>
      <c r="F682" s="47"/>
      <c r="G682" s="47"/>
    </row>
    <row r="683" ht="15.75" customHeight="1">
      <c r="A683" s="47"/>
      <c r="B683" s="47"/>
      <c r="C683" s="47"/>
      <c r="D683" s="47"/>
      <c r="E683" s="47"/>
      <c r="F683" s="47"/>
      <c r="G683" s="47"/>
    </row>
    <row r="684" ht="15.75" customHeight="1">
      <c r="A684" s="47"/>
      <c r="B684" s="47"/>
      <c r="C684" s="47"/>
      <c r="D684" s="47"/>
      <c r="E684" s="47"/>
      <c r="F684" s="47"/>
      <c r="G684" s="47"/>
    </row>
    <row r="685" ht="15.75" customHeight="1">
      <c r="A685" s="47"/>
      <c r="B685" s="47"/>
      <c r="C685" s="47"/>
      <c r="D685" s="47"/>
      <c r="E685" s="47"/>
      <c r="F685" s="47"/>
      <c r="G685" s="47"/>
    </row>
    <row r="686" ht="15.75" customHeight="1">
      <c r="A686" s="47"/>
      <c r="B686" s="47"/>
      <c r="C686" s="47"/>
      <c r="D686" s="47"/>
      <c r="E686" s="47"/>
      <c r="F686" s="47"/>
      <c r="G686" s="47"/>
    </row>
    <row r="687" ht="15.75" customHeight="1">
      <c r="A687" s="47"/>
      <c r="B687" s="47"/>
      <c r="C687" s="47"/>
      <c r="D687" s="47"/>
      <c r="E687" s="47"/>
      <c r="F687" s="47"/>
      <c r="G687" s="47"/>
    </row>
    <row r="688" ht="15.75" customHeight="1">
      <c r="A688" s="47"/>
      <c r="B688" s="47"/>
      <c r="C688" s="47"/>
      <c r="D688" s="47"/>
      <c r="E688" s="47"/>
      <c r="F688" s="47"/>
      <c r="G688" s="47"/>
    </row>
    <row r="689" ht="15.75" customHeight="1">
      <c r="A689" s="47"/>
      <c r="B689" s="47"/>
      <c r="C689" s="47"/>
      <c r="D689" s="47"/>
      <c r="E689" s="47"/>
      <c r="F689" s="47"/>
      <c r="G689" s="47"/>
    </row>
    <row r="690" ht="15.75" customHeight="1">
      <c r="A690" s="47"/>
      <c r="B690" s="47"/>
      <c r="C690" s="47"/>
      <c r="D690" s="47"/>
      <c r="E690" s="47"/>
      <c r="F690" s="47"/>
      <c r="G690" s="47"/>
    </row>
    <row r="691" ht="15.75" customHeight="1">
      <c r="A691" s="47"/>
      <c r="B691" s="47"/>
      <c r="C691" s="47"/>
      <c r="D691" s="47"/>
      <c r="E691" s="47"/>
      <c r="F691" s="47"/>
      <c r="G691" s="47"/>
    </row>
    <row r="692" ht="15.75" customHeight="1">
      <c r="A692" s="47"/>
      <c r="B692" s="47"/>
      <c r="C692" s="47"/>
      <c r="D692" s="47"/>
      <c r="E692" s="47"/>
      <c r="F692" s="47"/>
      <c r="G692" s="47"/>
    </row>
    <row r="693" ht="15.75" customHeight="1">
      <c r="A693" s="47"/>
      <c r="B693" s="47"/>
      <c r="C693" s="47"/>
      <c r="D693" s="47"/>
      <c r="E693" s="47"/>
      <c r="F693" s="47"/>
      <c r="G693" s="47"/>
    </row>
    <row r="694" ht="15.75" customHeight="1">
      <c r="A694" s="47"/>
      <c r="B694" s="47"/>
      <c r="C694" s="47"/>
      <c r="D694" s="47"/>
      <c r="E694" s="47"/>
      <c r="F694" s="47"/>
      <c r="G694" s="47"/>
    </row>
    <row r="695" ht="15.75" customHeight="1">
      <c r="A695" s="47"/>
      <c r="B695" s="47"/>
      <c r="C695" s="47"/>
      <c r="D695" s="47"/>
      <c r="E695" s="47"/>
      <c r="F695" s="47"/>
      <c r="G695" s="47"/>
    </row>
    <row r="696" ht="15.75" customHeight="1">
      <c r="A696" s="47"/>
      <c r="B696" s="47"/>
      <c r="C696" s="47"/>
      <c r="D696" s="47"/>
      <c r="E696" s="47"/>
      <c r="F696" s="47"/>
      <c r="G696" s="47"/>
    </row>
    <row r="697" ht="15.75" customHeight="1">
      <c r="A697" s="47"/>
      <c r="B697" s="47"/>
      <c r="C697" s="47"/>
      <c r="D697" s="47"/>
      <c r="E697" s="47"/>
      <c r="F697" s="47"/>
      <c r="G697" s="47"/>
    </row>
    <row r="698" ht="15.75" customHeight="1">
      <c r="A698" s="47"/>
      <c r="B698" s="47"/>
      <c r="C698" s="47"/>
      <c r="D698" s="47"/>
      <c r="E698" s="47"/>
      <c r="F698" s="47"/>
      <c r="G698" s="47"/>
    </row>
    <row r="699" ht="15.75" customHeight="1">
      <c r="A699" s="47"/>
      <c r="B699" s="47"/>
      <c r="C699" s="47"/>
      <c r="D699" s="47"/>
      <c r="E699" s="47"/>
      <c r="F699" s="47"/>
      <c r="G699" s="47"/>
    </row>
    <row r="700" ht="15.75" customHeight="1">
      <c r="A700" s="47"/>
      <c r="B700" s="47"/>
      <c r="C700" s="47"/>
      <c r="D700" s="47"/>
      <c r="E700" s="47"/>
      <c r="F700" s="47"/>
      <c r="G700" s="47"/>
    </row>
    <row r="701" ht="15.75" customHeight="1">
      <c r="A701" s="47"/>
      <c r="B701" s="47"/>
      <c r="C701" s="47"/>
      <c r="D701" s="47"/>
      <c r="E701" s="47"/>
      <c r="F701" s="47"/>
      <c r="G701" s="47"/>
    </row>
    <row r="702" ht="15.75" customHeight="1">
      <c r="A702" s="47"/>
      <c r="B702" s="47"/>
      <c r="C702" s="47"/>
      <c r="D702" s="47"/>
      <c r="E702" s="47"/>
      <c r="F702" s="47"/>
      <c r="G702" s="47"/>
    </row>
    <row r="703" ht="15.75" customHeight="1">
      <c r="A703" s="47"/>
      <c r="B703" s="47"/>
      <c r="C703" s="47"/>
      <c r="D703" s="47"/>
      <c r="E703" s="47"/>
      <c r="F703" s="47"/>
      <c r="G703" s="47"/>
    </row>
    <row r="704" ht="15.75" customHeight="1">
      <c r="A704" s="47"/>
      <c r="B704" s="47"/>
      <c r="C704" s="47"/>
      <c r="D704" s="47"/>
      <c r="E704" s="47"/>
      <c r="F704" s="47"/>
      <c r="G704" s="47"/>
    </row>
    <row r="705" ht="15.75" customHeight="1">
      <c r="A705" s="47"/>
      <c r="B705" s="47"/>
      <c r="C705" s="47"/>
      <c r="D705" s="47"/>
      <c r="E705" s="47"/>
      <c r="F705" s="47"/>
      <c r="G705" s="47"/>
    </row>
    <row r="706" ht="15.75" customHeight="1">
      <c r="A706" s="47"/>
      <c r="B706" s="47"/>
      <c r="C706" s="47"/>
      <c r="D706" s="47"/>
      <c r="E706" s="47"/>
      <c r="F706" s="47"/>
      <c r="G706" s="47"/>
    </row>
    <row r="707" ht="15.75" customHeight="1">
      <c r="A707" s="47"/>
      <c r="B707" s="47"/>
      <c r="C707" s="47"/>
      <c r="D707" s="47"/>
      <c r="E707" s="47"/>
      <c r="F707" s="47"/>
      <c r="G707" s="47"/>
    </row>
    <row r="708" ht="15.75" customHeight="1">
      <c r="A708" s="47"/>
      <c r="B708" s="47"/>
      <c r="C708" s="47"/>
      <c r="D708" s="47"/>
      <c r="E708" s="47"/>
      <c r="F708" s="47"/>
      <c r="G708" s="47"/>
    </row>
    <row r="709" ht="15.75" customHeight="1">
      <c r="A709" s="47"/>
      <c r="B709" s="47"/>
      <c r="C709" s="47"/>
      <c r="D709" s="47"/>
      <c r="E709" s="47"/>
      <c r="F709" s="47"/>
      <c r="G709" s="47"/>
    </row>
    <row r="710" ht="15.75" customHeight="1">
      <c r="A710" s="47"/>
      <c r="B710" s="47"/>
      <c r="C710" s="47"/>
      <c r="D710" s="47"/>
      <c r="E710" s="47"/>
      <c r="F710" s="47"/>
      <c r="G710" s="47"/>
    </row>
    <row r="711" ht="15.75" customHeight="1">
      <c r="A711" s="47"/>
      <c r="B711" s="47"/>
      <c r="C711" s="47"/>
      <c r="D711" s="47"/>
      <c r="E711" s="47"/>
      <c r="F711" s="47"/>
      <c r="G711" s="47"/>
    </row>
    <row r="712" ht="15.75" customHeight="1">
      <c r="A712" s="47"/>
      <c r="B712" s="47"/>
      <c r="C712" s="47"/>
      <c r="D712" s="47"/>
      <c r="E712" s="47"/>
      <c r="F712" s="47"/>
      <c r="G712" s="47"/>
    </row>
    <row r="713" ht="15.75" customHeight="1">
      <c r="A713" s="47"/>
      <c r="B713" s="47"/>
      <c r="C713" s="47"/>
      <c r="D713" s="47"/>
      <c r="E713" s="47"/>
      <c r="F713" s="47"/>
      <c r="G713" s="47"/>
    </row>
    <row r="714" ht="15.75" customHeight="1">
      <c r="A714" s="47"/>
      <c r="B714" s="47"/>
      <c r="C714" s="47"/>
      <c r="D714" s="47"/>
      <c r="E714" s="47"/>
      <c r="F714" s="47"/>
      <c r="G714" s="47"/>
    </row>
    <row r="715" ht="15.75" customHeight="1">
      <c r="A715" s="47"/>
      <c r="B715" s="47"/>
      <c r="C715" s="47"/>
      <c r="D715" s="47"/>
      <c r="E715" s="47"/>
      <c r="F715" s="47"/>
      <c r="G715" s="47"/>
    </row>
    <row r="716" ht="15.75" customHeight="1">
      <c r="A716" s="47"/>
      <c r="B716" s="47"/>
      <c r="C716" s="47"/>
      <c r="D716" s="47"/>
      <c r="E716" s="47"/>
      <c r="F716" s="47"/>
      <c r="G716" s="47"/>
    </row>
    <row r="717" ht="15.75" customHeight="1">
      <c r="A717" s="47"/>
      <c r="B717" s="47"/>
      <c r="C717" s="47"/>
      <c r="D717" s="47"/>
      <c r="E717" s="47"/>
      <c r="F717" s="47"/>
      <c r="G717" s="47"/>
    </row>
    <row r="718" ht="15.75" customHeight="1">
      <c r="A718" s="47"/>
      <c r="B718" s="47"/>
      <c r="C718" s="47"/>
      <c r="D718" s="47"/>
      <c r="E718" s="47"/>
      <c r="F718" s="47"/>
      <c r="G718" s="47"/>
    </row>
    <row r="719" ht="15.75" customHeight="1">
      <c r="A719" s="47"/>
      <c r="B719" s="47"/>
      <c r="C719" s="47"/>
      <c r="D719" s="47"/>
      <c r="E719" s="47"/>
      <c r="F719" s="47"/>
      <c r="G719" s="47"/>
    </row>
    <row r="720" ht="15.75" customHeight="1">
      <c r="A720" s="47"/>
      <c r="B720" s="47"/>
      <c r="C720" s="47"/>
      <c r="D720" s="47"/>
      <c r="E720" s="47"/>
      <c r="F720" s="47"/>
      <c r="G720" s="47"/>
    </row>
    <row r="721" ht="15.75" customHeight="1">
      <c r="A721" s="47"/>
      <c r="B721" s="47"/>
      <c r="C721" s="47"/>
      <c r="D721" s="47"/>
      <c r="E721" s="47"/>
      <c r="F721" s="47"/>
      <c r="G721" s="47"/>
    </row>
    <row r="722" ht="15.75" customHeight="1">
      <c r="A722" s="47"/>
      <c r="B722" s="47"/>
      <c r="C722" s="47"/>
      <c r="D722" s="47"/>
      <c r="E722" s="47"/>
      <c r="F722" s="47"/>
      <c r="G722" s="47"/>
    </row>
    <row r="723" ht="15.75" customHeight="1">
      <c r="A723" s="47"/>
      <c r="B723" s="47"/>
      <c r="C723" s="47"/>
      <c r="D723" s="47"/>
      <c r="E723" s="47"/>
      <c r="F723" s="47"/>
      <c r="G723" s="47"/>
    </row>
    <row r="724" ht="15.75" customHeight="1">
      <c r="A724" s="47"/>
      <c r="B724" s="47"/>
      <c r="C724" s="47"/>
      <c r="D724" s="47"/>
      <c r="E724" s="47"/>
      <c r="F724" s="47"/>
      <c r="G724" s="47"/>
    </row>
    <row r="725" ht="15.75" customHeight="1">
      <c r="A725" s="47"/>
      <c r="B725" s="47"/>
      <c r="C725" s="47"/>
      <c r="D725" s="47"/>
      <c r="E725" s="47"/>
      <c r="F725" s="47"/>
      <c r="G725" s="47"/>
    </row>
    <row r="726" ht="15.75" customHeight="1">
      <c r="A726" s="47"/>
      <c r="B726" s="47"/>
      <c r="C726" s="47"/>
      <c r="D726" s="47"/>
      <c r="E726" s="47"/>
      <c r="F726" s="47"/>
      <c r="G726" s="47"/>
    </row>
    <row r="727" ht="15.75" customHeight="1">
      <c r="A727" s="47"/>
      <c r="B727" s="47"/>
      <c r="C727" s="47"/>
      <c r="D727" s="47"/>
      <c r="E727" s="47"/>
      <c r="F727" s="47"/>
      <c r="G727" s="47"/>
    </row>
    <row r="728" ht="15.75" customHeight="1">
      <c r="A728" s="47"/>
      <c r="B728" s="47"/>
      <c r="C728" s="47"/>
      <c r="D728" s="47"/>
      <c r="E728" s="47"/>
      <c r="F728" s="47"/>
      <c r="G728" s="47"/>
    </row>
    <row r="729" ht="15.75" customHeight="1">
      <c r="A729" s="47"/>
      <c r="B729" s="47"/>
      <c r="C729" s="47"/>
      <c r="D729" s="47"/>
      <c r="E729" s="47"/>
      <c r="F729" s="47"/>
      <c r="G729" s="47"/>
    </row>
    <row r="730" ht="15.75" customHeight="1">
      <c r="A730" s="47"/>
      <c r="B730" s="47"/>
      <c r="C730" s="47"/>
      <c r="D730" s="47"/>
      <c r="E730" s="47"/>
      <c r="F730" s="47"/>
      <c r="G730" s="47"/>
    </row>
    <row r="731" ht="15.75" customHeight="1">
      <c r="A731" s="47"/>
      <c r="B731" s="47"/>
      <c r="C731" s="47"/>
      <c r="D731" s="47"/>
      <c r="E731" s="47"/>
      <c r="F731" s="47"/>
      <c r="G731" s="47"/>
    </row>
    <row r="732" ht="15.75" customHeight="1">
      <c r="A732" s="47"/>
      <c r="B732" s="47"/>
      <c r="C732" s="47"/>
      <c r="D732" s="47"/>
      <c r="E732" s="47"/>
      <c r="F732" s="47"/>
      <c r="G732" s="47"/>
    </row>
    <row r="733" ht="15.75" customHeight="1">
      <c r="A733" s="47"/>
      <c r="B733" s="47"/>
      <c r="C733" s="47"/>
      <c r="D733" s="47"/>
      <c r="E733" s="47"/>
      <c r="F733" s="47"/>
      <c r="G733" s="47"/>
    </row>
    <row r="734" ht="15.75" customHeight="1">
      <c r="A734" s="47"/>
      <c r="B734" s="47"/>
      <c r="C734" s="47"/>
      <c r="D734" s="47"/>
      <c r="E734" s="47"/>
      <c r="F734" s="47"/>
      <c r="G734" s="47"/>
    </row>
    <row r="735" ht="15.75" customHeight="1">
      <c r="A735" s="47"/>
      <c r="B735" s="47"/>
      <c r="C735" s="47"/>
      <c r="D735" s="47"/>
      <c r="E735" s="47"/>
      <c r="F735" s="47"/>
      <c r="G735" s="47"/>
    </row>
    <row r="736" ht="15.75" customHeight="1">
      <c r="A736" s="47"/>
      <c r="B736" s="47"/>
      <c r="C736" s="47"/>
      <c r="D736" s="47"/>
      <c r="E736" s="47"/>
      <c r="F736" s="47"/>
      <c r="G736" s="47"/>
    </row>
    <row r="737" ht="15.75" customHeight="1">
      <c r="A737" s="47"/>
      <c r="B737" s="47"/>
      <c r="C737" s="47"/>
      <c r="D737" s="47"/>
      <c r="E737" s="47"/>
      <c r="F737" s="47"/>
      <c r="G737" s="47"/>
    </row>
    <row r="738" ht="15.75" customHeight="1">
      <c r="A738" s="47"/>
      <c r="B738" s="47"/>
      <c r="C738" s="47"/>
      <c r="D738" s="47"/>
      <c r="E738" s="47"/>
      <c r="F738" s="47"/>
      <c r="G738" s="47"/>
    </row>
    <row r="739" ht="15.75" customHeight="1">
      <c r="A739" s="47"/>
      <c r="B739" s="47"/>
      <c r="C739" s="47"/>
      <c r="D739" s="47"/>
      <c r="E739" s="47"/>
      <c r="F739" s="47"/>
      <c r="G739" s="47"/>
    </row>
    <row r="740" ht="15.75" customHeight="1">
      <c r="A740" s="47"/>
      <c r="B740" s="47"/>
      <c r="C740" s="47"/>
      <c r="D740" s="47"/>
      <c r="E740" s="47"/>
      <c r="F740" s="47"/>
      <c r="G740" s="47"/>
    </row>
    <row r="741" ht="15.75" customHeight="1">
      <c r="A741" s="47"/>
      <c r="B741" s="47"/>
      <c r="C741" s="47"/>
      <c r="D741" s="47"/>
      <c r="E741" s="47"/>
      <c r="F741" s="47"/>
      <c r="G741" s="47"/>
    </row>
    <row r="742" ht="15.75" customHeight="1">
      <c r="A742" s="47"/>
      <c r="B742" s="47"/>
      <c r="C742" s="47"/>
      <c r="D742" s="47"/>
      <c r="E742" s="47"/>
      <c r="F742" s="47"/>
      <c r="G742" s="47"/>
    </row>
    <row r="743" ht="15.75" customHeight="1">
      <c r="A743" s="47"/>
      <c r="B743" s="47"/>
      <c r="C743" s="47"/>
      <c r="D743" s="47"/>
      <c r="E743" s="47"/>
      <c r="F743" s="47"/>
      <c r="G743" s="47"/>
    </row>
    <row r="744" ht="15.75" customHeight="1">
      <c r="A744" s="47"/>
      <c r="B744" s="47"/>
      <c r="C744" s="47"/>
      <c r="D744" s="47"/>
      <c r="E744" s="47"/>
      <c r="F744" s="47"/>
      <c r="G744" s="47"/>
    </row>
    <row r="745" ht="15.75" customHeight="1">
      <c r="A745" s="47"/>
      <c r="B745" s="47"/>
      <c r="C745" s="47"/>
      <c r="D745" s="47"/>
      <c r="E745" s="47"/>
      <c r="F745" s="47"/>
      <c r="G745" s="47"/>
    </row>
    <row r="746" ht="15.75" customHeight="1">
      <c r="A746" s="47"/>
      <c r="B746" s="47"/>
      <c r="C746" s="47"/>
      <c r="D746" s="47"/>
      <c r="E746" s="47"/>
      <c r="F746" s="47"/>
      <c r="G746" s="47"/>
    </row>
    <row r="747" ht="15.75" customHeight="1">
      <c r="A747" s="47"/>
      <c r="B747" s="47"/>
      <c r="C747" s="47"/>
      <c r="D747" s="47"/>
      <c r="E747" s="47"/>
      <c r="F747" s="47"/>
      <c r="G747" s="47"/>
    </row>
    <row r="748" ht="15.75" customHeight="1">
      <c r="A748" s="47"/>
      <c r="B748" s="47"/>
      <c r="C748" s="47"/>
      <c r="D748" s="47"/>
      <c r="E748" s="47"/>
      <c r="F748" s="47"/>
      <c r="G748" s="47"/>
    </row>
    <row r="749" ht="15.75" customHeight="1">
      <c r="A749" s="47"/>
      <c r="B749" s="47"/>
      <c r="C749" s="47"/>
      <c r="D749" s="47"/>
      <c r="E749" s="47"/>
      <c r="F749" s="47"/>
      <c r="G749" s="47"/>
    </row>
    <row r="750" ht="15.75" customHeight="1">
      <c r="A750" s="47"/>
      <c r="B750" s="47"/>
      <c r="C750" s="47"/>
      <c r="D750" s="47"/>
      <c r="E750" s="47"/>
      <c r="F750" s="47"/>
      <c r="G750" s="47"/>
    </row>
    <row r="751" ht="15.75" customHeight="1">
      <c r="A751" s="47"/>
      <c r="B751" s="47"/>
      <c r="C751" s="47"/>
      <c r="D751" s="47"/>
      <c r="E751" s="47"/>
      <c r="F751" s="47"/>
      <c r="G751" s="47"/>
    </row>
    <row r="752" ht="15.75" customHeight="1">
      <c r="A752" s="47"/>
      <c r="B752" s="47"/>
      <c r="C752" s="47"/>
      <c r="D752" s="47"/>
      <c r="E752" s="47"/>
      <c r="F752" s="47"/>
      <c r="G752" s="47"/>
    </row>
    <row r="753" ht="15.75" customHeight="1">
      <c r="A753" s="47"/>
      <c r="B753" s="47"/>
      <c r="C753" s="47"/>
      <c r="D753" s="47"/>
      <c r="E753" s="47"/>
      <c r="F753" s="47"/>
      <c r="G753" s="47"/>
    </row>
    <row r="754" ht="15.75" customHeight="1">
      <c r="A754" s="47"/>
      <c r="B754" s="47"/>
      <c r="C754" s="47"/>
      <c r="D754" s="47"/>
      <c r="E754" s="47"/>
      <c r="F754" s="47"/>
      <c r="G754" s="47"/>
    </row>
    <row r="755" ht="15.75" customHeight="1">
      <c r="A755" s="47"/>
      <c r="B755" s="47"/>
      <c r="C755" s="47"/>
      <c r="D755" s="47"/>
      <c r="E755" s="47"/>
      <c r="F755" s="47"/>
      <c r="G755" s="47"/>
    </row>
    <row r="756" ht="15.75" customHeight="1">
      <c r="A756" s="47"/>
      <c r="B756" s="47"/>
      <c r="C756" s="47"/>
      <c r="D756" s="47"/>
      <c r="E756" s="47"/>
      <c r="F756" s="47"/>
      <c r="G756" s="47"/>
    </row>
    <row r="757" ht="15.75" customHeight="1">
      <c r="A757" s="47"/>
      <c r="B757" s="47"/>
      <c r="C757" s="47"/>
      <c r="D757" s="47"/>
      <c r="E757" s="47"/>
      <c r="F757" s="47"/>
      <c r="G757" s="47"/>
    </row>
    <row r="758" ht="15.75" customHeight="1">
      <c r="A758" s="47"/>
      <c r="B758" s="47"/>
      <c r="C758" s="47"/>
      <c r="D758" s="47"/>
      <c r="E758" s="47"/>
      <c r="F758" s="47"/>
      <c r="G758" s="47"/>
    </row>
    <row r="759" ht="15.75" customHeight="1">
      <c r="A759" s="47"/>
      <c r="B759" s="47"/>
      <c r="C759" s="47"/>
      <c r="D759" s="47"/>
      <c r="E759" s="47"/>
      <c r="F759" s="47"/>
      <c r="G759" s="47"/>
    </row>
    <row r="760" ht="15.75" customHeight="1">
      <c r="A760" s="47"/>
      <c r="B760" s="47"/>
      <c r="C760" s="47"/>
      <c r="D760" s="47"/>
      <c r="E760" s="47"/>
      <c r="F760" s="47"/>
      <c r="G760" s="47"/>
    </row>
    <row r="761" ht="15.75" customHeight="1">
      <c r="A761" s="47"/>
      <c r="B761" s="47"/>
      <c r="C761" s="47"/>
      <c r="D761" s="47"/>
      <c r="E761" s="47"/>
      <c r="F761" s="47"/>
      <c r="G761" s="47"/>
    </row>
    <row r="762" ht="15.75" customHeight="1">
      <c r="A762" s="47"/>
      <c r="B762" s="47"/>
      <c r="C762" s="47"/>
      <c r="D762" s="47"/>
      <c r="E762" s="47"/>
      <c r="F762" s="47"/>
      <c r="G762" s="47"/>
    </row>
    <row r="763" ht="15.75" customHeight="1">
      <c r="A763" s="47"/>
      <c r="B763" s="47"/>
      <c r="C763" s="47"/>
      <c r="D763" s="47"/>
      <c r="E763" s="47"/>
      <c r="F763" s="47"/>
      <c r="G763" s="47"/>
    </row>
    <row r="764" ht="15.75" customHeight="1">
      <c r="A764" s="47"/>
      <c r="B764" s="47"/>
      <c r="C764" s="47"/>
      <c r="D764" s="47"/>
      <c r="E764" s="47"/>
      <c r="F764" s="47"/>
      <c r="G764" s="47"/>
    </row>
    <row r="765" ht="15.75" customHeight="1">
      <c r="A765" s="47"/>
      <c r="B765" s="47"/>
      <c r="C765" s="47"/>
      <c r="D765" s="47"/>
      <c r="E765" s="47"/>
      <c r="F765" s="47"/>
      <c r="G765" s="47"/>
    </row>
    <row r="766" ht="15.75" customHeight="1">
      <c r="A766" s="47"/>
      <c r="B766" s="47"/>
      <c r="C766" s="47"/>
      <c r="D766" s="47"/>
      <c r="E766" s="47"/>
      <c r="F766" s="47"/>
      <c r="G766" s="47"/>
    </row>
    <row r="767" ht="15.75" customHeight="1">
      <c r="A767" s="47"/>
      <c r="B767" s="47"/>
      <c r="C767" s="47"/>
      <c r="D767" s="47"/>
      <c r="E767" s="47"/>
      <c r="F767" s="47"/>
      <c r="G767" s="47"/>
    </row>
    <row r="768" ht="15.75" customHeight="1">
      <c r="A768" s="47"/>
      <c r="B768" s="47"/>
      <c r="C768" s="47"/>
      <c r="D768" s="47"/>
      <c r="E768" s="47"/>
      <c r="F768" s="47"/>
      <c r="G768" s="47"/>
    </row>
    <row r="769" ht="15.75" customHeight="1">
      <c r="A769" s="47"/>
      <c r="B769" s="47"/>
      <c r="C769" s="47"/>
      <c r="D769" s="47"/>
      <c r="E769" s="47"/>
      <c r="F769" s="47"/>
      <c r="G769" s="47"/>
    </row>
    <row r="770" ht="15.75" customHeight="1">
      <c r="A770" s="47"/>
      <c r="B770" s="47"/>
      <c r="C770" s="47"/>
      <c r="D770" s="47"/>
      <c r="E770" s="47"/>
      <c r="F770" s="47"/>
      <c r="G770" s="47"/>
    </row>
    <row r="771" ht="15.75" customHeight="1">
      <c r="A771" s="47"/>
      <c r="B771" s="47"/>
      <c r="C771" s="47"/>
      <c r="D771" s="47"/>
      <c r="E771" s="47"/>
      <c r="F771" s="47"/>
      <c r="G771" s="47"/>
    </row>
    <row r="772" ht="15.75" customHeight="1">
      <c r="A772" s="47"/>
      <c r="B772" s="47"/>
      <c r="C772" s="47"/>
      <c r="D772" s="47"/>
      <c r="E772" s="47"/>
      <c r="F772" s="47"/>
      <c r="G772" s="47"/>
    </row>
    <row r="773" ht="15.75" customHeight="1">
      <c r="A773" s="47"/>
      <c r="B773" s="47"/>
      <c r="C773" s="47"/>
      <c r="D773" s="47"/>
      <c r="E773" s="47"/>
      <c r="F773" s="47"/>
      <c r="G773" s="47"/>
    </row>
    <row r="774" ht="15.75" customHeight="1">
      <c r="A774" s="47"/>
      <c r="B774" s="47"/>
      <c r="C774" s="47"/>
      <c r="D774" s="47"/>
      <c r="E774" s="47"/>
      <c r="F774" s="47"/>
      <c r="G774" s="47"/>
    </row>
    <row r="775" ht="15.75" customHeight="1">
      <c r="A775" s="47"/>
      <c r="B775" s="47"/>
      <c r="C775" s="47"/>
      <c r="D775" s="47"/>
      <c r="E775" s="47"/>
      <c r="F775" s="47"/>
      <c r="G775" s="47"/>
    </row>
    <row r="776" ht="15.75" customHeight="1">
      <c r="A776" s="47"/>
      <c r="B776" s="47"/>
      <c r="C776" s="47"/>
      <c r="D776" s="47"/>
      <c r="E776" s="47"/>
      <c r="F776" s="47"/>
      <c r="G776" s="47"/>
    </row>
    <row r="777" ht="15.75" customHeight="1">
      <c r="A777" s="47"/>
      <c r="B777" s="47"/>
      <c r="C777" s="47"/>
      <c r="D777" s="47"/>
      <c r="E777" s="47"/>
      <c r="F777" s="47"/>
      <c r="G777" s="47"/>
    </row>
    <row r="778" ht="15.75" customHeight="1">
      <c r="A778" s="47"/>
      <c r="B778" s="47"/>
      <c r="C778" s="47"/>
      <c r="D778" s="47"/>
      <c r="E778" s="47"/>
      <c r="F778" s="47"/>
      <c r="G778" s="47"/>
    </row>
    <row r="779" ht="15.75" customHeight="1">
      <c r="A779" s="47"/>
      <c r="B779" s="47"/>
      <c r="C779" s="47"/>
      <c r="D779" s="47"/>
      <c r="E779" s="47"/>
      <c r="F779" s="47"/>
      <c r="G779" s="47"/>
    </row>
    <row r="780" ht="15.75" customHeight="1">
      <c r="A780" s="47"/>
      <c r="B780" s="47"/>
      <c r="C780" s="47"/>
      <c r="D780" s="47"/>
      <c r="E780" s="47"/>
      <c r="F780" s="47"/>
      <c r="G780" s="47"/>
    </row>
    <row r="781" ht="15.75" customHeight="1">
      <c r="A781" s="47"/>
      <c r="B781" s="47"/>
      <c r="C781" s="47"/>
      <c r="D781" s="47"/>
      <c r="E781" s="47"/>
      <c r="F781" s="47"/>
      <c r="G781" s="47"/>
    </row>
    <row r="782" ht="15.75" customHeight="1">
      <c r="A782" s="47"/>
      <c r="B782" s="47"/>
      <c r="C782" s="47"/>
      <c r="D782" s="47"/>
      <c r="E782" s="47"/>
      <c r="F782" s="47"/>
      <c r="G782" s="47"/>
    </row>
    <row r="783" ht="15.75" customHeight="1">
      <c r="A783" s="47"/>
      <c r="B783" s="47"/>
      <c r="C783" s="47"/>
      <c r="D783" s="47"/>
      <c r="E783" s="47"/>
      <c r="F783" s="47"/>
      <c r="G783" s="47"/>
    </row>
    <row r="784" ht="15.75" customHeight="1">
      <c r="A784" s="47"/>
      <c r="B784" s="47"/>
      <c r="C784" s="47"/>
      <c r="D784" s="47"/>
      <c r="E784" s="47"/>
      <c r="F784" s="47"/>
      <c r="G784" s="47"/>
    </row>
    <row r="785" ht="15.75" customHeight="1">
      <c r="A785" s="47"/>
      <c r="B785" s="47"/>
      <c r="C785" s="47"/>
      <c r="D785" s="47"/>
      <c r="E785" s="47"/>
      <c r="F785" s="47"/>
      <c r="G785" s="47"/>
    </row>
    <row r="786" ht="15.75" customHeight="1">
      <c r="A786" s="47"/>
      <c r="B786" s="47"/>
      <c r="C786" s="47"/>
      <c r="D786" s="47"/>
      <c r="E786" s="47"/>
      <c r="F786" s="47"/>
      <c r="G786" s="47"/>
    </row>
    <row r="787" ht="15.75" customHeight="1">
      <c r="A787" s="47"/>
      <c r="B787" s="47"/>
      <c r="C787" s="47"/>
      <c r="D787" s="47"/>
      <c r="E787" s="47"/>
      <c r="F787" s="47"/>
      <c r="G787" s="47"/>
    </row>
    <row r="788" ht="15.75" customHeight="1">
      <c r="A788" s="47"/>
      <c r="B788" s="47"/>
      <c r="C788" s="47"/>
      <c r="D788" s="47"/>
      <c r="E788" s="47"/>
      <c r="F788" s="47"/>
      <c r="G788" s="47"/>
    </row>
    <row r="789" ht="15.75" customHeight="1">
      <c r="A789" s="47"/>
      <c r="B789" s="47"/>
      <c r="C789" s="47"/>
      <c r="D789" s="47"/>
      <c r="E789" s="47"/>
      <c r="F789" s="47"/>
      <c r="G789" s="47"/>
    </row>
    <row r="790" ht="15.75" customHeight="1">
      <c r="A790" s="47"/>
      <c r="B790" s="47"/>
      <c r="C790" s="47"/>
      <c r="D790" s="47"/>
      <c r="E790" s="47"/>
      <c r="F790" s="47"/>
      <c r="G790" s="47"/>
    </row>
    <row r="791" ht="15.75" customHeight="1">
      <c r="A791" s="47"/>
      <c r="B791" s="47"/>
      <c r="C791" s="47"/>
      <c r="D791" s="47"/>
      <c r="E791" s="47"/>
      <c r="F791" s="47"/>
      <c r="G791" s="47"/>
    </row>
    <row r="792" ht="15.75" customHeight="1">
      <c r="A792" s="47"/>
      <c r="B792" s="47"/>
      <c r="C792" s="47"/>
      <c r="D792" s="47"/>
      <c r="E792" s="47"/>
      <c r="F792" s="47"/>
      <c r="G792" s="47"/>
    </row>
    <row r="793" ht="15.75" customHeight="1">
      <c r="A793" s="47"/>
      <c r="B793" s="47"/>
      <c r="C793" s="47"/>
      <c r="D793" s="47"/>
      <c r="E793" s="47"/>
      <c r="F793" s="47"/>
      <c r="G793" s="47"/>
    </row>
    <row r="794" ht="15.75" customHeight="1">
      <c r="A794" s="47"/>
      <c r="B794" s="47"/>
      <c r="C794" s="47"/>
      <c r="D794" s="47"/>
      <c r="E794" s="47"/>
      <c r="F794" s="47"/>
      <c r="G794" s="47"/>
    </row>
    <row r="795" ht="15.75" customHeight="1">
      <c r="A795" s="47"/>
      <c r="B795" s="47"/>
      <c r="C795" s="47"/>
      <c r="D795" s="47"/>
      <c r="E795" s="47"/>
      <c r="F795" s="47"/>
      <c r="G795" s="47"/>
    </row>
    <row r="796" ht="15.75" customHeight="1">
      <c r="A796" s="47"/>
      <c r="B796" s="47"/>
      <c r="C796" s="47"/>
      <c r="D796" s="47"/>
      <c r="E796" s="47"/>
      <c r="F796" s="47"/>
      <c r="G796" s="47"/>
    </row>
    <row r="797" ht="15.75" customHeight="1">
      <c r="A797" s="47"/>
      <c r="B797" s="47"/>
      <c r="C797" s="47"/>
      <c r="D797" s="47"/>
      <c r="E797" s="47"/>
      <c r="F797" s="47"/>
      <c r="G797" s="47"/>
    </row>
    <row r="798" ht="15.75" customHeight="1">
      <c r="A798" s="47"/>
      <c r="B798" s="47"/>
      <c r="C798" s="47"/>
      <c r="D798" s="47"/>
      <c r="E798" s="47"/>
      <c r="F798" s="47"/>
      <c r="G798" s="47"/>
    </row>
    <row r="799" ht="15.75" customHeight="1">
      <c r="A799" s="47"/>
      <c r="B799" s="47"/>
      <c r="C799" s="47"/>
      <c r="D799" s="47"/>
      <c r="E799" s="47"/>
      <c r="F799" s="47"/>
      <c r="G799" s="47"/>
    </row>
    <row r="800" ht="15.75" customHeight="1">
      <c r="A800" s="47"/>
      <c r="B800" s="47"/>
      <c r="C800" s="47"/>
      <c r="D800" s="47"/>
      <c r="E800" s="47"/>
      <c r="F800" s="47"/>
      <c r="G800" s="47"/>
    </row>
    <row r="801" ht="15.75" customHeight="1">
      <c r="A801" s="47"/>
      <c r="B801" s="47"/>
      <c r="C801" s="47"/>
      <c r="D801" s="47"/>
      <c r="E801" s="47"/>
      <c r="F801" s="47"/>
      <c r="G801" s="47"/>
    </row>
    <row r="802" ht="15.75" customHeight="1">
      <c r="A802" s="47"/>
      <c r="B802" s="47"/>
      <c r="C802" s="47"/>
      <c r="D802" s="47"/>
      <c r="E802" s="47"/>
      <c r="F802" s="47"/>
      <c r="G802" s="47"/>
    </row>
    <row r="803" ht="15.75" customHeight="1">
      <c r="A803" s="47"/>
      <c r="B803" s="47"/>
      <c r="C803" s="47"/>
      <c r="D803" s="47"/>
      <c r="E803" s="47"/>
      <c r="F803" s="47"/>
      <c r="G803" s="47"/>
    </row>
    <row r="804" ht="15.75" customHeight="1">
      <c r="A804" s="47"/>
      <c r="B804" s="47"/>
      <c r="C804" s="47"/>
      <c r="D804" s="47"/>
      <c r="E804" s="47"/>
      <c r="F804" s="47"/>
      <c r="G804" s="47"/>
    </row>
    <row r="805" ht="15.75" customHeight="1">
      <c r="A805" s="47"/>
      <c r="B805" s="47"/>
      <c r="C805" s="47"/>
      <c r="D805" s="47"/>
      <c r="E805" s="47"/>
      <c r="F805" s="47"/>
      <c r="G805" s="47"/>
    </row>
    <row r="806" ht="15.75" customHeight="1">
      <c r="A806" s="47"/>
      <c r="B806" s="47"/>
      <c r="C806" s="47"/>
      <c r="D806" s="47"/>
      <c r="E806" s="47"/>
      <c r="F806" s="47"/>
      <c r="G806" s="47"/>
    </row>
    <row r="807" ht="15.75" customHeight="1">
      <c r="A807" s="47"/>
      <c r="B807" s="47"/>
      <c r="C807" s="47"/>
      <c r="D807" s="47"/>
      <c r="E807" s="47"/>
      <c r="F807" s="47"/>
      <c r="G807" s="47"/>
    </row>
    <row r="808" ht="15.75" customHeight="1">
      <c r="A808" s="47"/>
      <c r="B808" s="47"/>
      <c r="C808" s="47"/>
      <c r="D808" s="47"/>
      <c r="E808" s="47"/>
      <c r="F808" s="47"/>
      <c r="G808" s="47"/>
    </row>
    <row r="809" ht="15.75" customHeight="1">
      <c r="A809" s="47"/>
      <c r="B809" s="47"/>
      <c r="C809" s="47"/>
      <c r="D809" s="47"/>
      <c r="E809" s="47"/>
      <c r="F809" s="47"/>
      <c r="G809" s="47"/>
    </row>
    <row r="810" ht="15.75" customHeight="1">
      <c r="A810" s="47"/>
      <c r="B810" s="47"/>
      <c r="C810" s="47"/>
      <c r="D810" s="47"/>
      <c r="E810" s="47"/>
      <c r="F810" s="47"/>
      <c r="G810" s="47"/>
    </row>
    <row r="811" ht="15.75" customHeight="1">
      <c r="A811" s="47"/>
      <c r="B811" s="47"/>
      <c r="C811" s="47"/>
      <c r="D811" s="47"/>
      <c r="E811" s="47"/>
      <c r="F811" s="47"/>
      <c r="G811" s="47"/>
    </row>
    <row r="812" ht="15.75" customHeight="1">
      <c r="A812" s="47"/>
      <c r="B812" s="47"/>
      <c r="C812" s="47"/>
      <c r="D812" s="47"/>
      <c r="E812" s="47"/>
      <c r="F812" s="47"/>
      <c r="G812" s="47"/>
    </row>
    <row r="813" ht="15.75" customHeight="1">
      <c r="A813" s="47"/>
      <c r="B813" s="47"/>
      <c r="C813" s="47"/>
      <c r="D813" s="47"/>
      <c r="E813" s="47"/>
      <c r="F813" s="47"/>
      <c r="G813" s="47"/>
    </row>
    <row r="814" ht="15.75" customHeight="1">
      <c r="A814" s="47"/>
      <c r="B814" s="47"/>
      <c r="C814" s="47"/>
      <c r="D814" s="47"/>
      <c r="E814" s="47"/>
      <c r="F814" s="47"/>
      <c r="G814" s="47"/>
    </row>
    <row r="815" ht="15.75" customHeight="1">
      <c r="A815" s="47"/>
      <c r="B815" s="47"/>
      <c r="C815" s="47"/>
      <c r="D815" s="47"/>
      <c r="E815" s="47"/>
      <c r="F815" s="47"/>
      <c r="G815" s="47"/>
    </row>
    <row r="816" ht="15.75" customHeight="1">
      <c r="A816" s="47"/>
      <c r="B816" s="47"/>
      <c r="C816" s="47"/>
      <c r="D816" s="47"/>
      <c r="E816" s="47"/>
      <c r="F816" s="47"/>
      <c r="G816" s="47"/>
    </row>
    <row r="817" ht="15.75" customHeight="1">
      <c r="A817" s="47"/>
      <c r="B817" s="47"/>
      <c r="C817" s="47"/>
      <c r="D817" s="47"/>
      <c r="E817" s="47"/>
      <c r="F817" s="47"/>
      <c r="G817" s="47"/>
    </row>
    <row r="818" ht="15.75" customHeight="1">
      <c r="A818" s="47"/>
      <c r="B818" s="47"/>
      <c r="C818" s="47"/>
      <c r="D818" s="47"/>
      <c r="E818" s="47"/>
      <c r="F818" s="47"/>
      <c r="G818" s="47"/>
    </row>
    <row r="819" ht="15.75" customHeight="1">
      <c r="A819" s="47"/>
      <c r="B819" s="47"/>
      <c r="C819" s="47"/>
      <c r="D819" s="47"/>
      <c r="E819" s="47"/>
      <c r="F819" s="47"/>
      <c r="G819" s="47"/>
    </row>
    <row r="820" ht="15.75" customHeight="1">
      <c r="A820" s="47"/>
      <c r="B820" s="47"/>
      <c r="C820" s="47"/>
      <c r="D820" s="47"/>
      <c r="E820" s="47"/>
      <c r="F820" s="47"/>
      <c r="G820" s="47"/>
    </row>
    <row r="821" ht="15.75" customHeight="1">
      <c r="A821" s="47"/>
      <c r="B821" s="47"/>
      <c r="C821" s="47"/>
      <c r="D821" s="47"/>
      <c r="E821" s="47"/>
      <c r="F821" s="47"/>
      <c r="G821" s="47"/>
    </row>
    <row r="822" ht="15.75" customHeight="1">
      <c r="A822" s="47"/>
      <c r="B822" s="47"/>
      <c r="C822" s="47"/>
      <c r="D822" s="47"/>
      <c r="E822" s="47"/>
      <c r="F822" s="47"/>
      <c r="G822" s="47"/>
    </row>
    <row r="823" ht="15.75" customHeight="1">
      <c r="A823" s="47"/>
      <c r="B823" s="47"/>
      <c r="C823" s="47"/>
      <c r="D823" s="47"/>
      <c r="E823" s="47"/>
      <c r="F823" s="47"/>
      <c r="G823" s="47"/>
    </row>
    <row r="824" ht="15.75" customHeight="1">
      <c r="A824" s="47"/>
      <c r="B824" s="47"/>
      <c r="C824" s="47"/>
      <c r="D824" s="47"/>
      <c r="E824" s="47"/>
      <c r="F824" s="47"/>
      <c r="G824" s="47"/>
    </row>
    <row r="825" ht="15.75" customHeight="1">
      <c r="A825" s="47"/>
      <c r="B825" s="47"/>
      <c r="C825" s="47"/>
      <c r="D825" s="47"/>
      <c r="E825" s="47"/>
      <c r="F825" s="47"/>
      <c r="G825" s="47"/>
    </row>
    <row r="826" ht="15.75" customHeight="1">
      <c r="A826" s="47"/>
      <c r="B826" s="47"/>
      <c r="C826" s="47"/>
      <c r="D826" s="47"/>
      <c r="E826" s="47"/>
      <c r="F826" s="47"/>
      <c r="G826" s="47"/>
    </row>
    <row r="827" ht="15.75" customHeight="1">
      <c r="A827" s="47"/>
      <c r="B827" s="47"/>
      <c r="C827" s="47"/>
      <c r="D827" s="47"/>
      <c r="E827" s="47"/>
      <c r="F827" s="47"/>
      <c r="G827" s="47"/>
    </row>
    <row r="828" ht="15.75" customHeight="1">
      <c r="A828" s="47"/>
      <c r="B828" s="47"/>
      <c r="C828" s="47"/>
      <c r="D828" s="47"/>
      <c r="E828" s="47"/>
      <c r="F828" s="47"/>
      <c r="G828" s="47"/>
    </row>
    <row r="829" ht="15.75" customHeight="1">
      <c r="A829" s="47"/>
      <c r="B829" s="47"/>
      <c r="C829" s="47"/>
      <c r="D829" s="47"/>
      <c r="E829" s="47"/>
      <c r="F829" s="47"/>
      <c r="G829" s="47"/>
    </row>
    <row r="830" ht="15.75" customHeight="1">
      <c r="A830" s="47"/>
      <c r="B830" s="47"/>
      <c r="C830" s="47"/>
      <c r="D830" s="47"/>
      <c r="E830" s="47"/>
      <c r="F830" s="47"/>
      <c r="G830" s="47"/>
    </row>
    <row r="831" ht="15.75" customHeight="1">
      <c r="A831" s="47"/>
      <c r="B831" s="47"/>
      <c r="C831" s="47"/>
      <c r="D831" s="47"/>
      <c r="E831" s="47"/>
      <c r="F831" s="47"/>
      <c r="G831" s="47"/>
    </row>
    <row r="832" ht="15.75" customHeight="1">
      <c r="A832" s="47"/>
      <c r="B832" s="47"/>
      <c r="C832" s="47"/>
      <c r="D832" s="47"/>
      <c r="E832" s="47"/>
      <c r="F832" s="47"/>
      <c r="G832" s="47"/>
    </row>
    <row r="833" ht="15.75" customHeight="1">
      <c r="A833" s="47"/>
      <c r="B833" s="47"/>
      <c r="C833" s="47"/>
      <c r="D833" s="47"/>
      <c r="E833" s="47"/>
      <c r="F833" s="47"/>
      <c r="G833" s="47"/>
    </row>
    <row r="834" ht="15.75" customHeight="1">
      <c r="A834" s="47"/>
      <c r="B834" s="47"/>
      <c r="C834" s="47"/>
      <c r="D834" s="47"/>
      <c r="E834" s="47"/>
      <c r="F834" s="47"/>
      <c r="G834" s="47"/>
    </row>
    <row r="835" ht="15.75" customHeight="1">
      <c r="A835" s="47"/>
      <c r="B835" s="47"/>
      <c r="C835" s="47"/>
      <c r="D835" s="47"/>
      <c r="E835" s="47"/>
      <c r="F835" s="47"/>
      <c r="G835" s="47"/>
    </row>
    <row r="836" ht="15.75" customHeight="1">
      <c r="A836" s="47"/>
      <c r="B836" s="47"/>
      <c r="C836" s="47"/>
      <c r="D836" s="47"/>
      <c r="E836" s="47"/>
      <c r="F836" s="47"/>
      <c r="G836" s="47"/>
    </row>
    <row r="837" ht="15.75" customHeight="1">
      <c r="A837" s="47"/>
      <c r="B837" s="47"/>
      <c r="C837" s="47"/>
      <c r="D837" s="47"/>
      <c r="E837" s="47"/>
      <c r="F837" s="47"/>
      <c r="G837" s="47"/>
    </row>
    <row r="838" ht="15.75" customHeight="1">
      <c r="A838" s="47"/>
      <c r="B838" s="47"/>
      <c r="C838" s="47"/>
      <c r="D838" s="47"/>
      <c r="E838" s="47"/>
      <c r="F838" s="47"/>
      <c r="G838" s="47"/>
    </row>
    <row r="839" ht="15.75" customHeight="1">
      <c r="A839" s="47"/>
      <c r="B839" s="47"/>
      <c r="C839" s="47"/>
      <c r="D839" s="47"/>
      <c r="E839" s="47"/>
      <c r="F839" s="47"/>
      <c r="G839" s="47"/>
    </row>
    <row r="840" ht="15.75" customHeight="1">
      <c r="A840" s="47"/>
      <c r="B840" s="47"/>
      <c r="C840" s="47"/>
      <c r="D840" s="47"/>
      <c r="E840" s="47"/>
      <c r="F840" s="47"/>
      <c r="G840" s="47"/>
    </row>
    <row r="841" ht="15.75" customHeight="1">
      <c r="A841" s="47"/>
      <c r="B841" s="47"/>
      <c r="C841" s="47"/>
      <c r="D841" s="47"/>
      <c r="E841" s="47"/>
      <c r="F841" s="47"/>
      <c r="G841" s="47"/>
    </row>
    <row r="842" ht="15.75" customHeight="1">
      <c r="A842" s="47"/>
      <c r="B842" s="47"/>
      <c r="C842" s="47"/>
      <c r="D842" s="47"/>
      <c r="E842" s="47"/>
      <c r="F842" s="47"/>
      <c r="G842" s="47"/>
    </row>
    <row r="843" ht="15.75" customHeight="1">
      <c r="A843" s="47"/>
      <c r="B843" s="47"/>
      <c r="C843" s="47"/>
      <c r="D843" s="47"/>
      <c r="E843" s="47"/>
      <c r="F843" s="47"/>
      <c r="G843" s="47"/>
    </row>
    <row r="844" ht="15.75" customHeight="1">
      <c r="A844" s="47"/>
      <c r="B844" s="47"/>
      <c r="C844" s="47"/>
      <c r="D844" s="47"/>
      <c r="E844" s="47"/>
      <c r="F844" s="47"/>
      <c r="G844" s="47"/>
    </row>
    <row r="845" ht="15.75" customHeight="1">
      <c r="A845" s="47"/>
      <c r="B845" s="47"/>
      <c r="C845" s="47"/>
      <c r="D845" s="47"/>
      <c r="E845" s="47"/>
      <c r="F845" s="47"/>
      <c r="G845" s="47"/>
    </row>
    <row r="846" ht="15.75" customHeight="1">
      <c r="A846" s="47"/>
      <c r="B846" s="47"/>
      <c r="C846" s="47"/>
      <c r="D846" s="47"/>
      <c r="E846" s="47"/>
      <c r="F846" s="47"/>
      <c r="G846" s="47"/>
    </row>
    <row r="847" ht="15.75" customHeight="1">
      <c r="A847" s="47"/>
      <c r="B847" s="47"/>
      <c r="C847" s="47"/>
      <c r="D847" s="47"/>
      <c r="E847" s="47"/>
      <c r="F847" s="47"/>
      <c r="G847" s="47"/>
    </row>
    <row r="848" ht="15.75" customHeight="1">
      <c r="A848" s="47"/>
      <c r="B848" s="47"/>
      <c r="C848" s="47"/>
      <c r="D848" s="47"/>
      <c r="E848" s="47"/>
      <c r="F848" s="47"/>
      <c r="G848" s="47"/>
    </row>
    <row r="849" ht="15.75" customHeight="1">
      <c r="A849" s="47"/>
      <c r="B849" s="47"/>
      <c r="C849" s="47"/>
      <c r="D849" s="47"/>
      <c r="E849" s="47"/>
      <c r="F849" s="47"/>
      <c r="G849" s="47"/>
    </row>
    <row r="850" ht="15.75" customHeight="1">
      <c r="A850" s="47"/>
      <c r="B850" s="47"/>
      <c r="C850" s="47"/>
      <c r="D850" s="47"/>
      <c r="E850" s="47"/>
      <c r="F850" s="47"/>
      <c r="G850" s="47"/>
    </row>
    <row r="851" ht="15.75" customHeight="1">
      <c r="A851" s="47"/>
      <c r="B851" s="47"/>
      <c r="C851" s="47"/>
      <c r="D851" s="47"/>
      <c r="E851" s="47"/>
      <c r="F851" s="47"/>
      <c r="G851" s="47"/>
    </row>
    <row r="852" ht="15.75" customHeight="1">
      <c r="A852" s="47"/>
      <c r="B852" s="47"/>
      <c r="C852" s="47"/>
      <c r="D852" s="47"/>
      <c r="E852" s="47"/>
      <c r="F852" s="47"/>
      <c r="G852" s="47"/>
    </row>
    <row r="853" ht="15.75" customHeight="1">
      <c r="A853" s="47"/>
      <c r="B853" s="47"/>
      <c r="C853" s="47"/>
      <c r="D853" s="47"/>
      <c r="E853" s="47"/>
      <c r="F853" s="47"/>
      <c r="G853" s="47"/>
    </row>
    <row r="854" ht="15.75" customHeight="1">
      <c r="A854" s="47"/>
      <c r="B854" s="47"/>
      <c r="C854" s="47"/>
      <c r="D854" s="47"/>
      <c r="E854" s="47"/>
      <c r="F854" s="47"/>
      <c r="G854" s="47"/>
    </row>
    <row r="855" ht="15.75" customHeight="1">
      <c r="A855" s="47"/>
      <c r="B855" s="47"/>
      <c r="C855" s="47"/>
      <c r="D855" s="47"/>
      <c r="E855" s="47"/>
      <c r="F855" s="47"/>
      <c r="G855" s="47"/>
    </row>
    <row r="856" ht="15.75" customHeight="1">
      <c r="A856" s="47"/>
      <c r="B856" s="47"/>
      <c r="C856" s="47"/>
      <c r="D856" s="47"/>
      <c r="E856" s="47"/>
      <c r="F856" s="47"/>
      <c r="G856" s="47"/>
    </row>
    <row r="857" ht="15.75" customHeight="1">
      <c r="A857" s="47"/>
      <c r="B857" s="47"/>
      <c r="C857" s="47"/>
      <c r="D857" s="47"/>
      <c r="E857" s="47"/>
      <c r="F857" s="47"/>
      <c r="G857" s="47"/>
    </row>
    <row r="858" ht="15.75" customHeight="1">
      <c r="A858" s="47"/>
      <c r="B858" s="47"/>
      <c r="C858" s="47"/>
      <c r="D858" s="47"/>
      <c r="E858" s="47"/>
      <c r="F858" s="47"/>
      <c r="G858" s="47"/>
    </row>
    <row r="859" ht="15.75" customHeight="1">
      <c r="A859" s="47"/>
      <c r="B859" s="47"/>
      <c r="C859" s="47"/>
      <c r="D859" s="47"/>
      <c r="E859" s="47"/>
      <c r="F859" s="47"/>
      <c r="G859" s="47"/>
    </row>
    <row r="860" ht="15.75" customHeight="1">
      <c r="A860" s="47"/>
      <c r="B860" s="47"/>
      <c r="C860" s="47"/>
      <c r="D860" s="47"/>
      <c r="E860" s="47"/>
      <c r="F860" s="47"/>
      <c r="G860" s="47"/>
    </row>
    <row r="861" ht="15.75" customHeight="1">
      <c r="A861" s="47"/>
      <c r="B861" s="47"/>
      <c r="C861" s="47"/>
      <c r="D861" s="47"/>
      <c r="E861" s="47"/>
      <c r="F861" s="47"/>
      <c r="G861" s="47"/>
    </row>
    <row r="862" ht="15.75" customHeight="1">
      <c r="A862" s="47"/>
      <c r="B862" s="47"/>
      <c r="C862" s="47"/>
      <c r="D862" s="47"/>
      <c r="E862" s="47"/>
      <c r="F862" s="47"/>
      <c r="G862" s="47"/>
    </row>
    <row r="863" ht="15.75" customHeight="1">
      <c r="A863" s="47"/>
      <c r="B863" s="47"/>
      <c r="C863" s="47"/>
      <c r="D863" s="47"/>
      <c r="E863" s="47"/>
      <c r="F863" s="47"/>
      <c r="G863" s="47"/>
    </row>
    <row r="864" ht="15.75" customHeight="1">
      <c r="A864" s="47"/>
      <c r="B864" s="47"/>
      <c r="C864" s="47"/>
      <c r="D864" s="47"/>
      <c r="E864" s="47"/>
      <c r="F864" s="47"/>
      <c r="G864" s="47"/>
    </row>
    <row r="865" ht="15.75" customHeight="1">
      <c r="A865" s="47"/>
      <c r="B865" s="47"/>
      <c r="C865" s="47"/>
      <c r="D865" s="47"/>
      <c r="E865" s="47"/>
      <c r="F865" s="47"/>
      <c r="G865" s="47"/>
    </row>
    <row r="866" ht="15.75" customHeight="1">
      <c r="A866" s="47"/>
      <c r="B866" s="47"/>
      <c r="C866" s="47"/>
      <c r="D866" s="47"/>
      <c r="E866" s="47"/>
      <c r="F866" s="47"/>
      <c r="G866" s="47"/>
    </row>
    <row r="867" ht="15.75" customHeight="1">
      <c r="A867" s="47"/>
      <c r="B867" s="47"/>
      <c r="C867" s="47"/>
      <c r="D867" s="47"/>
      <c r="E867" s="47"/>
      <c r="F867" s="47"/>
      <c r="G867" s="47"/>
    </row>
    <row r="868" ht="15.75" customHeight="1">
      <c r="A868" s="47"/>
      <c r="B868" s="47"/>
      <c r="C868" s="47"/>
      <c r="D868" s="47"/>
      <c r="E868" s="47"/>
      <c r="F868" s="47"/>
      <c r="G868" s="47"/>
    </row>
    <row r="869" ht="15.75" customHeight="1">
      <c r="A869" s="47"/>
      <c r="B869" s="47"/>
      <c r="C869" s="47"/>
      <c r="D869" s="47"/>
      <c r="E869" s="47"/>
      <c r="F869" s="47"/>
      <c r="G869" s="47"/>
    </row>
    <row r="870" ht="15.75" customHeight="1">
      <c r="A870" s="47"/>
      <c r="B870" s="47"/>
      <c r="C870" s="47"/>
      <c r="D870" s="47"/>
      <c r="E870" s="47"/>
      <c r="F870" s="47"/>
      <c r="G870" s="47"/>
    </row>
    <row r="871" ht="15.75" customHeight="1">
      <c r="A871" s="47"/>
      <c r="B871" s="47"/>
      <c r="C871" s="47"/>
      <c r="D871" s="47"/>
      <c r="E871" s="47"/>
      <c r="F871" s="47"/>
      <c r="G871" s="47"/>
    </row>
    <row r="872" ht="15.75" customHeight="1">
      <c r="A872" s="47"/>
      <c r="B872" s="47"/>
      <c r="C872" s="47"/>
      <c r="D872" s="47"/>
      <c r="E872" s="47"/>
      <c r="F872" s="47"/>
      <c r="G872" s="47"/>
    </row>
    <row r="873" ht="15.75" customHeight="1">
      <c r="A873" s="47"/>
      <c r="B873" s="47"/>
      <c r="C873" s="47"/>
      <c r="D873" s="47"/>
      <c r="E873" s="47"/>
      <c r="F873" s="47"/>
      <c r="G873" s="47"/>
    </row>
    <row r="874" ht="15.75" customHeight="1">
      <c r="A874" s="47"/>
      <c r="B874" s="47"/>
      <c r="C874" s="47"/>
      <c r="D874" s="47"/>
      <c r="E874" s="47"/>
      <c r="F874" s="47"/>
      <c r="G874" s="47"/>
    </row>
    <row r="875" ht="15.75" customHeight="1">
      <c r="A875" s="47"/>
      <c r="B875" s="47"/>
      <c r="C875" s="47"/>
      <c r="D875" s="47"/>
      <c r="E875" s="47"/>
      <c r="F875" s="47"/>
      <c r="G875" s="47"/>
    </row>
    <row r="876" ht="15.75" customHeight="1">
      <c r="A876" s="47"/>
      <c r="B876" s="47"/>
      <c r="C876" s="47"/>
      <c r="D876" s="47"/>
      <c r="E876" s="47"/>
      <c r="F876" s="47"/>
      <c r="G876" s="47"/>
    </row>
    <row r="877" ht="15.75" customHeight="1">
      <c r="A877" s="47"/>
      <c r="B877" s="47"/>
      <c r="C877" s="47"/>
      <c r="D877" s="47"/>
      <c r="E877" s="47"/>
      <c r="F877" s="47"/>
      <c r="G877" s="47"/>
    </row>
    <row r="878" ht="15.75" customHeight="1">
      <c r="A878" s="47"/>
      <c r="B878" s="47"/>
      <c r="C878" s="47"/>
      <c r="D878" s="47"/>
      <c r="E878" s="47"/>
      <c r="F878" s="47"/>
      <c r="G878" s="47"/>
    </row>
    <row r="879" ht="15.75" customHeight="1">
      <c r="A879" s="47"/>
      <c r="B879" s="47"/>
      <c r="C879" s="47"/>
      <c r="D879" s="47"/>
      <c r="E879" s="47"/>
      <c r="F879" s="47"/>
      <c r="G879" s="47"/>
    </row>
    <row r="880" ht="15.75" customHeight="1">
      <c r="A880" s="47"/>
      <c r="B880" s="47"/>
      <c r="C880" s="47"/>
      <c r="D880" s="47"/>
      <c r="E880" s="47"/>
      <c r="F880" s="47"/>
      <c r="G880" s="47"/>
    </row>
    <row r="881" ht="15.75" customHeight="1">
      <c r="A881" s="47"/>
      <c r="B881" s="47"/>
      <c r="C881" s="47"/>
      <c r="D881" s="47"/>
      <c r="E881" s="47"/>
      <c r="F881" s="47"/>
      <c r="G881" s="47"/>
    </row>
    <row r="882" ht="15.75" customHeight="1">
      <c r="A882" s="47"/>
      <c r="B882" s="47"/>
      <c r="C882" s="47"/>
      <c r="D882" s="47"/>
      <c r="E882" s="47"/>
      <c r="F882" s="47"/>
      <c r="G882" s="47"/>
    </row>
    <row r="883" ht="15.75" customHeight="1">
      <c r="A883" s="47"/>
      <c r="B883" s="47"/>
      <c r="C883" s="47"/>
      <c r="D883" s="47"/>
      <c r="E883" s="47"/>
      <c r="F883" s="47"/>
      <c r="G883" s="47"/>
    </row>
    <row r="884" ht="15.75" customHeight="1">
      <c r="A884" s="47"/>
      <c r="B884" s="47"/>
      <c r="C884" s="47"/>
      <c r="D884" s="47"/>
      <c r="E884" s="47"/>
      <c r="F884" s="47"/>
      <c r="G884" s="47"/>
    </row>
    <row r="885" ht="15.75" customHeight="1">
      <c r="A885" s="47"/>
      <c r="B885" s="47"/>
      <c r="C885" s="47"/>
      <c r="D885" s="47"/>
      <c r="E885" s="47"/>
      <c r="F885" s="47"/>
      <c r="G885" s="47"/>
    </row>
    <row r="886" ht="15.75" customHeight="1">
      <c r="A886" s="47"/>
      <c r="B886" s="47"/>
      <c r="C886" s="47"/>
      <c r="D886" s="47"/>
      <c r="E886" s="47"/>
      <c r="F886" s="47"/>
      <c r="G886" s="47"/>
    </row>
    <row r="887" ht="15.75" customHeight="1">
      <c r="A887" s="47"/>
      <c r="B887" s="47"/>
      <c r="C887" s="47"/>
      <c r="D887" s="47"/>
      <c r="E887" s="47"/>
      <c r="F887" s="47"/>
      <c r="G887" s="47"/>
    </row>
    <row r="888" ht="15.75" customHeight="1">
      <c r="A888" s="47"/>
      <c r="B888" s="47"/>
      <c r="C888" s="47"/>
      <c r="D888" s="47"/>
      <c r="E888" s="47"/>
      <c r="F888" s="47"/>
      <c r="G888" s="47"/>
    </row>
    <row r="889" ht="15.75" customHeight="1">
      <c r="A889" s="47"/>
      <c r="B889" s="47"/>
      <c r="C889" s="47"/>
      <c r="D889" s="47"/>
      <c r="E889" s="47"/>
      <c r="F889" s="47"/>
      <c r="G889" s="47"/>
    </row>
    <row r="890" ht="15.75" customHeight="1">
      <c r="A890" s="47"/>
      <c r="B890" s="47"/>
      <c r="C890" s="47"/>
      <c r="D890" s="47"/>
      <c r="E890" s="47"/>
      <c r="F890" s="47"/>
      <c r="G890" s="47"/>
    </row>
    <row r="891" ht="15.75" customHeight="1">
      <c r="A891" s="47"/>
      <c r="B891" s="47"/>
      <c r="C891" s="47"/>
      <c r="D891" s="47"/>
      <c r="E891" s="47"/>
      <c r="F891" s="47"/>
      <c r="G891" s="47"/>
    </row>
    <row r="892" ht="15.75" customHeight="1">
      <c r="A892" s="47"/>
      <c r="B892" s="47"/>
      <c r="C892" s="47"/>
      <c r="D892" s="47"/>
      <c r="E892" s="47"/>
      <c r="F892" s="47"/>
      <c r="G892" s="47"/>
    </row>
    <row r="893" ht="15.75" customHeight="1">
      <c r="A893" s="47"/>
      <c r="B893" s="47"/>
      <c r="C893" s="47"/>
      <c r="D893" s="47"/>
      <c r="E893" s="47"/>
      <c r="F893" s="47"/>
      <c r="G893" s="47"/>
    </row>
    <row r="894" ht="15.75" customHeight="1">
      <c r="A894" s="47"/>
      <c r="B894" s="47"/>
      <c r="C894" s="47"/>
      <c r="D894" s="47"/>
      <c r="E894" s="47"/>
      <c r="F894" s="47"/>
      <c r="G894" s="47"/>
    </row>
    <row r="895" ht="15.75" customHeight="1">
      <c r="A895" s="47"/>
      <c r="B895" s="47"/>
      <c r="C895" s="47"/>
      <c r="D895" s="47"/>
      <c r="E895" s="47"/>
      <c r="F895" s="47"/>
      <c r="G895" s="47"/>
    </row>
    <row r="896" ht="15.75" customHeight="1">
      <c r="A896" s="47"/>
      <c r="B896" s="47"/>
      <c r="C896" s="47"/>
      <c r="D896" s="47"/>
      <c r="E896" s="47"/>
      <c r="F896" s="47"/>
      <c r="G896" s="47"/>
    </row>
    <row r="897" ht="15.75" customHeight="1">
      <c r="A897" s="47"/>
      <c r="B897" s="47"/>
      <c r="C897" s="47"/>
      <c r="D897" s="47"/>
      <c r="E897" s="47"/>
      <c r="F897" s="47"/>
      <c r="G897" s="47"/>
    </row>
    <row r="898" ht="15.75" customHeight="1">
      <c r="A898" s="47"/>
      <c r="B898" s="47"/>
      <c r="C898" s="47"/>
      <c r="D898" s="47"/>
      <c r="E898" s="47"/>
      <c r="F898" s="47"/>
      <c r="G898" s="47"/>
    </row>
    <row r="899" ht="15.75" customHeight="1">
      <c r="A899" s="47"/>
      <c r="B899" s="47"/>
      <c r="C899" s="47"/>
      <c r="D899" s="47"/>
      <c r="E899" s="47"/>
      <c r="F899" s="47"/>
      <c r="G899" s="47"/>
    </row>
    <row r="900" ht="15.75" customHeight="1">
      <c r="A900" s="47"/>
      <c r="B900" s="47"/>
      <c r="C900" s="47"/>
      <c r="D900" s="47"/>
      <c r="E900" s="47"/>
      <c r="F900" s="47"/>
      <c r="G900" s="47"/>
    </row>
    <row r="901" ht="15.75" customHeight="1">
      <c r="A901" s="47"/>
      <c r="B901" s="47"/>
      <c r="C901" s="47"/>
      <c r="D901" s="47"/>
      <c r="E901" s="47"/>
      <c r="F901" s="47"/>
      <c r="G901" s="47"/>
    </row>
    <row r="902" ht="15.75" customHeight="1">
      <c r="A902" s="47"/>
      <c r="B902" s="47"/>
      <c r="C902" s="47"/>
      <c r="D902" s="47"/>
      <c r="E902" s="47"/>
      <c r="F902" s="47"/>
      <c r="G902" s="47"/>
    </row>
    <row r="903" ht="15.75" customHeight="1">
      <c r="A903" s="47"/>
      <c r="B903" s="47"/>
      <c r="C903" s="47"/>
      <c r="D903" s="47"/>
      <c r="E903" s="47"/>
      <c r="F903" s="47"/>
      <c r="G903" s="47"/>
    </row>
    <row r="904" ht="15.75" customHeight="1">
      <c r="A904" s="47"/>
      <c r="B904" s="47"/>
      <c r="C904" s="47"/>
      <c r="D904" s="47"/>
      <c r="E904" s="47"/>
      <c r="F904" s="47"/>
      <c r="G904" s="47"/>
    </row>
    <row r="905" ht="15.75" customHeight="1">
      <c r="A905" s="47"/>
      <c r="B905" s="47"/>
      <c r="C905" s="47"/>
      <c r="D905" s="47"/>
      <c r="E905" s="47"/>
      <c r="F905" s="47"/>
      <c r="G905" s="47"/>
    </row>
    <row r="906" ht="15.75" customHeight="1">
      <c r="A906" s="47"/>
      <c r="B906" s="47"/>
      <c r="C906" s="47"/>
      <c r="D906" s="47"/>
      <c r="E906" s="47"/>
      <c r="F906" s="47"/>
      <c r="G906" s="47"/>
    </row>
    <row r="907" ht="15.75" customHeight="1">
      <c r="A907" s="47"/>
      <c r="B907" s="47"/>
      <c r="C907" s="47"/>
      <c r="D907" s="47"/>
      <c r="E907" s="47"/>
      <c r="F907" s="47"/>
      <c r="G907" s="47"/>
    </row>
    <row r="908" ht="15.75" customHeight="1">
      <c r="A908" s="47"/>
      <c r="B908" s="47"/>
      <c r="C908" s="47"/>
      <c r="D908" s="47"/>
      <c r="E908" s="47"/>
      <c r="F908" s="47"/>
      <c r="G908" s="47"/>
    </row>
    <row r="909" ht="15.75" customHeight="1">
      <c r="A909" s="47"/>
      <c r="B909" s="47"/>
      <c r="C909" s="47"/>
      <c r="D909" s="47"/>
      <c r="E909" s="47"/>
      <c r="F909" s="47"/>
      <c r="G909" s="47"/>
    </row>
    <row r="910" ht="15.75" customHeight="1">
      <c r="A910" s="47"/>
      <c r="B910" s="47"/>
      <c r="C910" s="47"/>
      <c r="D910" s="47"/>
      <c r="E910" s="47"/>
      <c r="F910" s="47"/>
      <c r="G910" s="47"/>
    </row>
    <row r="911" ht="15.75" customHeight="1">
      <c r="A911" s="47"/>
      <c r="B911" s="47"/>
      <c r="C911" s="47"/>
      <c r="D911" s="47"/>
      <c r="E911" s="47"/>
      <c r="F911" s="47"/>
      <c r="G911" s="47"/>
    </row>
    <row r="912" ht="15.75" customHeight="1">
      <c r="A912" s="47"/>
      <c r="B912" s="47"/>
      <c r="C912" s="47"/>
      <c r="D912" s="47"/>
      <c r="E912" s="47"/>
      <c r="F912" s="47"/>
      <c r="G912" s="47"/>
    </row>
    <row r="913" ht="15.75" customHeight="1">
      <c r="A913" s="47"/>
      <c r="B913" s="47"/>
      <c r="C913" s="47"/>
      <c r="D913" s="47"/>
      <c r="E913" s="47"/>
      <c r="F913" s="47"/>
      <c r="G913" s="47"/>
    </row>
    <row r="914" ht="15.75" customHeight="1">
      <c r="A914" s="47"/>
      <c r="B914" s="47"/>
      <c r="C914" s="47"/>
      <c r="D914" s="47"/>
      <c r="E914" s="47"/>
      <c r="F914" s="47"/>
      <c r="G914" s="47"/>
    </row>
    <row r="915" ht="15.75" customHeight="1">
      <c r="A915" s="47"/>
      <c r="B915" s="47"/>
      <c r="C915" s="47"/>
      <c r="D915" s="47"/>
      <c r="E915" s="47"/>
      <c r="F915" s="47"/>
      <c r="G915" s="47"/>
    </row>
    <row r="916" ht="15.75" customHeight="1">
      <c r="A916" s="47"/>
      <c r="B916" s="47"/>
      <c r="C916" s="47"/>
      <c r="D916" s="47"/>
      <c r="E916" s="47"/>
      <c r="F916" s="47"/>
      <c r="G916" s="47"/>
    </row>
    <row r="917" ht="15.75" customHeight="1">
      <c r="A917" s="47"/>
      <c r="B917" s="47"/>
      <c r="C917" s="47"/>
      <c r="D917" s="47"/>
      <c r="E917" s="47"/>
      <c r="F917" s="47"/>
      <c r="G917" s="47"/>
    </row>
    <row r="918" ht="15.75" customHeight="1">
      <c r="A918" s="47"/>
      <c r="B918" s="47"/>
      <c r="C918" s="47"/>
      <c r="D918" s="47"/>
      <c r="E918" s="47"/>
      <c r="F918" s="47"/>
      <c r="G918" s="47"/>
    </row>
    <row r="919" ht="15.75" customHeight="1">
      <c r="A919" s="47"/>
      <c r="B919" s="47"/>
      <c r="C919" s="47"/>
      <c r="D919" s="47"/>
      <c r="E919" s="47"/>
      <c r="F919" s="47"/>
      <c r="G919" s="47"/>
    </row>
    <row r="920" ht="15.75" customHeight="1">
      <c r="A920" s="47"/>
      <c r="B920" s="47"/>
      <c r="C920" s="47"/>
      <c r="D920" s="47"/>
      <c r="E920" s="47"/>
      <c r="F920" s="47"/>
      <c r="G920" s="47"/>
    </row>
    <row r="921" ht="15.75" customHeight="1">
      <c r="A921" s="47"/>
      <c r="B921" s="47"/>
      <c r="C921" s="47"/>
      <c r="D921" s="47"/>
      <c r="E921" s="47"/>
      <c r="F921" s="47"/>
      <c r="G921" s="47"/>
    </row>
    <row r="922" ht="15.75" customHeight="1">
      <c r="A922" s="47"/>
      <c r="B922" s="47"/>
      <c r="C922" s="47"/>
      <c r="D922" s="47"/>
      <c r="E922" s="47"/>
      <c r="F922" s="47"/>
      <c r="G922" s="47"/>
    </row>
    <row r="923" ht="15.75" customHeight="1">
      <c r="A923" s="47"/>
      <c r="B923" s="47"/>
      <c r="C923" s="47"/>
      <c r="D923" s="47"/>
      <c r="E923" s="47"/>
      <c r="F923" s="47"/>
      <c r="G923" s="47"/>
    </row>
    <row r="924" ht="15.75" customHeight="1">
      <c r="A924" s="47"/>
      <c r="B924" s="47"/>
      <c r="C924" s="47"/>
      <c r="D924" s="47"/>
      <c r="E924" s="47"/>
      <c r="F924" s="47"/>
      <c r="G924" s="47"/>
    </row>
    <row r="925" ht="15.75" customHeight="1">
      <c r="A925" s="47"/>
      <c r="B925" s="47"/>
      <c r="C925" s="47"/>
      <c r="D925" s="47"/>
      <c r="E925" s="47"/>
      <c r="F925" s="47"/>
      <c r="G925" s="47"/>
    </row>
    <row r="926" ht="15.75" customHeight="1">
      <c r="A926" s="47"/>
      <c r="B926" s="47"/>
      <c r="C926" s="47"/>
      <c r="D926" s="47"/>
      <c r="E926" s="47"/>
      <c r="F926" s="47"/>
      <c r="G926" s="47"/>
    </row>
    <row r="927" ht="15.75" customHeight="1">
      <c r="A927" s="47"/>
      <c r="B927" s="47"/>
      <c r="C927" s="47"/>
      <c r="D927" s="47"/>
      <c r="E927" s="47"/>
      <c r="F927" s="47"/>
      <c r="G927" s="47"/>
    </row>
    <row r="928" ht="15.75" customHeight="1">
      <c r="A928" s="47"/>
      <c r="B928" s="47"/>
      <c r="C928" s="47"/>
      <c r="D928" s="47"/>
      <c r="E928" s="47"/>
      <c r="F928" s="47"/>
      <c r="G928" s="47"/>
    </row>
    <row r="929" ht="15.75" customHeight="1">
      <c r="A929" s="47"/>
      <c r="B929" s="47"/>
      <c r="C929" s="47"/>
      <c r="D929" s="47"/>
      <c r="E929" s="47"/>
      <c r="F929" s="47"/>
      <c r="G929" s="47"/>
    </row>
    <row r="930" ht="15.75" customHeight="1">
      <c r="A930" s="47"/>
      <c r="B930" s="47"/>
      <c r="C930" s="47"/>
      <c r="D930" s="47"/>
      <c r="E930" s="47"/>
      <c r="F930" s="47"/>
      <c r="G930" s="47"/>
    </row>
    <row r="931" ht="15.75" customHeight="1">
      <c r="A931" s="47"/>
      <c r="B931" s="47"/>
      <c r="C931" s="47"/>
      <c r="D931" s="47"/>
      <c r="E931" s="47"/>
      <c r="F931" s="47"/>
      <c r="G931" s="47"/>
    </row>
    <row r="932" ht="15.75" customHeight="1">
      <c r="A932" s="47"/>
      <c r="B932" s="47"/>
      <c r="C932" s="47"/>
      <c r="D932" s="47"/>
      <c r="E932" s="47"/>
      <c r="F932" s="47"/>
      <c r="G932" s="47"/>
    </row>
    <row r="933" ht="15.75" customHeight="1">
      <c r="A933" s="47"/>
      <c r="B933" s="47"/>
      <c r="C933" s="47"/>
      <c r="D933" s="47"/>
      <c r="E933" s="47"/>
      <c r="F933" s="47"/>
      <c r="G933" s="47"/>
    </row>
    <row r="934" ht="15.75" customHeight="1">
      <c r="A934" s="47"/>
      <c r="B934" s="47"/>
      <c r="C934" s="47"/>
      <c r="D934" s="47"/>
      <c r="E934" s="47"/>
      <c r="F934" s="47"/>
      <c r="G934" s="47"/>
    </row>
    <row r="935" ht="15.75" customHeight="1">
      <c r="A935" s="47"/>
      <c r="B935" s="47"/>
      <c r="C935" s="47"/>
      <c r="D935" s="47"/>
      <c r="E935" s="47"/>
      <c r="F935" s="47"/>
      <c r="G935" s="47"/>
    </row>
    <row r="936" ht="15.75" customHeight="1">
      <c r="A936" s="47"/>
      <c r="B936" s="47"/>
      <c r="C936" s="47"/>
      <c r="D936" s="47"/>
      <c r="E936" s="47"/>
      <c r="F936" s="47"/>
      <c r="G936" s="47"/>
    </row>
    <row r="937" ht="15.75" customHeight="1">
      <c r="A937" s="47"/>
      <c r="B937" s="47"/>
      <c r="C937" s="47"/>
      <c r="D937" s="47"/>
      <c r="E937" s="47"/>
      <c r="F937" s="47"/>
      <c r="G937" s="47"/>
    </row>
    <row r="938" ht="15.75" customHeight="1">
      <c r="A938" s="47"/>
      <c r="B938" s="47"/>
      <c r="C938" s="47"/>
      <c r="D938" s="47"/>
      <c r="E938" s="47"/>
      <c r="F938" s="47"/>
      <c r="G938" s="47"/>
    </row>
    <row r="939" ht="15.75" customHeight="1">
      <c r="A939" s="47"/>
      <c r="B939" s="47"/>
      <c r="C939" s="47"/>
      <c r="D939" s="47"/>
      <c r="E939" s="47"/>
      <c r="F939" s="47"/>
      <c r="G939" s="47"/>
    </row>
    <row r="940" ht="15.75" customHeight="1">
      <c r="A940" s="47"/>
      <c r="B940" s="47"/>
      <c r="C940" s="47"/>
      <c r="D940" s="47"/>
      <c r="E940" s="47"/>
      <c r="F940" s="47"/>
      <c r="G940" s="47"/>
    </row>
    <row r="941" ht="15.75" customHeight="1">
      <c r="A941" s="47"/>
      <c r="B941" s="47"/>
      <c r="C941" s="47"/>
      <c r="D941" s="47"/>
      <c r="E941" s="47"/>
      <c r="F941" s="47"/>
      <c r="G941" s="47"/>
    </row>
    <row r="942" ht="15.75" customHeight="1">
      <c r="A942" s="47"/>
      <c r="B942" s="47"/>
      <c r="C942" s="47"/>
      <c r="D942" s="47"/>
      <c r="E942" s="47"/>
      <c r="F942" s="47"/>
      <c r="G942" s="47"/>
    </row>
    <row r="943" ht="15.75" customHeight="1">
      <c r="A943" s="47"/>
      <c r="B943" s="47"/>
      <c r="C943" s="47"/>
      <c r="D943" s="47"/>
      <c r="E943" s="47"/>
      <c r="F943" s="47"/>
      <c r="G943" s="47"/>
    </row>
    <row r="944" ht="15.75" customHeight="1">
      <c r="A944" s="47"/>
      <c r="B944" s="47"/>
      <c r="C944" s="47"/>
      <c r="D944" s="47"/>
      <c r="E944" s="47"/>
      <c r="F944" s="47"/>
      <c r="G944" s="47"/>
    </row>
    <row r="945" ht="15.75" customHeight="1">
      <c r="A945" s="47"/>
      <c r="B945" s="47"/>
      <c r="C945" s="47"/>
      <c r="D945" s="47"/>
      <c r="E945" s="47"/>
      <c r="F945" s="47"/>
      <c r="G945" s="47"/>
    </row>
    <row r="946" ht="15.75" customHeight="1">
      <c r="A946" s="47"/>
      <c r="B946" s="47"/>
      <c r="C946" s="47"/>
      <c r="D946" s="47"/>
      <c r="E946" s="47"/>
      <c r="F946" s="47"/>
      <c r="G946" s="47"/>
    </row>
    <row r="947" ht="15.75" customHeight="1">
      <c r="A947" s="47"/>
      <c r="B947" s="47"/>
      <c r="C947" s="47"/>
      <c r="D947" s="47"/>
      <c r="E947" s="47"/>
      <c r="F947" s="47"/>
      <c r="G947" s="47"/>
    </row>
    <row r="948" ht="15.75" customHeight="1">
      <c r="A948" s="47"/>
      <c r="B948" s="47"/>
      <c r="C948" s="47"/>
      <c r="D948" s="47"/>
      <c r="E948" s="47"/>
      <c r="F948" s="47"/>
      <c r="G948" s="47"/>
    </row>
    <row r="949" ht="15.75" customHeight="1">
      <c r="A949" s="47"/>
      <c r="B949" s="47"/>
      <c r="C949" s="47"/>
      <c r="D949" s="47"/>
      <c r="E949" s="47"/>
      <c r="F949" s="47"/>
      <c r="G949" s="47"/>
    </row>
    <row r="950" ht="15.75" customHeight="1">
      <c r="A950" s="47"/>
      <c r="B950" s="47"/>
      <c r="C950" s="47"/>
      <c r="D950" s="47"/>
      <c r="E950" s="47"/>
      <c r="F950" s="47"/>
      <c r="G950" s="47"/>
    </row>
    <row r="951" ht="15.75" customHeight="1">
      <c r="A951" s="47"/>
      <c r="B951" s="47"/>
      <c r="C951" s="47"/>
      <c r="D951" s="47"/>
      <c r="E951" s="47"/>
      <c r="F951" s="47"/>
      <c r="G951" s="47"/>
    </row>
    <row r="952" ht="15.75" customHeight="1">
      <c r="A952" s="47"/>
      <c r="B952" s="47"/>
      <c r="C952" s="47"/>
      <c r="D952" s="47"/>
      <c r="E952" s="47"/>
      <c r="F952" s="47"/>
      <c r="G952" s="47"/>
    </row>
    <row r="953" ht="15.75" customHeight="1">
      <c r="A953" s="47"/>
      <c r="B953" s="47"/>
      <c r="C953" s="47"/>
      <c r="D953" s="47"/>
      <c r="E953" s="47"/>
      <c r="F953" s="47"/>
      <c r="G953" s="47"/>
    </row>
    <row r="954" ht="15.75" customHeight="1">
      <c r="A954" s="47"/>
      <c r="B954" s="47"/>
      <c r="C954" s="47"/>
      <c r="D954" s="47"/>
      <c r="E954" s="47"/>
      <c r="F954" s="47"/>
      <c r="G954" s="47"/>
    </row>
    <row r="955" ht="15.75" customHeight="1">
      <c r="A955" s="47"/>
      <c r="B955" s="47"/>
      <c r="C955" s="47"/>
      <c r="D955" s="47"/>
      <c r="E955" s="47"/>
      <c r="F955" s="47"/>
      <c r="G955" s="47"/>
    </row>
    <row r="956" ht="15.75" customHeight="1">
      <c r="A956" s="47"/>
      <c r="B956" s="47"/>
      <c r="C956" s="47"/>
      <c r="D956" s="47"/>
      <c r="E956" s="47"/>
      <c r="F956" s="47"/>
      <c r="G956" s="47"/>
    </row>
    <row r="957" ht="15.75" customHeight="1">
      <c r="A957" s="47"/>
      <c r="B957" s="47"/>
      <c r="C957" s="47"/>
      <c r="D957" s="47"/>
      <c r="E957" s="47"/>
      <c r="F957" s="47"/>
      <c r="G957" s="47"/>
    </row>
    <row r="958" ht="15.75" customHeight="1">
      <c r="A958" s="47"/>
      <c r="B958" s="47"/>
      <c r="C958" s="47"/>
      <c r="D958" s="47"/>
      <c r="E958" s="47"/>
      <c r="F958" s="47"/>
      <c r="G958" s="47"/>
    </row>
    <row r="959" ht="15.75" customHeight="1">
      <c r="A959" s="47"/>
      <c r="B959" s="47"/>
      <c r="C959" s="47"/>
      <c r="D959" s="47"/>
      <c r="E959" s="47"/>
      <c r="F959" s="47"/>
      <c r="G959" s="47"/>
    </row>
    <row r="960" ht="15.75" customHeight="1">
      <c r="A960" s="47"/>
      <c r="B960" s="47"/>
      <c r="C960" s="47"/>
      <c r="D960" s="47"/>
      <c r="E960" s="47"/>
      <c r="F960" s="47"/>
      <c r="G960" s="47"/>
    </row>
    <row r="961" ht="15.75" customHeight="1">
      <c r="A961" s="47"/>
      <c r="B961" s="47"/>
      <c r="C961" s="47"/>
      <c r="D961" s="47"/>
      <c r="E961" s="47"/>
      <c r="F961" s="47"/>
      <c r="G961" s="47"/>
    </row>
    <row r="962" ht="15.75" customHeight="1">
      <c r="A962" s="47"/>
      <c r="B962" s="47"/>
      <c r="C962" s="47"/>
      <c r="D962" s="47"/>
      <c r="E962" s="47"/>
      <c r="F962" s="47"/>
      <c r="G962" s="47"/>
    </row>
    <row r="963" ht="15.75" customHeight="1">
      <c r="A963" s="47"/>
      <c r="B963" s="47"/>
      <c r="C963" s="47"/>
      <c r="D963" s="47"/>
      <c r="E963" s="47"/>
      <c r="F963" s="47"/>
      <c r="G963" s="47"/>
    </row>
    <row r="964" ht="15.75" customHeight="1">
      <c r="A964" s="47"/>
      <c r="B964" s="47"/>
      <c r="C964" s="47"/>
      <c r="D964" s="47"/>
      <c r="E964" s="47"/>
      <c r="F964" s="47"/>
      <c r="G964" s="47"/>
    </row>
    <row r="965" ht="15.75" customHeight="1">
      <c r="A965" s="47"/>
      <c r="B965" s="47"/>
      <c r="C965" s="47"/>
      <c r="D965" s="47"/>
      <c r="E965" s="47"/>
      <c r="F965" s="47"/>
      <c r="G965" s="47"/>
    </row>
    <row r="966" ht="15.75" customHeight="1">
      <c r="A966" s="47"/>
      <c r="B966" s="47"/>
      <c r="C966" s="47"/>
      <c r="D966" s="47"/>
      <c r="E966" s="47"/>
      <c r="F966" s="47"/>
      <c r="G966" s="47"/>
    </row>
    <row r="967" ht="15.75" customHeight="1">
      <c r="A967" s="47"/>
      <c r="B967" s="47"/>
      <c r="C967" s="47"/>
      <c r="D967" s="47"/>
      <c r="E967" s="47"/>
      <c r="F967" s="47"/>
      <c r="G967" s="47"/>
    </row>
    <row r="968" ht="15.75" customHeight="1">
      <c r="A968" s="47"/>
      <c r="B968" s="47"/>
      <c r="C968" s="47"/>
      <c r="D968" s="47"/>
      <c r="E968" s="47"/>
      <c r="F968" s="47"/>
      <c r="G968" s="47"/>
    </row>
    <row r="969" ht="15.75" customHeight="1">
      <c r="A969" s="47"/>
      <c r="B969" s="47"/>
      <c r="C969" s="47"/>
      <c r="D969" s="47"/>
      <c r="E969" s="47"/>
      <c r="F969" s="47"/>
      <c r="G969" s="47"/>
    </row>
    <row r="970" ht="15.75" customHeight="1">
      <c r="A970" s="47"/>
      <c r="B970" s="47"/>
      <c r="C970" s="47"/>
      <c r="D970" s="47"/>
      <c r="E970" s="47"/>
      <c r="F970" s="47"/>
      <c r="G970" s="47"/>
    </row>
    <row r="971" ht="15.75" customHeight="1">
      <c r="A971" s="47"/>
      <c r="B971" s="47"/>
      <c r="C971" s="47"/>
      <c r="D971" s="47"/>
      <c r="E971" s="47"/>
      <c r="F971" s="47"/>
      <c r="G971" s="47"/>
    </row>
    <row r="972" ht="15.75" customHeight="1">
      <c r="A972" s="47"/>
      <c r="B972" s="47"/>
      <c r="C972" s="47"/>
      <c r="D972" s="47"/>
      <c r="E972" s="47"/>
      <c r="F972" s="47"/>
      <c r="G972" s="47"/>
    </row>
    <row r="973" ht="15.75" customHeight="1">
      <c r="A973" s="47"/>
      <c r="B973" s="47"/>
      <c r="C973" s="47"/>
      <c r="D973" s="47"/>
      <c r="E973" s="47"/>
      <c r="F973" s="47"/>
      <c r="G973" s="47"/>
    </row>
    <row r="974" ht="15.75" customHeight="1">
      <c r="A974" s="47"/>
      <c r="B974" s="47"/>
      <c r="C974" s="47"/>
      <c r="D974" s="47"/>
      <c r="E974" s="47"/>
      <c r="F974" s="47"/>
      <c r="G974" s="47"/>
    </row>
    <row r="975" ht="15.75" customHeight="1">
      <c r="A975" s="47"/>
      <c r="B975" s="47"/>
      <c r="C975" s="47"/>
      <c r="D975" s="47"/>
      <c r="E975" s="47"/>
      <c r="F975" s="47"/>
      <c r="G975" s="47"/>
    </row>
    <row r="976" ht="15.75" customHeight="1">
      <c r="A976" s="47"/>
      <c r="B976" s="47"/>
      <c r="C976" s="47"/>
      <c r="D976" s="47"/>
      <c r="E976" s="47"/>
      <c r="F976" s="47"/>
      <c r="G976" s="47"/>
    </row>
    <row r="977" ht="15.75" customHeight="1">
      <c r="A977" s="47"/>
      <c r="B977" s="47"/>
      <c r="C977" s="47"/>
      <c r="D977" s="47"/>
      <c r="E977" s="47"/>
      <c r="F977" s="47"/>
      <c r="G977" s="47"/>
    </row>
    <row r="978" ht="15.75" customHeight="1">
      <c r="A978" s="47"/>
      <c r="B978" s="47"/>
      <c r="C978" s="47"/>
      <c r="D978" s="47"/>
      <c r="E978" s="47"/>
      <c r="F978" s="47"/>
      <c r="G978" s="47"/>
    </row>
    <row r="979" ht="15.75" customHeight="1">
      <c r="A979" s="47"/>
      <c r="B979" s="47"/>
      <c r="C979" s="47"/>
      <c r="D979" s="47"/>
      <c r="E979" s="47"/>
      <c r="F979" s="47"/>
      <c r="G979" s="47"/>
    </row>
    <row r="980" ht="15.75" customHeight="1">
      <c r="A980" s="47"/>
      <c r="B980" s="47"/>
      <c r="C980" s="47"/>
      <c r="D980" s="47"/>
      <c r="E980" s="47"/>
      <c r="F980" s="47"/>
      <c r="G980" s="47"/>
    </row>
    <row r="981" ht="15.75" customHeight="1">
      <c r="A981" s="47"/>
      <c r="B981" s="47"/>
      <c r="C981" s="47"/>
      <c r="D981" s="47"/>
      <c r="E981" s="47"/>
      <c r="F981" s="47"/>
      <c r="G981" s="47"/>
    </row>
    <row r="982" ht="15.75" customHeight="1">
      <c r="A982" s="47"/>
      <c r="B982" s="47"/>
      <c r="C982" s="47"/>
      <c r="D982" s="47"/>
      <c r="E982" s="47"/>
      <c r="F982" s="47"/>
      <c r="G982" s="47"/>
    </row>
    <row r="983" ht="15.75" customHeight="1">
      <c r="A983" s="47"/>
      <c r="B983" s="47"/>
      <c r="C983" s="47"/>
      <c r="D983" s="47"/>
      <c r="E983" s="47"/>
      <c r="F983" s="47"/>
      <c r="G983" s="47"/>
    </row>
    <row r="984" ht="15.75" customHeight="1">
      <c r="A984" s="47"/>
      <c r="B984" s="47"/>
      <c r="C984" s="47"/>
      <c r="D984" s="47"/>
      <c r="E984" s="47"/>
      <c r="F984" s="47"/>
      <c r="G984" s="47"/>
    </row>
    <row r="985" ht="15.75" customHeight="1">
      <c r="A985" s="47"/>
      <c r="B985" s="47"/>
      <c r="C985" s="47"/>
      <c r="D985" s="47"/>
      <c r="E985" s="47"/>
      <c r="F985" s="47"/>
      <c r="G985" s="47"/>
    </row>
    <row r="986" ht="15.75" customHeight="1">
      <c r="A986" s="47"/>
      <c r="B986" s="47"/>
      <c r="C986" s="47"/>
      <c r="D986" s="47"/>
      <c r="E986" s="47"/>
      <c r="F986" s="47"/>
      <c r="G986" s="47"/>
    </row>
    <row r="987" ht="15.75" customHeight="1">
      <c r="A987" s="47"/>
      <c r="B987" s="47"/>
      <c r="C987" s="47"/>
      <c r="D987" s="47"/>
      <c r="E987" s="47"/>
      <c r="F987" s="47"/>
      <c r="G987" s="47"/>
    </row>
    <row r="988" ht="15.75" customHeight="1">
      <c r="A988" s="47"/>
      <c r="B988" s="47"/>
      <c r="C988" s="47"/>
      <c r="D988" s="47"/>
      <c r="E988" s="47"/>
      <c r="F988" s="47"/>
      <c r="G988" s="47"/>
    </row>
    <row r="989" ht="15.75" customHeight="1">
      <c r="A989" s="47"/>
      <c r="B989" s="47"/>
      <c r="C989" s="47"/>
      <c r="D989" s="47"/>
      <c r="E989" s="47"/>
      <c r="F989" s="47"/>
      <c r="G989" s="47"/>
    </row>
    <row r="990" ht="15.75" customHeight="1">
      <c r="A990" s="47"/>
      <c r="B990" s="47"/>
      <c r="C990" s="47"/>
      <c r="D990" s="47"/>
      <c r="E990" s="47"/>
      <c r="F990" s="47"/>
      <c r="G990" s="47"/>
    </row>
    <row r="991" ht="15.75" customHeight="1">
      <c r="A991" s="47"/>
      <c r="B991" s="47"/>
      <c r="C991" s="47"/>
      <c r="D991" s="47"/>
      <c r="E991" s="47"/>
      <c r="F991" s="47"/>
      <c r="G991" s="47"/>
    </row>
    <row r="992" ht="15.75" customHeight="1">
      <c r="A992" s="47"/>
      <c r="B992" s="47"/>
      <c r="C992" s="47"/>
      <c r="D992" s="47"/>
      <c r="E992" s="47"/>
      <c r="F992" s="47"/>
      <c r="G992" s="47"/>
    </row>
    <row r="993" ht="15.75" customHeight="1">
      <c r="A993" s="47"/>
      <c r="B993" s="47"/>
      <c r="C993" s="47"/>
      <c r="D993" s="47"/>
      <c r="E993" s="47"/>
      <c r="F993" s="47"/>
      <c r="G993" s="47"/>
    </row>
    <row r="994" ht="15.75" customHeight="1">
      <c r="A994" s="47"/>
      <c r="B994" s="47"/>
      <c r="C994" s="47"/>
      <c r="D994" s="47"/>
      <c r="E994" s="47"/>
      <c r="F994" s="47"/>
      <c r="G994" s="47"/>
    </row>
    <row r="995" ht="15.75" customHeight="1">
      <c r="A995" s="47"/>
      <c r="B995" s="47"/>
      <c r="C995" s="47"/>
      <c r="D995" s="47"/>
      <c r="E995" s="47"/>
      <c r="F995" s="47"/>
      <c r="G995" s="47"/>
    </row>
    <row r="996" ht="15.75" customHeight="1">
      <c r="A996" s="47"/>
      <c r="B996" s="47"/>
      <c r="C996" s="47"/>
      <c r="D996" s="47"/>
      <c r="E996" s="47"/>
      <c r="F996" s="47"/>
      <c r="G996" s="47"/>
    </row>
    <row r="997" ht="15.75" customHeight="1">
      <c r="A997" s="47"/>
      <c r="B997" s="47"/>
      <c r="C997" s="47"/>
      <c r="D997" s="47"/>
      <c r="E997" s="47"/>
      <c r="F997" s="47"/>
      <c r="G997" s="47"/>
    </row>
    <row r="998" ht="15.75" customHeight="1">
      <c r="A998" s="47"/>
      <c r="B998" s="47"/>
      <c r="C998" s="47"/>
      <c r="D998" s="47"/>
      <c r="E998" s="47"/>
      <c r="F998" s="47"/>
      <c r="G998" s="47"/>
    </row>
    <row r="999" ht="15.75" customHeight="1">
      <c r="A999" s="47"/>
      <c r="B999" s="47"/>
      <c r="C999" s="47"/>
      <c r="D999" s="47"/>
      <c r="E999" s="47"/>
      <c r="F999" s="47"/>
      <c r="G999" s="47"/>
    </row>
    <row r="1000" ht="15.75" customHeight="1">
      <c r="A1000" s="47"/>
      <c r="B1000" s="47"/>
      <c r="C1000" s="47"/>
      <c r="D1000" s="47"/>
      <c r="E1000" s="47"/>
      <c r="F1000" s="47"/>
      <c r="G1000" s="47"/>
    </row>
  </sheetData>
  <autoFilter ref="$A$2:$F$17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6.0"/>
    <col customWidth="1" min="4" max="8" width="26.0"/>
    <col customWidth="1" hidden="1" min="9" max="32" width="10.0"/>
  </cols>
  <sheetData>
    <row r="1" ht="15.0" customHeight="1">
      <c r="A1" s="72" t="s">
        <v>144</v>
      </c>
      <c r="B1" s="72" t="s">
        <v>147</v>
      </c>
      <c r="C1" s="185" t="s">
        <v>1768</v>
      </c>
      <c r="D1" s="186"/>
      <c r="E1" s="186"/>
      <c r="F1" s="186"/>
      <c r="G1" s="186"/>
      <c r="H1" s="187"/>
      <c r="I1" s="188" t="s">
        <v>1769</v>
      </c>
      <c r="J1" s="47"/>
      <c r="K1" s="47"/>
      <c r="L1" s="47"/>
      <c r="P1" s="189" t="s">
        <v>1770</v>
      </c>
      <c r="Q1" s="186"/>
      <c r="R1" s="186"/>
      <c r="S1" s="186"/>
      <c r="T1" s="186"/>
      <c r="U1" s="186"/>
      <c r="V1" s="187"/>
      <c r="W1" s="190" t="s">
        <v>1771</v>
      </c>
      <c r="X1" s="189" t="s">
        <v>1772</v>
      </c>
      <c r="Y1" s="187"/>
      <c r="Z1" s="72"/>
      <c r="AA1" s="72"/>
      <c r="AB1" s="72"/>
      <c r="AC1" s="72"/>
      <c r="AD1" s="72"/>
      <c r="AE1" s="72"/>
      <c r="AF1" s="72"/>
    </row>
    <row r="2" ht="15.0" customHeight="1">
      <c r="A2" s="72"/>
      <c r="B2" s="47"/>
      <c r="C2" s="191" t="s">
        <v>1773</v>
      </c>
      <c r="D2" s="191" t="s">
        <v>1774</v>
      </c>
      <c r="E2" s="191" t="s">
        <v>1775</v>
      </c>
      <c r="F2" s="191" t="s">
        <v>151</v>
      </c>
      <c r="G2" s="191" t="s">
        <v>152</v>
      </c>
      <c r="H2" s="191" t="s">
        <v>153</v>
      </c>
      <c r="I2" s="192" t="s">
        <v>1776</v>
      </c>
      <c r="J2" s="192" t="s">
        <v>1777</v>
      </c>
      <c r="K2" s="192" t="s">
        <v>1778</v>
      </c>
      <c r="L2" s="192" t="s">
        <v>1779</v>
      </c>
      <c r="M2" s="192" t="s">
        <v>1780</v>
      </c>
      <c r="N2" s="192" t="s">
        <v>1781</v>
      </c>
      <c r="O2" s="192" t="s">
        <v>1782</v>
      </c>
      <c r="P2" s="192" t="s">
        <v>1776</v>
      </c>
      <c r="Q2" s="192" t="s">
        <v>1777</v>
      </c>
      <c r="R2" s="192" t="s">
        <v>1778</v>
      </c>
      <c r="S2" s="192" t="s">
        <v>1779</v>
      </c>
      <c r="T2" s="192" t="s">
        <v>1780</v>
      </c>
      <c r="U2" s="192" t="s">
        <v>1781</v>
      </c>
      <c r="V2" s="192" t="s">
        <v>1782</v>
      </c>
      <c r="W2" s="190"/>
      <c r="X2" s="93" t="s">
        <v>1783</v>
      </c>
      <c r="Y2" s="93" t="s">
        <v>1784</v>
      </c>
      <c r="Z2" s="93" t="s">
        <v>1785</v>
      </c>
      <c r="AA2" s="93" t="s">
        <v>1786</v>
      </c>
      <c r="AB2" s="191"/>
      <c r="AC2" s="191"/>
      <c r="AD2" s="191"/>
      <c r="AE2" s="191"/>
      <c r="AF2" s="191"/>
    </row>
    <row r="3" ht="15.0" customHeight="1">
      <c r="A3" s="193">
        <v>1.0</v>
      </c>
      <c r="B3" s="194" t="s">
        <v>1787</v>
      </c>
      <c r="C3" s="195" t="s">
        <v>1788</v>
      </c>
      <c r="D3" s="196"/>
      <c r="E3" s="196"/>
      <c r="F3" s="197" t="s">
        <v>1789</v>
      </c>
      <c r="G3" s="198" t="s">
        <v>1605</v>
      </c>
      <c r="H3" s="198" t="s">
        <v>1605</v>
      </c>
      <c r="I3" s="199">
        <v>37.0</v>
      </c>
      <c r="J3" s="200"/>
      <c r="K3" s="200"/>
      <c r="L3" s="201"/>
      <c r="M3" s="201"/>
      <c r="N3" s="201"/>
      <c r="O3" s="201"/>
      <c r="P3" s="202">
        <f t="shared" ref="P3:P108" si="1">3000*I3</f>
        <v>111000</v>
      </c>
      <c r="Q3" s="202">
        <v>0.0</v>
      </c>
      <c r="R3" s="202">
        <v>0.0</v>
      </c>
      <c r="S3" s="202">
        <v>0.0</v>
      </c>
      <c r="T3" s="202">
        <v>0.0</v>
      </c>
      <c r="U3" s="202">
        <v>0.0</v>
      </c>
      <c r="V3" s="202">
        <v>0.0</v>
      </c>
      <c r="W3" s="203">
        <f t="shared" ref="W3:W108" si="3">SUM(P3:V3)</f>
        <v>111000</v>
      </c>
      <c r="X3" s="204">
        <f t="shared" ref="X3:X141" si="4">W3/3</f>
        <v>37000</v>
      </c>
      <c r="Y3" s="205">
        <f t="shared" ref="Y3:Y141" si="5">W3*2/3</f>
        <v>74000</v>
      </c>
      <c r="Z3" s="86" t="s">
        <v>1790</v>
      </c>
      <c r="AA3" s="110"/>
      <c r="AB3" s="47"/>
      <c r="AC3" s="47"/>
      <c r="AD3" s="47"/>
      <c r="AE3" s="47"/>
      <c r="AF3" s="47"/>
    </row>
    <row r="4" ht="15.0" customHeight="1">
      <c r="A4" s="206">
        <v>2.0</v>
      </c>
      <c r="B4" s="207"/>
      <c r="C4" s="208" t="s">
        <v>1788</v>
      </c>
      <c r="D4" s="208" t="s">
        <v>1791</v>
      </c>
      <c r="E4" s="208" t="s">
        <v>1792</v>
      </c>
      <c r="F4" s="209" t="s">
        <v>327</v>
      </c>
      <c r="G4" s="206">
        <v>1.0</v>
      </c>
      <c r="H4" s="206">
        <v>1.0</v>
      </c>
      <c r="I4" s="206">
        <f>COUNTIFS('2_Data_Pelanggan'!$H:$H,$F4,'2_Data_Pelanggan'!$I:$I,$G4,'2_Data_Pelanggan'!$J:$J,$H4,'2_Data_Pelanggan'!$S:$S,"&gt;="&amp;DATE(2026,6,1),'2_Data_Pelanggan'!$S:$S,"&lt;"&amp;DATE(2026,7,1))</f>
        <v>1</v>
      </c>
      <c r="J4" s="206">
        <f>COUNTIFS('2_Data_Pelanggan'!$H:$H,$F4,'2_Data_Pelanggan'!$I:$I,$G4,'2_Data_Pelanggan'!$J:$J,$H4,'2_Data_Pelanggan'!$S:$S,"&gt;="&amp;DATE(2026,7,1),'2_Data_Pelanggan'!$S:$S,"&lt;"&amp;DATE(2026,8,1))</f>
        <v>1</v>
      </c>
      <c r="K4" s="206">
        <f>COUNTIFS('2_Data_Pelanggan'!$H:$H,$F4,'2_Data_Pelanggan'!$I:$I,$G4,'2_Data_Pelanggan'!$J:$J,$H4,'2_Data_Pelanggan'!$S:$S,"&gt;="&amp;DATE(2026,8,1),'2_Data_Pelanggan'!$S:$S,"&lt;"&amp;DATE(2026,9,1))</f>
        <v>0</v>
      </c>
      <c r="L4" s="210">
        <f>COUNTIFS('2_Data_Pelanggan'!$H:$H,$F4,'2_Data_Pelanggan'!$I:$I,$G4,'2_Data_Pelanggan'!$J:$J,$H4,'2_Data_Pelanggan'!$S:$S,"&gt;="&amp;DATE(2026,9,1),'2_Data_Pelanggan'!$S:$S,"&lt;"&amp;DATE(2026,10,1))</f>
        <v>0</v>
      </c>
      <c r="M4" s="210">
        <f>COUNTIFS('2_Data_Pelanggan'!$H:$H,$F4,'2_Data_Pelanggan'!$I:$I,$G4,'2_Data_Pelanggan'!$J:$J,$H4,'2_Data_Pelanggan'!$S:$S,"&gt;="&amp;DATE(2026,10,1),'2_Data_Pelanggan'!$S:$S,"&lt;"&amp;DATE(2026,11,1))</f>
        <v>0</v>
      </c>
      <c r="N4" s="210">
        <f>COUNTIFS('2_Data_Pelanggan'!$H:$H,$F4,'2_Data_Pelanggan'!$I:$I,$G4,'2_Data_Pelanggan'!$J:$J,$H4,'2_Data_Pelanggan'!$S:$S,"&gt;="&amp;DATE(2026,11,1),'2_Data_Pelanggan'!$S:$S,"&lt;"&amp;DATE(2026,12,1))</f>
        <v>0</v>
      </c>
      <c r="O4" s="210">
        <f>COUNTIFS('2_Data_Pelanggan'!$H:$H,$F4,'2_Data_Pelanggan'!$I:$I,$G4,'2_Data_Pelanggan'!$J:$J,$H4,'2_Data_Pelanggan'!$S:$S,"&gt;="&amp;DATE(2026,12,1),'2_Data_Pelanggan'!$S:$S,"&lt;"&amp;DATE(2026,1,1))</f>
        <v>0</v>
      </c>
      <c r="P4" s="210">
        <f t="shared" si="1"/>
        <v>3000</v>
      </c>
      <c r="Q4" s="210">
        <f t="shared" ref="Q4:V4" si="2">3000*J4</f>
        <v>3000</v>
      </c>
      <c r="R4" s="210">
        <f t="shared" si="2"/>
        <v>0</v>
      </c>
      <c r="S4" s="210">
        <f t="shared" si="2"/>
        <v>0</v>
      </c>
      <c r="T4" s="210">
        <f t="shared" si="2"/>
        <v>0</v>
      </c>
      <c r="U4" s="210">
        <f t="shared" si="2"/>
        <v>0</v>
      </c>
      <c r="V4" s="210">
        <f t="shared" si="2"/>
        <v>0</v>
      </c>
      <c r="W4" s="210">
        <f t="shared" si="3"/>
        <v>6000</v>
      </c>
      <c r="X4" s="204">
        <f t="shared" si="4"/>
        <v>2000</v>
      </c>
      <c r="Y4" s="205">
        <f t="shared" si="5"/>
        <v>4000</v>
      </c>
      <c r="Z4" s="86" t="s">
        <v>1790</v>
      </c>
      <c r="AA4" s="110"/>
      <c r="AB4" s="47"/>
      <c r="AC4" s="47"/>
      <c r="AD4" s="47"/>
      <c r="AE4" s="47"/>
      <c r="AF4" s="47"/>
    </row>
    <row r="5" ht="15.0" customHeight="1">
      <c r="A5" s="206">
        <v>3.0</v>
      </c>
      <c r="B5" s="207"/>
      <c r="C5" s="208" t="s">
        <v>1788</v>
      </c>
      <c r="D5" s="208" t="s">
        <v>1791</v>
      </c>
      <c r="E5" s="208" t="s">
        <v>1792</v>
      </c>
      <c r="F5" s="209" t="s">
        <v>327</v>
      </c>
      <c r="G5" s="206">
        <v>1.0</v>
      </c>
      <c r="H5" s="206">
        <v>2.0</v>
      </c>
      <c r="I5" s="206">
        <f>COUNTIFS('2_Data_Pelanggan'!$H:$H,$F5,'2_Data_Pelanggan'!$I:$I,$G5,'2_Data_Pelanggan'!$J:$J,$H5,'2_Data_Pelanggan'!$S:$S,"&gt;="&amp;DATE(2026,6,1),'2_Data_Pelanggan'!$S:$S,"&lt;"&amp;DATE(2026,7,1))</f>
        <v>6</v>
      </c>
      <c r="J5" s="206">
        <f>COUNTIFS('2_Data_Pelanggan'!$H:$H,$F5,'2_Data_Pelanggan'!$I:$I,$G5,'2_Data_Pelanggan'!$J:$J,$H5,'2_Data_Pelanggan'!$S:$S,"&gt;="&amp;DATE(2026,7,1),'2_Data_Pelanggan'!$S:$S,"&lt;"&amp;DATE(2026,8,1))</f>
        <v>0</v>
      </c>
      <c r="K5" s="206">
        <f>COUNTIFS('2_Data_Pelanggan'!$H:$H,$F5,'2_Data_Pelanggan'!$I:$I,$G5,'2_Data_Pelanggan'!$J:$J,$H5,'2_Data_Pelanggan'!$S:$S,"&gt;="&amp;DATE(2026,8,1),'2_Data_Pelanggan'!$S:$S,"&lt;"&amp;DATE(2026,9,1))</f>
        <v>0</v>
      </c>
      <c r="L5" s="210">
        <f>COUNTIFS('2_Data_Pelanggan'!$H:$H,$F5,'2_Data_Pelanggan'!$I:$I,$G5,'2_Data_Pelanggan'!$J:$J,$H5,'2_Data_Pelanggan'!$S:$S,"&gt;="&amp;DATE(2026,9,1),'2_Data_Pelanggan'!$S:$S,"&lt;"&amp;DATE(2026,10,1))</f>
        <v>0</v>
      </c>
      <c r="M5" s="210">
        <f>COUNTIFS('2_Data_Pelanggan'!$H:$H,$F5,'2_Data_Pelanggan'!$I:$I,$G5,'2_Data_Pelanggan'!$J:$J,$H5,'2_Data_Pelanggan'!$S:$S,"&gt;="&amp;DATE(2026,10,1),'2_Data_Pelanggan'!$S:$S,"&lt;"&amp;DATE(2026,11,1))</f>
        <v>0</v>
      </c>
      <c r="N5" s="210">
        <f>COUNTIFS('2_Data_Pelanggan'!$H:$H,$F5,'2_Data_Pelanggan'!$I:$I,$G5,'2_Data_Pelanggan'!$J:$J,$H5,'2_Data_Pelanggan'!$S:$S,"&gt;="&amp;DATE(2026,11,1),'2_Data_Pelanggan'!$S:$S,"&lt;"&amp;DATE(2026,12,1))</f>
        <v>0</v>
      </c>
      <c r="O5" s="210">
        <f>COUNTIFS('2_Data_Pelanggan'!$H:$H,$F5,'2_Data_Pelanggan'!$I:$I,$G5,'2_Data_Pelanggan'!$J:$J,$H5,'2_Data_Pelanggan'!$S:$S,"&gt;="&amp;DATE(2026,12,1),'2_Data_Pelanggan'!$S:$S,"&lt;"&amp;DATE(2026,1,1))</f>
        <v>0</v>
      </c>
      <c r="P5" s="210">
        <f t="shared" si="1"/>
        <v>18000</v>
      </c>
      <c r="Q5" s="210">
        <f t="shared" ref="Q5:V5" si="6">3000*J5</f>
        <v>0</v>
      </c>
      <c r="R5" s="210">
        <f t="shared" si="6"/>
        <v>0</v>
      </c>
      <c r="S5" s="210">
        <f t="shared" si="6"/>
        <v>0</v>
      </c>
      <c r="T5" s="210">
        <f t="shared" si="6"/>
        <v>0</v>
      </c>
      <c r="U5" s="210">
        <f t="shared" si="6"/>
        <v>0</v>
      </c>
      <c r="V5" s="210">
        <f t="shared" si="6"/>
        <v>0</v>
      </c>
      <c r="W5" s="210">
        <f t="shared" si="3"/>
        <v>18000</v>
      </c>
      <c r="X5" s="204">
        <f t="shared" si="4"/>
        <v>6000</v>
      </c>
      <c r="Y5" s="205">
        <f t="shared" si="5"/>
        <v>12000</v>
      </c>
      <c r="Z5" s="86" t="s">
        <v>1790</v>
      </c>
      <c r="AA5" s="110"/>
      <c r="AB5" s="47"/>
      <c r="AC5" s="47"/>
      <c r="AD5" s="47"/>
      <c r="AE5" s="47"/>
      <c r="AF5" s="47"/>
    </row>
    <row r="6" ht="15.0" customHeight="1">
      <c r="A6" s="206">
        <v>4.0</v>
      </c>
      <c r="B6" s="207"/>
      <c r="C6" s="208" t="s">
        <v>1788</v>
      </c>
      <c r="D6" s="208" t="s">
        <v>1791</v>
      </c>
      <c r="E6" s="208" t="s">
        <v>1792</v>
      </c>
      <c r="F6" s="209" t="s">
        <v>327</v>
      </c>
      <c r="G6" s="206">
        <v>1.0</v>
      </c>
      <c r="H6" s="206">
        <v>3.0</v>
      </c>
      <c r="I6" s="206">
        <f>COUNTIFS('2_Data_Pelanggan'!$H:$H,$F6,'2_Data_Pelanggan'!$I:$I,$G6,'2_Data_Pelanggan'!$J:$J,$H6,'2_Data_Pelanggan'!$S:$S,"&gt;="&amp;DATE(2026,6,1),'2_Data_Pelanggan'!$S:$S,"&lt;"&amp;DATE(2026,7,1))</f>
        <v>1</v>
      </c>
      <c r="J6" s="206">
        <f>COUNTIFS('2_Data_Pelanggan'!$H:$H,$F6,'2_Data_Pelanggan'!$I:$I,$G6,'2_Data_Pelanggan'!$J:$J,$H6,'2_Data_Pelanggan'!$S:$S,"&gt;="&amp;DATE(2026,7,1),'2_Data_Pelanggan'!$S:$S,"&lt;"&amp;DATE(2026,8,1))</f>
        <v>1</v>
      </c>
      <c r="K6" s="206">
        <f>COUNTIFS('2_Data_Pelanggan'!$H:$H,$F6,'2_Data_Pelanggan'!$I:$I,$G6,'2_Data_Pelanggan'!$J:$J,$H6,'2_Data_Pelanggan'!$S:$S,"&gt;="&amp;DATE(2026,8,1),'2_Data_Pelanggan'!$S:$S,"&lt;"&amp;DATE(2026,9,1))</f>
        <v>0</v>
      </c>
      <c r="L6" s="210">
        <f>COUNTIFS('2_Data_Pelanggan'!$H:$H,$F6,'2_Data_Pelanggan'!$I:$I,$G6,'2_Data_Pelanggan'!$J:$J,$H6,'2_Data_Pelanggan'!$S:$S,"&gt;="&amp;DATE(2026,9,1),'2_Data_Pelanggan'!$S:$S,"&lt;"&amp;DATE(2026,10,1))</f>
        <v>0</v>
      </c>
      <c r="M6" s="210">
        <f>COUNTIFS('2_Data_Pelanggan'!$H:$H,$F6,'2_Data_Pelanggan'!$I:$I,$G6,'2_Data_Pelanggan'!$J:$J,$H6,'2_Data_Pelanggan'!$S:$S,"&gt;="&amp;DATE(2026,10,1),'2_Data_Pelanggan'!$S:$S,"&lt;"&amp;DATE(2026,11,1))</f>
        <v>0</v>
      </c>
      <c r="N6" s="210">
        <f>COUNTIFS('2_Data_Pelanggan'!$H:$H,$F6,'2_Data_Pelanggan'!$I:$I,$G6,'2_Data_Pelanggan'!$J:$J,$H6,'2_Data_Pelanggan'!$S:$S,"&gt;="&amp;DATE(2026,11,1),'2_Data_Pelanggan'!$S:$S,"&lt;"&amp;DATE(2026,12,1))</f>
        <v>0</v>
      </c>
      <c r="O6" s="210">
        <f>COUNTIFS('2_Data_Pelanggan'!$H:$H,$F6,'2_Data_Pelanggan'!$I:$I,$G6,'2_Data_Pelanggan'!$J:$J,$H6,'2_Data_Pelanggan'!$S:$S,"&gt;="&amp;DATE(2026,12,1),'2_Data_Pelanggan'!$S:$S,"&lt;"&amp;DATE(2026,1,1))</f>
        <v>0</v>
      </c>
      <c r="P6" s="210">
        <f t="shared" si="1"/>
        <v>3000</v>
      </c>
      <c r="Q6" s="210">
        <f t="shared" ref="Q6:V6" si="7">3000*J6</f>
        <v>3000</v>
      </c>
      <c r="R6" s="210">
        <f t="shared" si="7"/>
        <v>0</v>
      </c>
      <c r="S6" s="210">
        <f t="shared" si="7"/>
        <v>0</v>
      </c>
      <c r="T6" s="210">
        <f t="shared" si="7"/>
        <v>0</v>
      </c>
      <c r="U6" s="210">
        <f t="shared" si="7"/>
        <v>0</v>
      </c>
      <c r="V6" s="210">
        <f t="shared" si="7"/>
        <v>0</v>
      </c>
      <c r="W6" s="210">
        <f t="shared" si="3"/>
        <v>6000</v>
      </c>
      <c r="X6" s="204">
        <f t="shared" si="4"/>
        <v>2000</v>
      </c>
      <c r="Y6" s="205">
        <f t="shared" si="5"/>
        <v>4000</v>
      </c>
      <c r="Z6" s="86" t="s">
        <v>1790</v>
      </c>
      <c r="AA6" s="110"/>
      <c r="AB6" s="47"/>
      <c r="AC6" s="47"/>
      <c r="AD6" s="47"/>
      <c r="AE6" s="47"/>
      <c r="AF6" s="47"/>
    </row>
    <row r="7" ht="15.0" customHeight="1">
      <c r="A7" s="206">
        <v>5.0</v>
      </c>
      <c r="B7" s="207"/>
      <c r="C7" s="208" t="s">
        <v>1788</v>
      </c>
      <c r="D7" s="208" t="s">
        <v>1791</v>
      </c>
      <c r="E7" s="208" t="s">
        <v>1792</v>
      </c>
      <c r="F7" s="209" t="s">
        <v>327</v>
      </c>
      <c r="G7" s="206">
        <v>1.0</v>
      </c>
      <c r="H7" s="206">
        <v>4.0</v>
      </c>
      <c r="I7" s="206">
        <f>COUNTIFS('2_Data_Pelanggan'!$H:$H,$F7,'2_Data_Pelanggan'!$I:$I,$G7,'2_Data_Pelanggan'!$J:$J,$H7,'2_Data_Pelanggan'!$S:$S,"&gt;="&amp;DATE(2026,6,1),'2_Data_Pelanggan'!$S:$S,"&lt;"&amp;DATE(2026,7,1))</f>
        <v>2</v>
      </c>
      <c r="J7" s="206">
        <f>COUNTIFS('2_Data_Pelanggan'!$H:$H,$F7,'2_Data_Pelanggan'!$I:$I,$G7,'2_Data_Pelanggan'!$J:$J,$H7,'2_Data_Pelanggan'!$S:$S,"&gt;="&amp;DATE(2026,7,1),'2_Data_Pelanggan'!$S:$S,"&lt;"&amp;DATE(2026,8,1))</f>
        <v>0</v>
      </c>
      <c r="K7" s="206">
        <f>COUNTIFS('2_Data_Pelanggan'!$H:$H,$F7,'2_Data_Pelanggan'!$I:$I,$G7,'2_Data_Pelanggan'!$J:$J,$H7,'2_Data_Pelanggan'!$S:$S,"&gt;="&amp;DATE(2026,8,1),'2_Data_Pelanggan'!$S:$S,"&lt;"&amp;DATE(2026,9,1))</f>
        <v>0</v>
      </c>
      <c r="L7" s="210">
        <f>COUNTIFS('2_Data_Pelanggan'!$H:$H,$F7,'2_Data_Pelanggan'!$I:$I,$G7,'2_Data_Pelanggan'!$J:$J,$H7,'2_Data_Pelanggan'!$S:$S,"&gt;="&amp;DATE(2026,9,1),'2_Data_Pelanggan'!$S:$S,"&lt;"&amp;DATE(2026,10,1))</f>
        <v>0</v>
      </c>
      <c r="M7" s="210">
        <f>COUNTIFS('2_Data_Pelanggan'!$H:$H,$F7,'2_Data_Pelanggan'!$I:$I,$G7,'2_Data_Pelanggan'!$J:$J,$H7,'2_Data_Pelanggan'!$S:$S,"&gt;="&amp;DATE(2026,10,1),'2_Data_Pelanggan'!$S:$S,"&lt;"&amp;DATE(2026,11,1))</f>
        <v>0</v>
      </c>
      <c r="N7" s="210">
        <f>COUNTIFS('2_Data_Pelanggan'!$H:$H,$F7,'2_Data_Pelanggan'!$I:$I,$G7,'2_Data_Pelanggan'!$J:$J,$H7,'2_Data_Pelanggan'!$S:$S,"&gt;="&amp;DATE(2026,11,1),'2_Data_Pelanggan'!$S:$S,"&lt;"&amp;DATE(2026,12,1))</f>
        <v>0</v>
      </c>
      <c r="O7" s="210">
        <f>COUNTIFS('2_Data_Pelanggan'!$H:$H,$F7,'2_Data_Pelanggan'!$I:$I,$G7,'2_Data_Pelanggan'!$J:$J,$H7,'2_Data_Pelanggan'!$S:$S,"&gt;="&amp;DATE(2026,12,1),'2_Data_Pelanggan'!$S:$S,"&lt;"&amp;DATE(2026,1,1))</f>
        <v>0</v>
      </c>
      <c r="P7" s="210">
        <f t="shared" si="1"/>
        <v>6000</v>
      </c>
      <c r="Q7" s="210">
        <f t="shared" ref="Q7:V7" si="8">3000*J7</f>
        <v>0</v>
      </c>
      <c r="R7" s="210">
        <f t="shared" si="8"/>
        <v>0</v>
      </c>
      <c r="S7" s="210">
        <f t="shared" si="8"/>
        <v>0</v>
      </c>
      <c r="T7" s="210">
        <f t="shared" si="8"/>
        <v>0</v>
      </c>
      <c r="U7" s="210">
        <f t="shared" si="8"/>
        <v>0</v>
      </c>
      <c r="V7" s="210">
        <f t="shared" si="8"/>
        <v>0</v>
      </c>
      <c r="W7" s="210">
        <f t="shared" si="3"/>
        <v>6000</v>
      </c>
      <c r="X7" s="204">
        <f t="shared" si="4"/>
        <v>2000</v>
      </c>
      <c r="Y7" s="205">
        <f t="shared" si="5"/>
        <v>4000</v>
      </c>
      <c r="Z7" s="86" t="s">
        <v>1790</v>
      </c>
      <c r="AA7" s="110"/>
      <c r="AB7" s="47"/>
      <c r="AC7" s="47"/>
      <c r="AD7" s="47"/>
      <c r="AE7" s="47"/>
      <c r="AF7" s="47"/>
    </row>
    <row r="8" ht="15.0" customHeight="1">
      <c r="A8" s="206">
        <v>6.0</v>
      </c>
      <c r="B8" s="207"/>
      <c r="C8" s="208" t="s">
        <v>1788</v>
      </c>
      <c r="D8" s="208" t="s">
        <v>1791</v>
      </c>
      <c r="E8" s="208" t="s">
        <v>1792</v>
      </c>
      <c r="F8" s="209" t="s">
        <v>327</v>
      </c>
      <c r="G8" s="206">
        <v>1.0</v>
      </c>
      <c r="H8" s="206">
        <v>5.0</v>
      </c>
      <c r="I8" s="206">
        <f>COUNTIFS('2_Data_Pelanggan'!$H:$H,$F8,'2_Data_Pelanggan'!$I:$I,$G8,'2_Data_Pelanggan'!$J:$J,$H8,'2_Data_Pelanggan'!$S:$S,"&gt;="&amp;DATE(2026,6,1),'2_Data_Pelanggan'!$S:$S,"&lt;"&amp;DATE(2026,7,1))</f>
        <v>1</v>
      </c>
      <c r="J8" s="206">
        <f>COUNTIFS('2_Data_Pelanggan'!$H:$H,$F8,'2_Data_Pelanggan'!$I:$I,$G8,'2_Data_Pelanggan'!$J:$J,$H8,'2_Data_Pelanggan'!$S:$S,"&gt;="&amp;DATE(2026,7,1),'2_Data_Pelanggan'!$S:$S,"&lt;"&amp;DATE(2026,8,1))</f>
        <v>0</v>
      </c>
      <c r="K8" s="206">
        <f>COUNTIFS('2_Data_Pelanggan'!$H:$H,$F8,'2_Data_Pelanggan'!$I:$I,$G8,'2_Data_Pelanggan'!$J:$J,$H8,'2_Data_Pelanggan'!$S:$S,"&gt;="&amp;DATE(2026,8,1),'2_Data_Pelanggan'!$S:$S,"&lt;"&amp;DATE(2026,9,1))</f>
        <v>0</v>
      </c>
      <c r="L8" s="210">
        <f>COUNTIFS('2_Data_Pelanggan'!$H:$H,$F8,'2_Data_Pelanggan'!$I:$I,$G8,'2_Data_Pelanggan'!$J:$J,$H8,'2_Data_Pelanggan'!$S:$S,"&gt;="&amp;DATE(2026,9,1),'2_Data_Pelanggan'!$S:$S,"&lt;"&amp;DATE(2026,10,1))</f>
        <v>0</v>
      </c>
      <c r="M8" s="210">
        <f>COUNTIFS('2_Data_Pelanggan'!$H:$H,$F8,'2_Data_Pelanggan'!$I:$I,$G8,'2_Data_Pelanggan'!$J:$J,$H8,'2_Data_Pelanggan'!$S:$S,"&gt;="&amp;DATE(2026,10,1),'2_Data_Pelanggan'!$S:$S,"&lt;"&amp;DATE(2026,11,1))</f>
        <v>0</v>
      </c>
      <c r="N8" s="210">
        <f>COUNTIFS('2_Data_Pelanggan'!$H:$H,$F8,'2_Data_Pelanggan'!$I:$I,$G8,'2_Data_Pelanggan'!$J:$J,$H8,'2_Data_Pelanggan'!$S:$S,"&gt;="&amp;DATE(2026,11,1),'2_Data_Pelanggan'!$S:$S,"&lt;"&amp;DATE(2026,12,1))</f>
        <v>0</v>
      </c>
      <c r="O8" s="210">
        <f>COUNTIFS('2_Data_Pelanggan'!$H:$H,$F8,'2_Data_Pelanggan'!$I:$I,$G8,'2_Data_Pelanggan'!$J:$J,$H8,'2_Data_Pelanggan'!$S:$S,"&gt;="&amp;DATE(2026,12,1),'2_Data_Pelanggan'!$S:$S,"&lt;"&amp;DATE(2026,1,1))</f>
        <v>0</v>
      </c>
      <c r="P8" s="210">
        <f t="shared" si="1"/>
        <v>3000</v>
      </c>
      <c r="Q8" s="210">
        <f t="shared" ref="Q8:V8" si="9">3000*J8</f>
        <v>0</v>
      </c>
      <c r="R8" s="210">
        <f t="shared" si="9"/>
        <v>0</v>
      </c>
      <c r="S8" s="210">
        <f t="shared" si="9"/>
        <v>0</v>
      </c>
      <c r="T8" s="210">
        <f t="shared" si="9"/>
        <v>0</v>
      </c>
      <c r="U8" s="210">
        <f t="shared" si="9"/>
        <v>0</v>
      </c>
      <c r="V8" s="210">
        <f t="shared" si="9"/>
        <v>0</v>
      </c>
      <c r="W8" s="210">
        <f t="shared" si="3"/>
        <v>3000</v>
      </c>
      <c r="X8" s="204">
        <f t="shared" si="4"/>
        <v>1000</v>
      </c>
      <c r="Y8" s="205">
        <f t="shared" si="5"/>
        <v>2000</v>
      </c>
      <c r="Z8" s="86" t="s">
        <v>1790</v>
      </c>
      <c r="AA8" s="110"/>
      <c r="AB8" s="47"/>
      <c r="AC8" s="47"/>
      <c r="AD8" s="47"/>
      <c r="AE8" s="47"/>
      <c r="AF8" s="47"/>
    </row>
    <row r="9" ht="15.0" customHeight="1">
      <c r="A9" s="206">
        <v>7.0</v>
      </c>
      <c r="B9" s="207"/>
      <c r="C9" s="208" t="s">
        <v>1788</v>
      </c>
      <c r="D9" s="208" t="s">
        <v>1791</v>
      </c>
      <c r="E9" s="208" t="s">
        <v>1792</v>
      </c>
      <c r="F9" s="209" t="s">
        <v>327</v>
      </c>
      <c r="G9" s="206">
        <v>1.0</v>
      </c>
      <c r="H9" s="206">
        <v>6.0</v>
      </c>
      <c r="I9" s="206">
        <f>COUNTIFS('2_Data_Pelanggan'!$H:$H,$F9,'2_Data_Pelanggan'!$I:$I,$G9,'2_Data_Pelanggan'!$J:$J,$H9,'2_Data_Pelanggan'!$S:$S,"&gt;="&amp;DATE(2026,6,1),'2_Data_Pelanggan'!$S:$S,"&lt;"&amp;DATE(2026,7,1))</f>
        <v>0</v>
      </c>
      <c r="J9" s="206">
        <f>COUNTIFS('2_Data_Pelanggan'!$H:$H,$F9,'2_Data_Pelanggan'!$I:$I,$G9,'2_Data_Pelanggan'!$J:$J,$H9,'2_Data_Pelanggan'!$S:$S,"&gt;="&amp;DATE(2026,7,1),'2_Data_Pelanggan'!$S:$S,"&lt;"&amp;DATE(2026,8,1))</f>
        <v>0</v>
      </c>
      <c r="K9" s="206">
        <f>COUNTIFS('2_Data_Pelanggan'!$H:$H,$F9,'2_Data_Pelanggan'!$I:$I,$G9,'2_Data_Pelanggan'!$J:$J,$H9,'2_Data_Pelanggan'!$S:$S,"&gt;="&amp;DATE(2026,8,1),'2_Data_Pelanggan'!$S:$S,"&lt;"&amp;DATE(2026,9,1))</f>
        <v>0</v>
      </c>
      <c r="L9" s="210">
        <f>COUNTIFS('2_Data_Pelanggan'!$H:$H,$F9,'2_Data_Pelanggan'!$I:$I,$G9,'2_Data_Pelanggan'!$J:$J,$H9,'2_Data_Pelanggan'!$S:$S,"&gt;="&amp;DATE(2026,9,1),'2_Data_Pelanggan'!$S:$S,"&lt;"&amp;DATE(2026,10,1))</f>
        <v>1</v>
      </c>
      <c r="M9" s="210">
        <f>COUNTIFS('2_Data_Pelanggan'!$H:$H,$F9,'2_Data_Pelanggan'!$I:$I,$G9,'2_Data_Pelanggan'!$J:$J,$H9,'2_Data_Pelanggan'!$S:$S,"&gt;="&amp;DATE(2026,10,1),'2_Data_Pelanggan'!$S:$S,"&lt;"&amp;DATE(2026,11,1))</f>
        <v>0</v>
      </c>
      <c r="N9" s="210">
        <f>COUNTIFS('2_Data_Pelanggan'!$H:$H,$F9,'2_Data_Pelanggan'!$I:$I,$G9,'2_Data_Pelanggan'!$J:$J,$H9,'2_Data_Pelanggan'!$S:$S,"&gt;="&amp;DATE(2026,11,1),'2_Data_Pelanggan'!$S:$S,"&lt;"&amp;DATE(2026,12,1))</f>
        <v>0</v>
      </c>
      <c r="O9" s="210">
        <f>COUNTIFS('2_Data_Pelanggan'!$H:$H,$F9,'2_Data_Pelanggan'!$I:$I,$G9,'2_Data_Pelanggan'!$J:$J,$H9,'2_Data_Pelanggan'!$S:$S,"&gt;="&amp;DATE(2026,12,1),'2_Data_Pelanggan'!$S:$S,"&lt;"&amp;DATE(2026,1,1))</f>
        <v>0</v>
      </c>
      <c r="P9" s="210">
        <f t="shared" si="1"/>
        <v>0</v>
      </c>
      <c r="Q9" s="210">
        <f t="shared" ref="Q9:V9" si="10">3000*J9</f>
        <v>0</v>
      </c>
      <c r="R9" s="210">
        <f t="shared" si="10"/>
        <v>0</v>
      </c>
      <c r="S9" s="210">
        <f t="shared" si="10"/>
        <v>3000</v>
      </c>
      <c r="T9" s="210">
        <f t="shared" si="10"/>
        <v>0</v>
      </c>
      <c r="U9" s="210">
        <f t="shared" si="10"/>
        <v>0</v>
      </c>
      <c r="V9" s="210">
        <f t="shared" si="10"/>
        <v>0</v>
      </c>
      <c r="W9" s="210">
        <f t="shared" si="3"/>
        <v>3000</v>
      </c>
      <c r="X9" s="204">
        <f t="shared" si="4"/>
        <v>1000</v>
      </c>
      <c r="Y9" s="205">
        <f t="shared" si="5"/>
        <v>2000</v>
      </c>
      <c r="Z9" s="86" t="s">
        <v>1790</v>
      </c>
      <c r="AA9" s="110"/>
      <c r="AB9" s="47"/>
      <c r="AC9" s="47"/>
      <c r="AD9" s="47"/>
      <c r="AE9" s="47"/>
      <c r="AF9" s="47"/>
    </row>
    <row r="10" ht="15.0" customHeight="1">
      <c r="A10" s="206">
        <v>8.0</v>
      </c>
      <c r="B10" s="207"/>
      <c r="C10" s="208" t="s">
        <v>1788</v>
      </c>
      <c r="D10" s="208" t="s">
        <v>1791</v>
      </c>
      <c r="E10" s="208" t="s">
        <v>1792</v>
      </c>
      <c r="F10" s="209" t="s">
        <v>327</v>
      </c>
      <c r="G10" s="206">
        <v>1.0</v>
      </c>
      <c r="H10" s="206">
        <v>7.0</v>
      </c>
      <c r="I10" s="206">
        <f>COUNTIFS('2_Data_Pelanggan'!$H:$H,$F10,'2_Data_Pelanggan'!$I:$I,$G10,'2_Data_Pelanggan'!$J:$J,$H10,'2_Data_Pelanggan'!$S:$S,"&gt;="&amp;DATE(2026,6,1),'2_Data_Pelanggan'!$S:$S,"&lt;"&amp;DATE(2026,7,1))</f>
        <v>0</v>
      </c>
      <c r="J10" s="206">
        <f>COUNTIFS('2_Data_Pelanggan'!$H:$H,$F10,'2_Data_Pelanggan'!$I:$I,$G10,'2_Data_Pelanggan'!$J:$J,$H10,'2_Data_Pelanggan'!$S:$S,"&gt;="&amp;DATE(2026,7,1),'2_Data_Pelanggan'!$S:$S,"&lt;"&amp;DATE(2026,8,1))</f>
        <v>4</v>
      </c>
      <c r="K10" s="206">
        <f>COUNTIFS('2_Data_Pelanggan'!$H:$H,$F10,'2_Data_Pelanggan'!$I:$I,$G10,'2_Data_Pelanggan'!$J:$J,$H10,'2_Data_Pelanggan'!$S:$S,"&gt;="&amp;DATE(2026,8,1),'2_Data_Pelanggan'!$S:$S,"&lt;"&amp;DATE(2026,9,1))</f>
        <v>0</v>
      </c>
      <c r="L10" s="210">
        <f>COUNTIFS('2_Data_Pelanggan'!$H:$H,$F10,'2_Data_Pelanggan'!$I:$I,$G10,'2_Data_Pelanggan'!$J:$J,$H10,'2_Data_Pelanggan'!$S:$S,"&gt;="&amp;DATE(2026,9,1),'2_Data_Pelanggan'!$S:$S,"&lt;"&amp;DATE(2026,10,1))</f>
        <v>0</v>
      </c>
      <c r="M10" s="210">
        <f>COUNTIFS('2_Data_Pelanggan'!$H:$H,$F10,'2_Data_Pelanggan'!$I:$I,$G10,'2_Data_Pelanggan'!$J:$J,$H10,'2_Data_Pelanggan'!$S:$S,"&gt;="&amp;DATE(2026,10,1),'2_Data_Pelanggan'!$S:$S,"&lt;"&amp;DATE(2026,11,1))</f>
        <v>0</v>
      </c>
      <c r="N10" s="210">
        <f>COUNTIFS('2_Data_Pelanggan'!$H:$H,$F10,'2_Data_Pelanggan'!$I:$I,$G10,'2_Data_Pelanggan'!$J:$J,$H10,'2_Data_Pelanggan'!$S:$S,"&gt;="&amp;DATE(2026,11,1),'2_Data_Pelanggan'!$S:$S,"&lt;"&amp;DATE(2026,12,1))</f>
        <v>0</v>
      </c>
      <c r="O10" s="210">
        <f>COUNTIFS('2_Data_Pelanggan'!$H:$H,$F10,'2_Data_Pelanggan'!$I:$I,$G10,'2_Data_Pelanggan'!$J:$J,$H10,'2_Data_Pelanggan'!$S:$S,"&gt;="&amp;DATE(2026,12,1),'2_Data_Pelanggan'!$S:$S,"&lt;"&amp;DATE(2026,1,1))</f>
        <v>0</v>
      </c>
      <c r="P10" s="210">
        <f t="shared" si="1"/>
        <v>0</v>
      </c>
      <c r="Q10" s="210">
        <f t="shared" ref="Q10:V10" si="11">3000*J10</f>
        <v>12000</v>
      </c>
      <c r="R10" s="210">
        <f t="shared" si="11"/>
        <v>0</v>
      </c>
      <c r="S10" s="210">
        <f t="shared" si="11"/>
        <v>0</v>
      </c>
      <c r="T10" s="210">
        <f t="shared" si="11"/>
        <v>0</v>
      </c>
      <c r="U10" s="210">
        <f t="shared" si="11"/>
        <v>0</v>
      </c>
      <c r="V10" s="210">
        <f t="shared" si="11"/>
        <v>0</v>
      </c>
      <c r="W10" s="210">
        <f t="shared" si="3"/>
        <v>12000</v>
      </c>
      <c r="X10" s="204">
        <f t="shared" si="4"/>
        <v>4000</v>
      </c>
      <c r="Y10" s="205">
        <f t="shared" si="5"/>
        <v>8000</v>
      </c>
      <c r="Z10" s="86" t="s">
        <v>1790</v>
      </c>
      <c r="AA10" s="110"/>
      <c r="AB10" s="47"/>
      <c r="AC10" s="47"/>
      <c r="AD10" s="47"/>
      <c r="AE10" s="47"/>
      <c r="AF10" s="47"/>
    </row>
    <row r="11" ht="15.0" customHeight="1">
      <c r="A11" s="206">
        <v>9.0</v>
      </c>
      <c r="B11" s="207"/>
      <c r="C11" s="208" t="s">
        <v>1788</v>
      </c>
      <c r="D11" s="208" t="s">
        <v>1791</v>
      </c>
      <c r="E11" s="208" t="s">
        <v>1792</v>
      </c>
      <c r="F11" s="209" t="s">
        <v>327</v>
      </c>
      <c r="G11" s="206">
        <v>1.0</v>
      </c>
      <c r="H11" s="206">
        <v>8.0</v>
      </c>
      <c r="I11" s="206">
        <f>COUNTIFS('2_Data_Pelanggan'!$H:$H,$F11,'2_Data_Pelanggan'!$I:$I,$G11,'2_Data_Pelanggan'!$J:$J,$H11,'2_Data_Pelanggan'!$S:$S,"&gt;="&amp;DATE(2026,6,1),'2_Data_Pelanggan'!$S:$S,"&lt;"&amp;DATE(2026,7,1))</f>
        <v>1</v>
      </c>
      <c r="J11" s="206">
        <f>COUNTIFS('2_Data_Pelanggan'!$H:$H,$F11,'2_Data_Pelanggan'!$I:$I,$G11,'2_Data_Pelanggan'!$J:$J,$H11,'2_Data_Pelanggan'!$S:$S,"&gt;="&amp;DATE(2026,7,1),'2_Data_Pelanggan'!$S:$S,"&lt;"&amp;DATE(2026,8,1))</f>
        <v>3</v>
      </c>
      <c r="K11" s="206">
        <f>COUNTIFS('2_Data_Pelanggan'!$H:$H,$F11,'2_Data_Pelanggan'!$I:$I,$G11,'2_Data_Pelanggan'!$J:$J,$H11,'2_Data_Pelanggan'!$S:$S,"&gt;="&amp;DATE(2026,8,1),'2_Data_Pelanggan'!$S:$S,"&lt;"&amp;DATE(2026,9,1))</f>
        <v>0</v>
      </c>
      <c r="L11" s="210">
        <f>COUNTIFS('2_Data_Pelanggan'!$H:$H,$F11,'2_Data_Pelanggan'!$I:$I,$G11,'2_Data_Pelanggan'!$J:$J,$H11,'2_Data_Pelanggan'!$S:$S,"&gt;="&amp;DATE(2026,9,1),'2_Data_Pelanggan'!$S:$S,"&lt;"&amp;DATE(2026,10,1))</f>
        <v>0</v>
      </c>
      <c r="M11" s="210">
        <f>COUNTIFS('2_Data_Pelanggan'!$H:$H,$F11,'2_Data_Pelanggan'!$I:$I,$G11,'2_Data_Pelanggan'!$J:$J,$H11,'2_Data_Pelanggan'!$S:$S,"&gt;="&amp;DATE(2026,10,1),'2_Data_Pelanggan'!$S:$S,"&lt;"&amp;DATE(2026,11,1))</f>
        <v>0</v>
      </c>
      <c r="N11" s="210">
        <f>COUNTIFS('2_Data_Pelanggan'!$H:$H,$F11,'2_Data_Pelanggan'!$I:$I,$G11,'2_Data_Pelanggan'!$J:$J,$H11,'2_Data_Pelanggan'!$S:$S,"&gt;="&amp;DATE(2026,11,1),'2_Data_Pelanggan'!$S:$S,"&lt;"&amp;DATE(2026,12,1))</f>
        <v>0</v>
      </c>
      <c r="O11" s="210">
        <f>COUNTIFS('2_Data_Pelanggan'!$H:$H,$F11,'2_Data_Pelanggan'!$I:$I,$G11,'2_Data_Pelanggan'!$J:$J,$H11,'2_Data_Pelanggan'!$S:$S,"&gt;="&amp;DATE(2026,12,1),'2_Data_Pelanggan'!$S:$S,"&lt;"&amp;DATE(2026,1,1))</f>
        <v>0</v>
      </c>
      <c r="P11" s="210">
        <f t="shared" si="1"/>
        <v>3000</v>
      </c>
      <c r="Q11" s="210">
        <f t="shared" ref="Q11:V11" si="12">3000*J11</f>
        <v>9000</v>
      </c>
      <c r="R11" s="210">
        <f t="shared" si="12"/>
        <v>0</v>
      </c>
      <c r="S11" s="210">
        <f t="shared" si="12"/>
        <v>0</v>
      </c>
      <c r="T11" s="210">
        <f t="shared" si="12"/>
        <v>0</v>
      </c>
      <c r="U11" s="210">
        <f t="shared" si="12"/>
        <v>0</v>
      </c>
      <c r="V11" s="210">
        <f t="shared" si="12"/>
        <v>0</v>
      </c>
      <c r="W11" s="210">
        <f t="shared" si="3"/>
        <v>12000</v>
      </c>
      <c r="X11" s="204">
        <f t="shared" si="4"/>
        <v>4000</v>
      </c>
      <c r="Y11" s="205">
        <f t="shared" si="5"/>
        <v>8000</v>
      </c>
      <c r="Z11" s="86" t="s">
        <v>1790</v>
      </c>
      <c r="AA11" s="110"/>
      <c r="AB11" s="47"/>
      <c r="AC11" s="47"/>
      <c r="AD11" s="47"/>
      <c r="AE11" s="47"/>
      <c r="AF11" s="47"/>
    </row>
    <row r="12" ht="15.0" customHeight="1">
      <c r="A12" s="206">
        <v>10.0</v>
      </c>
      <c r="B12" s="207"/>
      <c r="C12" s="208" t="s">
        <v>1788</v>
      </c>
      <c r="D12" s="208" t="s">
        <v>1791</v>
      </c>
      <c r="E12" s="208" t="s">
        <v>1792</v>
      </c>
      <c r="F12" s="209" t="s">
        <v>327</v>
      </c>
      <c r="G12" s="206">
        <v>2.0</v>
      </c>
      <c r="H12" s="206">
        <v>1.0</v>
      </c>
      <c r="I12" s="206">
        <f>COUNTIFS('2_Data_Pelanggan'!$H:$H,$F12,'2_Data_Pelanggan'!$I:$I,$G12,'2_Data_Pelanggan'!$J:$J,$H12,'2_Data_Pelanggan'!$S:$S,"&gt;="&amp;DATE(2026,6,1),'2_Data_Pelanggan'!$S:$S,"&lt;"&amp;DATE(2026,7,1))</f>
        <v>1</v>
      </c>
      <c r="J12" s="206">
        <f>COUNTIFS('2_Data_Pelanggan'!$H:$H,$F12,'2_Data_Pelanggan'!$I:$I,$G12,'2_Data_Pelanggan'!$J:$J,$H12,'2_Data_Pelanggan'!$S:$S,"&gt;="&amp;DATE(2026,7,1),'2_Data_Pelanggan'!$S:$S,"&lt;"&amp;DATE(2026,8,1))</f>
        <v>0</v>
      </c>
      <c r="K12" s="206">
        <f>COUNTIFS('2_Data_Pelanggan'!$H:$H,$F12,'2_Data_Pelanggan'!$I:$I,$G12,'2_Data_Pelanggan'!$J:$J,$H12,'2_Data_Pelanggan'!$S:$S,"&gt;="&amp;DATE(2026,8,1),'2_Data_Pelanggan'!$S:$S,"&lt;"&amp;DATE(2026,9,1))</f>
        <v>0</v>
      </c>
      <c r="L12" s="210">
        <f>COUNTIFS('2_Data_Pelanggan'!$H:$H,$F12,'2_Data_Pelanggan'!$I:$I,$G12,'2_Data_Pelanggan'!$J:$J,$H12,'2_Data_Pelanggan'!$S:$S,"&gt;="&amp;DATE(2026,9,1),'2_Data_Pelanggan'!$S:$S,"&lt;"&amp;DATE(2026,10,1))</f>
        <v>0</v>
      </c>
      <c r="M12" s="210">
        <f>COUNTIFS('2_Data_Pelanggan'!$H:$H,$F12,'2_Data_Pelanggan'!$I:$I,$G12,'2_Data_Pelanggan'!$J:$J,$H12,'2_Data_Pelanggan'!$S:$S,"&gt;="&amp;DATE(2026,10,1),'2_Data_Pelanggan'!$S:$S,"&lt;"&amp;DATE(2026,11,1))</f>
        <v>0</v>
      </c>
      <c r="N12" s="210">
        <f>COUNTIFS('2_Data_Pelanggan'!$H:$H,$F12,'2_Data_Pelanggan'!$I:$I,$G12,'2_Data_Pelanggan'!$J:$J,$H12,'2_Data_Pelanggan'!$S:$S,"&gt;="&amp;DATE(2026,11,1),'2_Data_Pelanggan'!$S:$S,"&lt;"&amp;DATE(2026,12,1))</f>
        <v>0</v>
      </c>
      <c r="O12" s="210">
        <f>COUNTIFS('2_Data_Pelanggan'!$H:$H,$F12,'2_Data_Pelanggan'!$I:$I,$G12,'2_Data_Pelanggan'!$J:$J,$H12,'2_Data_Pelanggan'!$S:$S,"&gt;="&amp;DATE(2026,12,1),'2_Data_Pelanggan'!$S:$S,"&lt;"&amp;DATE(2026,1,1))</f>
        <v>0</v>
      </c>
      <c r="P12" s="210">
        <f t="shared" si="1"/>
        <v>3000</v>
      </c>
      <c r="Q12" s="210">
        <f t="shared" ref="Q12:V12" si="13">3000*J12</f>
        <v>0</v>
      </c>
      <c r="R12" s="210">
        <f t="shared" si="13"/>
        <v>0</v>
      </c>
      <c r="S12" s="210">
        <f t="shared" si="13"/>
        <v>0</v>
      </c>
      <c r="T12" s="210">
        <f t="shared" si="13"/>
        <v>0</v>
      </c>
      <c r="U12" s="210">
        <f t="shared" si="13"/>
        <v>0</v>
      </c>
      <c r="V12" s="210">
        <f t="shared" si="13"/>
        <v>0</v>
      </c>
      <c r="W12" s="210">
        <f t="shared" si="3"/>
        <v>3000</v>
      </c>
      <c r="X12" s="204">
        <f t="shared" si="4"/>
        <v>1000</v>
      </c>
      <c r="Y12" s="205">
        <f t="shared" si="5"/>
        <v>2000</v>
      </c>
      <c r="Z12" s="86" t="s">
        <v>1790</v>
      </c>
      <c r="AA12" s="110"/>
      <c r="AB12" s="47"/>
      <c r="AC12" s="47"/>
      <c r="AD12" s="47"/>
      <c r="AE12" s="47"/>
      <c r="AF12" s="47"/>
    </row>
    <row r="13" ht="15.0" customHeight="1">
      <c r="A13" s="206">
        <v>11.0</v>
      </c>
      <c r="B13" s="207"/>
      <c r="C13" s="208" t="s">
        <v>1788</v>
      </c>
      <c r="D13" s="208" t="s">
        <v>1791</v>
      </c>
      <c r="E13" s="208" t="s">
        <v>1792</v>
      </c>
      <c r="F13" s="209" t="s">
        <v>327</v>
      </c>
      <c r="G13" s="206">
        <v>2.0</v>
      </c>
      <c r="H13" s="206">
        <v>2.0</v>
      </c>
      <c r="I13" s="206">
        <f>COUNTIFS('2_Data_Pelanggan'!$H:$H,$F13,'2_Data_Pelanggan'!$I:$I,$G13,'2_Data_Pelanggan'!$J:$J,$H13,'2_Data_Pelanggan'!$S:$S,"&gt;="&amp;DATE(2026,6,1),'2_Data_Pelanggan'!$S:$S,"&lt;"&amp;DATE(2026,7,1))</f>
        <v>1</v>
      </c>
      <c r="J13" s="206">
        <f>COUNTIFS('2_Data_Pelanggan'!$H:$H,$F13,'2_Data_Pelanggan'!$I:$I,$G13,'2_Data_Pelanggan'!$J:$J,$H13,'2_Data_Pelanggan'!$S:$S,"&gt;="&amp;DATE(2026,7,1),'2_Data_Pelanggan'!$S:$S,"&lt;"&amp;DATE(2026,8,1))</f>
        <v>3</v>
      </c>
      <c r="K13" s="206">
        <f>COUNTIFS('2_Data_Pelanggan'!$H:$H,$F13,'2_Data_Pelanggan'!$I:$I,$G13,'2_Data_Pelanggan'!$J:$J,$H13,'2_Data_Pelanggan'!$S:$S,"&gt;="&amp;DATE(2026,8,1),'2_Data_Pelanggan'!$S:$S,"&lt;"&amp;DATE(2026,9,1))</f>
        <v>0</v>
      </c>
      <c r="L13" s="210">
        <f>COUNTIFS('2_Data_Pelanggan'!$H:$H,$F13,'2_Data_Pelanggan'!$I:$I,$G13,'2_Data_Pelanggan'!$J:$J,$H13,'2_Data_Pelanggan'!$S:$S,"&gt;="&amp;DATE(2026,9,1),'2_Data_Pelanggan'!$S:$S,"&lt;"&amp;DATE(2026,10,1))</f>
        <v>0</v>
      </c>
      <c r="M13" s="210">
        <f>COUNTIFS('2_Data_Pelanggan'!$H:$H,$F13,'2_Data_Pelanggan'!$I:$I,$G13,'2_Data_Pelanggan'!$J:$J,$H13,'2_Data_Pelanggan'!$S:$S,"&gt;="&amp;DATE(2026,10,1),'2_Data_Pelanggan'!$S:$S,"&lt;"&amp;DATE(2026,11,1))</f>
        <v>0</v>
      </c>
      <c r="N13" s="210">
        <f>COUNTIFS('2_Data_Pelanggan'!$H:$H,$F13,'2_Data_Pelanggan'!$I:$I,$G13,'2_Data_Pelanggan'!$J:$J,$H13,'2_Data_Pelanggan'!$S:$S,"&gt;="&amp;DATE(2026,11,1),'2_Data_Pelanggan'!$S:$S,"&lt;"&amp;DATE(2026,12,1))</f>
        <v>0</v>
      </c>
      <c r="O13" s="210">
        <f>COUNTIFS('2_Data_Pelanggan'!$H:$H,$F13,'2_Data_Pelanggan'!$I:$I,$G13,'2_Data_Pelanggan'!$J:$J,$H13,'2_Data_Pelanggan'!$S:$S,"&gt;="&amp;DATE(2026,12,1),'2_Data_Pelanggan'!$S:$S,"&lt;"&amp;DATE(2026,1,1))</f>
        <v>0</v>
      </c>
      <c r="P13" s="210">
        <f t="shared" si="1"/>
        <v>3000</v>
      </c>
      <c r="Q13" s="210">
        <f t="shared" ref="Q13:V13" si="14">3000*J13</f>
        <v>9000</v>
      </c>
      <c r="R13" s="210">
        <f t="shared" si="14"/>
        <v>0</v>
      </c>
      <c r="S13" s="210">
        <f t="shared" si="14"/>
        <v>0</v>
      </c>
      <c r="T13" s="210">
        <f t="shared" si="14"/>
        <v>0</v>
      </c>
      <c r="U13" s="210">
        <f t="shared" si="14"/>
        <v>0</v>
      </c>
      <c r="V13" s="210">
        <f t="shared" si="14"/>
        <v>0</v>
      </c>
      <c r="W13" s="210">
        <f t="shared" si="3"/>
        <v>12000</v>
      </c>
      <c r="X13" s="204">
        <f t="shared" si="4"/>
        <v>4000</v>
      </c>
      <c r="Y13" s="205">
        <f t="shared" si="5"/>
        <v>8000</v>
      </c>
      <c r="Z13" s="86" t="s">
        <v>1790</v>
      </c>
      <c r="AA13" s="110"/>
      <c r="AB13" s="47"/>
      <c r="AC13" s="47"/>
      <c r="AD13" s="47"/>
      <c r="AE13" s="47"/>
      <c r="AF13" s="47"/>
    </row>
    <row r="14" ht="15.0" customHeight="1">
      <c r="A14" s="206">
        <v>12.0</v>
      </c>
      <c r="B14" s="207"/>
      <c r="C14" s="208" t="s">
        <v>1788</v>
      </c>
      <c r="D14" s="208" t="s">
        <v>1791</v>
      </c>
      <c r="E14" s="208" t="s">
        <v>1792</v>
      </c>
      <c r="F14" s="209" t="s">
        <v>327</v>
      </c>
      <c r="G14" s="206">
        <v>2.0</v>
      </c>
      <c r="H14" s="206">
        <v>3.0</v>
      </c>
      <c r="I14" s="206">
        <f>COUNTIFS('2_Data_Pelanggan'!$H:$H,$F14,'2_Data_Pelanggan'!$I:$I,$G14,'2_Data_Pelanggan'!$J:$J,$H14,'2_Data_Pelanggan'!$S:$S,"&gt;="&amp;DATE(2026,6,1),'2_Data_Pelanggan'!$S:$S,"&lt;"&amp;DATE(2026,7,1))</f>
        <v>2</v>
      </c>
      <c r="J14" s="206">
        <f>COUNTIFS('2_Data_Pelanggan'!$H:$H,$F14,'2_Data_Pelanggan'!$I:$I,$G14,'2_Data_Pelanggan'!$J:$J,$H14,'2_Data_Pelanggan'!$S:$S,"&gt;="&amp;DATE(2026,7,1),'2_Data_Pelanggan'!$S:$S,"&lt;"&amp;DATE(2026,8,1))</f>
        <v>0</v>
      </c>
      <c r="K14" s="206">
        <f>COUNTIFS('2_Data_Pelanggan'!$H:$H,$F14,'2_Data_Pelanggan'!$I:$I,$G14,'2_Data_Pelanggan'!$J:$J,$H14,'2_Data_Pelanggan'!$S:$S,"&gt;="&amp;DATE(2026,8,1),'2_Data_Pelanggan'!$S:$S,"&lt;"&amp;DATE(2026,9,1))</f>
        <v>0</v>
      </c>
      <c r="L14" s="210">
        <f>COUNTIFS('2_Data_Pelanggan'!$H:$H,$F14,'2_Data_Pelanggan'!$I:$I,$G14,'2_Data_Pelanggan'!$J:$J,$H14,'2_Data_Pelanggan'!$S:$S,"&gt;="&amp;DATE(2026,9,1),'2_Data_Pelanggan'!$S:$S,"&lt;"&amp;DATE(2026,10,1))</f>
        <v>0</v>
      </c>
      <c r="M14" s="210">
        <f>COUNTIFS('2_Data_Pelanggan'!$H:$H,$F14,'2_Data_Pelanggan'!$I:$I,$G14,'2_Data_Pelanggan'!$J:$J,$H14,'2_Data_Pelanggan'!$S:$S,"&gt;="&amp;DATE(2026,10,1),'2_Data_Pelanggan'!$S:$S,"&lt;"&amp;DATE(2026,11,1))</f>
        <v>0</v>
      </c>
      <c r="N14" s="210">
        <f>COUNTIFS('2_Data_Pelanggan'!$H:$H,$F14,'2_Data_Pelanggan'!$I:$I,$G14,'2_Data_Pelanggan'!$J:$J,$H14,'2_Data_Pelanggan'!$S:$S,"&gt;="&amp;DATE(2026,11,1),'2_Data_Pelanggan'!$S:$S,"&lt;"&amp;DATE(2026,12,1))</f>
        <v>1</v>
      </c>
      <c r="O14" s="210">
        <f>COUNTIFS('2_Data_Pelanggan'!$H:$H,$F14,'2_Data_Pelanggan'!$I:$I,$G14,'2_Data_Pelanggan'!$J:$J,$H14,'2_Data_Pelanggan'!$S:$S,"&gt;="&amp;DATE(2026,12,1),'2_Data_Pelanggan'!$S:$S,"&lt;"&amp;DATE(2026,1,1))</f>
        <v>0</v>
      </c>
      <c r="P14" s="210">
        <f t="shared" si="1"/>
        <v>6000</v>
      </c>
      <c r="Q14" s="210">
        <f t="shared" ref="Q14:V14" si="15">3000*J14</f>
        <v>0</v>
      </c>
      <c r="R14" s="210">
        <f t="shared" si="15"/>
        <v>0</v>
      </c>
      <c r="S14" s="210">
        <f t="shared" si="15"/>
        <v>0</v>
      </c>
      <c r="T14" s="210">
        <f t="shared" si="15"/>
        <v>0</v>
      </c>
      <c r="U14" s="210">
        <f t="shared" si="15"/>
        <v>3000</v>
      </c>
      <c r="V14" s="210">
        <f t="shared" si="15"/>
        <v>0</v>
      </c>
      <c r="W14" s="210">
        <f t="shared" si="3"/>
        <v>9000</v>
      </c>
      <c r="X14" s="204">
        <f t="shared" si="4"/>
        <v>3000</v>
      </c>
      <c r="Y14" s="205">
        <f t="shared" si="5"/>
        <v>6000</v>
      </c>
      <c r="Z14" s="86" t="s">
        <v>1790</v>
      </c>
      <c r="AA14" s="110"/>
      <c r="AB14" s="47"/>
      <c r="AC14" s="47"/>
      <c r="AD14" s="47"/>
      <c r="AE14" s="47"/>
      <c r="AF14" s="47"/>
    </row>
    <row r="15" ht="15.0" customHeight="1">
      <c r="A15" s="206">
        <v>13.0</v>
      </c>
      <c r="B15" s="207"/>
      <c r="C15" s="208" t="s">
        <v>1788</v>
      </c>
      <c r="D15" s="208" t="s">
        <v>1791</v>
      </c>
      <c r="E15" s="208" t="s">
        <v>1792</v>
      </c>
      <c r="F15" s="209" t="s">
        <v>327</v>
      </c>
      <c r="G15" s="206">
        <v>2.0</v>
      </c>
      <c r="H15" s="206">
        <v>4.0</v>
      </c>
      <c r="I15" s="206">
        <f>COUNTIFS('2_Data_Pelanggan'!$H:$H,$F15,'2_Data_Pelanggan'!$I:$I,$G15,'2_Data_Pelanggan'!$J:$J,$H15,'2_Data_Pelanggan'!$S:$S,"&gt;="&amp;DATE(2026,6,1),'2_Data_Pelanggan'!$S:$S,"&lt;"&amp;DATE(2026,7,1))</f>
        <v>0</v>
      </c>
      <c r="J15" s="206">
        <f>COUNTIFS('2_Data_Pelanggan'!$H:$H,$F15,'2_Data_Pelanggan'!$I:$I,$G15,'2_Data_Pelanggan'!$J:$J,$H15,'2_Data_Pelanggan'!$S:$S,"&gt;="&amp;DATE(2026,7,1),'2_Data_Pelanggan'!$S:$S,"&lt;"&amp;DATE(2026,8,1))</f>
        <v>1</v>
      </c>
      <c r="K15" s="206">
        <f>COUNTIFS('2_Data_Pelanggan'!$H:$H,$F15,'2_Data_Pelanggan'!$I:$I,$G15,'2_Data_Pelanggan'!$J:$J,$H15,'2_Data_Pelanggan'!$S:$S,"&gt;="&amp;DATE(2026,8,1),'2_Data_Pelanggan'!$S:$S,"&lt;"&amp;DATE(2026,9,1))</f>
        <v>0</v>
      </c>
      <c r="L15" s="210">
        <f>COUNTIFS('2_Data_Pelanggan'!$H:$H,$F15,'2_Data_Pelanggan'!$I:$I,$G15,'2_Data_Pelanggan'!$J:$J,$H15,'2_Data_Pelanggan'!$S:$S,"&gt;="&amp;DATE(2026,9,1),'2_Data_Pelanggan'!$S:$S,"&lt;"&amp;DATE(2026,10,1))</f>
        <v>0</v>
      </c>
      <c r="M15" s="210">
        <f>COUNTIFS('2_Data_Pelanggan'!$H:$H,$F15,'2_Data_Pelanggan'!$I:$I,$G15,'2_Data_Pelanggan'!$J:$J,$H15,'2_Data_Pelanggan'!$S:$S,"&gt;="&amp;DATE(2026,10,1),'2_Data_Pelanggan'!$S:$S,"&lt;"&amp;DATE(2026,11,1))</f>
        <v>0</v>
      </c>
      <c r="N15" s="210">
        <f>COUNTIFS('2_Data_Pelanggan'!$H:$H,$F15,'2_Data_Pelanggan'!$I:$I,$G15,'2_Data_Pelanggan'!$J:$J,$H15,'2_Data_Pelanggan'!$S:$S,"&gt;="&amp;DATE(2026,11,1),'2_Data_Pelanggan'!$S:$S,"&lt;"&amp;DATE(2026,12,1))</f>
        <v>0</v>
      </c>
      <c r="O15" s="210">
        <f>COUNTIFS('2_Data_Pelanggan'!$H:$H,$F15,'2_Data_Pelanggan'!$I:$I,$G15,'2_Data_Pelanggan'!$J:$J,$H15,'2_Data_Pelanggan'!$S:$S,"&gt;="&amp;DATE(2026,12,1),'2_Data_Pelanggan'!$S:$S,"&lt;"&amp;DATE(2026,1,1))</f>
        <v>0</v>
      </c>
      <c r="P15" s="210">
        <f t="shared" si="1"/>
        <v>0</v>
      </c>
      <c r="Q15" s="210">
        <f t="shared" ref="Q15:V15" si="16">3000*J15</f>
        <v>3000</v>
      </c>
      <c r="R15" s="210">
        <f t="shared" si="16"/>
        <v>0</v>
      </c>
      <c r="S15" s="210">
        <f t="shared" si="16"/>
        <v>0</v>
      </c>
      <c r="T15" s="210">
        <f t="shared" si="16"/>
        <v>0</v>
      </c>
      <c r="U15" s="210">
        <f t="shared" si="16"/>
        <v>0</v>
      </c>
      <c r="V15" s="210">
        <f t="shared" si="16"/>
        <v>0</v>
      </c>
      <c r="W15" s="210">
        <f t="shared" si="3"/>
        <v>3000</v>
      </c>
      <c r="X15" s="204">
        <f t="shared" si="4"/>
        <v>1000</v>
      </c>
      <c r="Y15" s="205">
        <f t="shared" si="5"/>
        <v>2000</v>
      </c>
      <c r="Z15" s="86" t="s">
        <v>1790</v>
      </c>
      <c r="AA15" s="110"/>
      <c r="AB15" s="47"/>
      <c r="AC15" s="47"/>
      <c r="AD15" s="47"/>
      <c r="AE15" s="47"/>
      <c r="AF15" s="47"/>
    </row>
    <row r="16" ht="15.0" customHeight="1">
      <c r="A16" s="206">
        <v>14.0</v>
      </c>
      <c r="B16" s="207"/>
      <c r="C16" s="208" t="s">
        <v>1788</v>
      </c>
      <c r="D16" s="208" t="s">
        <v>1791</v>
      </c>
      <c r="E16" s="208" t="s">
        <v>1792</v>
      </c>
      <c r="F16" s="209" t="s">
        <v>327</v>
      </c>
      <c r="G16" s="206">
        <v>2.0</v>
      </c>
      <c r="H16" s="206">
        <v>5.0</v>
      </c>
      <c r="I16" s="206">
        <f>COUNTIFS('2_Data_Pelanggan'!$H:$H,$F16,'2_Data_Pelanggan'!$I:$I,$G16,'2_Data_Pelanggan'!$J:$J,$H16,'2_Data_Pelanggan'!$S:$S,"&gt;="&amp;DATE(2026,6,1),'2_Data_Pelanggan'!$S:$S,"&lt;"&amp;DATE(2026,7,1))</f>
        <v>0</v>
      </c>
      <c r="J16" s="206">
        <f>COUNTIFS('2_Data_Pelanggan'!$H:$H,$F16,'2_Data_Pelanggan'!$I:$I,$G16,'2_Data_Pelanggan'!$J:$J,$H16,'2_Data_Pelanggan'!$S:$S,"&gt;="&amp;DATE(2026,7,1),'2_Data_Pelanggan'!$S:$S,"&lt;"&amp;DATE(2026,8,1))</f>
        <v>0</v>
      </c>
      <c r="K16" s="206">
        <f>COUNTIFS('2_Data_Pelanggan'!$H:$H,$F16,'2_Data_Pelanggan'!$I:$I,$G16,'2_Data_Pelanggan'!$J:$J,$H16,'2_Data_Pelanggan'!$S:$S,"&gt;="&amp;DATE(2026,8,1),'2_Data_Pelanggan'!$S:$S,"&lt;"&amp;DATE(2026,9,1))</f>
        <v>0</v>
      </c>
      <c r="L16" s="210">
        <f>COUNTIFS('2_Data_Pelanggan'!$H:$H,$F16,'2_Data_Pelanggan'!$I:$I,$G16,'2_Data_Pelanggan'!$J:$J,$H16,'2_Data_Pelanggan'!$S:$S,"&gt;="&amp;DATE(2026,9,1),'2_Data_Pelanggan'!$S:$S,"&lt;"&amp;DATE(2026,10,1))</f>
        <v>0</v>
      </c>
      <c r="M16" s="210">
        <f>COUNTIFS('2_Data_Pelanggan'!$H:$H,$F16,'2_Data_Pelanggan'!$I:$I,$G16,'2_Data_Pelanggan'!$J:$J,$H16,'2_Data_Pelanggan'!$S:$S,"&gt;="&amp;DATE(2026,10,1),'2_Data_Pelanggan'!$S:$S,"&lt;"&amp;DATE(2026,11,1))</f>
        <v>0</v>
      </c>
      <c r="N16" s="210">
        <f>COUNTIFS('2_Data_Pelanggan'!$H:$H,$F16,'2_Data_Pelanggan'!$I:$I,$G16,'2_Data_Pelanggan'!$J:$J,$H16,'2_Data_Pelanggan'!$S:$S,"&gt;="&amp;DATE(2026,11,1),'2_Data_Pelanggan'!$S:$S,"&lt;"&amp;DATE(2026,12,1))</f>
        <v>0</v>
      </c>
      <c r="O16" s="210">
        <f>COUNTIFS('2_Data_Pelanggan'!$H:$H,$F16,'2_Data_Pelanggan'!$I:$I,$G16,'2_Data_Pelanggan'!$J:$J,$H16,'2_Data_Pelanggan'!$S:$S,"&gt;="&amp;DATE(2026,12,1),'2_Data_Pelanggan'!$S:$S,"&lt;"&amp;DATE(2026,1,1))</f>
        <v>0</v>
      </c>
      <c r="P16" s="210">
        <f t="shared" si="1"/>
        <v>0</v>
      </c>
      <c r="Q16" s="210">
        <f t="shared" ref="Q16:V16" si="17">3000*J16</f>
        <v>0</v>
      </c>
      <c r="R16" s="210">
        <f t="shared" si="17"/>
        <v>0</v>
      </c>
      <c r="S16" s="210">
        <f t="shared" si="17"/>
        <v>0</v>
      </c>
      <c r="T16" s="210">
        <f t="shared" si="17"/>
        <v>0</v>
      </c>
      <c r="U16" s="210">
        <f t="shared" si="17"/>
        <v>0</v>
      </c>
      <c r="V16" s="210">
        <f t="shared" si="17"/>
        <v>0</v>
      </c>
      <c r="W16" s="210">
        <f t="shared" si="3"/>
        <v>0</v>
      </c>
      <c r="X16" s="204">
        <f t="shared" si="4"/>
        <v>0</v>
      </c>
      <c r="Y16" s="205">
        <f t="shared" si="5"/>
        <v>0</v>
      </c>
      <c r="Z16" s="86" t="s">
        <v>1790</v>
      </c>
      <c r="AA16" s="110"/>
      <c r="AB16" s="47"/>
      <c r="AC16" s="47"/>
      <c r="AD16" s="47"/>
      <c r="AE16" s="47"/>
      <c r="AF16" s="47"/>
    </row>
    <row r="17" ht="15.0" customHeight="1">
      <c r="A17" s="206">
        <v>15.0</v>
      </c>
      <c r="B17" s="207"/>
      <c r="C17" s="208" t="s">
        <v>1788</v>
      </c>
      <c r="D17" s="208" t="s">
        <v>1791</v>
      </c>
      <c r="E17" s="208" t="s">
        <v>1792</v>
      </c>
      <c r="F17" s="209" t="s">
        <v>327</v>
      </c>
      <c r="G17" s="206">
        <v>2.0</v>
      </c>
      <c r="H17" s="206">
        <v>6.0</v>
      </c>
      <c r="I17" s="206">
        <f>COUNTIFS('2_Data_Pelanggan'!$H:$H,$F17,'2_Data_Pelanggan'!$I:$I,$G17,'2_Data_Pelanggan'!$J:$J,$H17,'2_Data_Pelanggan'!$S:$S,"&gt;="&amp;DATE(2026,6,1),'2_Data_Pelanggan'!$S:$S,"&lt;"&amp;DATE(2026,7,1))</f>
        <v>1</v>
      </c>
      <c r="J17" s="206">
        <f>COUNTIFS('2_Data_Pelanggan'!$H:$H,$F17,'2_Data_Pelanggan'!$I:$I,$G17,'2_Data_Pelanggan'!$J:$J,$H17,'2_Data_Pelanggan'!$S:$S,"&gt;="&amp;DATE(2026,7,1),'2_Data_Pelanggan'!$S:$S,"&lt;"&amp;DATE(2026,8,1))</f>
        <v>0</v>
      </c>
      <c r="K17" s="206">
        <f>COUNTIFS('2_Data_Pelanggan'!$H:$H,$F17,'2_Data_Pelanggan'!$I:$I,$G17,'2_Data_Pelanggan'!$J:$J,$H17,'2_Data_Pelanggan'!$S:$S,"&gt;="&amp;DATE(2026,8,1),'2_Data_Pelanggan'!$S:$S,"&lt;"&amp;DATE(2026,9,1))</f>
        <v>0</v>
      </c>
      <c r="L17" s="210">
        <f>COUNTIFS('2_Data_Pelanggan'!$H:$H,$F17,'2_Data_Pelanggan'!$I:$I,$G17,'2_Data_Pelanggan'!$J:$J,$H17,'2_Data_Pelanggan'!$S:$S,"&gt;="&amp;DATE(2026,9,1),'2_Data_Pelanggan'!$S:$S,"&lt;"&amp;DATE(2026,10,1))</f>
        <v>0</v>
      </c>
      <c r="M17" s="210">
        <f>COUNTIFS('2_Data_Pelanggan'!$H:$H,$F17,'2_Data_Pelanggan'!$I:$I,$G17,'2_Data_Pelanggan'!$J:$J,$H17,'2_Data_Pelanggan'!$S:$S,"&gt;="&amp;DATE(2026,10,1),'2_Data_Pelanggan'!$S:$S,"&lt;"&amp;DATE(2026,11,1))</f>
        <v>0</v>
      </c>
      <c r="N17" s="210">
        <f>COUNTIFS('2_Data_Pelanggan'!$H:$H,$F17,'2_Data_Pelanggan'!$I:$I,$G17,'2_Data_Pelanggan'!$J:$J,$H17,'2_Data_Pelanggan'!$S:$S,"&gt;="&amp;DATE(2026,11,1),'2_Data_Pelanggan'!$S:$S,"&lt;"&amp;DATE(2026,12,1))</f>
        <v>0</v>
      </c>
      <c r="O17" s="210">
        <f>COUNTIFS('2_Data_Pelanggan'!$H:$H,$F17,'2_Data_Pelanggan'!$I:$I,$G17,'2_Data_Pelanggan'!$J:$J,$H17,'2_Data_Pelanggan'!$S:$S,"&gt;="&amp;DATE(2026,12,1),'2_Data_Pelanggan'!$S:$S,"&lt;"&amp;DATE(2026,1,1))</f>
        <v>0</v>
      </c>
      <c r="P17" s="210">
        <f t="shared" si="1"/>
        <v>3000</v>
      </c>
      <c r="Q17" s="210">
        <f t="shared" ref="Q17:V17" si="18">3000*J17</f>
        <v>0</v>
      </c>
      <c r="R17" s="210">
        <f t="shared" si="18"/>
        <v>0</v>
      </c>
      <c r="S17" s="210">
        <f t="shared" si="18"/>
        <v>0</v>
      </c>
      <c r="T17" s="210">
        <f t="shared" si="18"/>
        <v>0</v>
      </c>
      <c r="U17" s="210">
        <f t="shared" si="18"/>
        <v>0</v>
      </c>
      <c r="V17" s="210">
        <f t="shared" si="18"/>
        <v>0</v>
      </c>
      <c r="W17" s="210">
        <f t="shared" si="3"/>
        <v>3000</v>
      </c>
      <c r="X17" s="204">
        <f t="shared" si="4"/>
        <v>1000</v>
      </c>
      <c r="Y17" s="205">
        <f t="shared" si="5"/>
        <v>2000</v>
      </c>
      <c r="Z17" s="86" t="s">
        <v>1790</v>
      </c>
      <c r="AA17" s="110"/>
      <c r="AB17" s="47"/>
      <c r="AC17" s="47"/>
      <c r="AD17" s="47"/>
      <c r="AE17" s="47"/>
      <c r="AF17" s="47"/>
    </row>
    <row r="18" ht="15.0" customHeight="1">
      <c r="A18" s="206">
        <v>16.0</v>
      </c>
      <c r="B18" s="207"/>
      <c r="C18" s="208" t="s">
        <v>1788</v>
      </c>
      <c r="D18" s="208" t="s">
        <v>1791</v>
      </c>
      <c r="E18" s="208" t="s">
        <v>1792</v>
      </c>
      <c r="F18" s="209" t="s">
        <v>327</v>
      </c>
      <c r="G18" s="206">
        <v>2.0</v>
      </c>
      <c r="H18" s="206">
        <v>7.0</v>
      </c>
      <c r="I18" s="206">
        <f>COUNTIFS('2_Data_Pelanggan'!$H:$H,$F18,'2_Data_Pelanggan'!$I:$I,$G18,'2_Data_Pelanggan'!$J:$J,$H18,'2_Data_Pelanggan'!$S:$S,"&gt;="&amp;DATE(2026,6,1),'2_Data_Pelanggan'!$S:$S,"&lt;"&amp;DATE(2026,7,1))</f>
        <v>0</v>
      </c>
      <c r="J18" s="206">
        <f>COUNTIFS('2_Data_Pelanggan'!$H:$H,$F18,'2_Data_Pelanggan'!$I:$I,$G18,'2_Data_Pelanggan'!$J:$J,$H18,'2_Data_Pelanggan'!$S:$S,"&gt;="&amp;DATE(2026,7,1),'2_Data_Pelanggan'!$S:$S,"&lt;"&amp;DATE(2026,8,1))</f>
        <v>0</v>
      </c>
      <c r="K18" s="206">
        <f>COUNTIFS('2_Data_Pelanggan'!$H:$H,$F18,'2_Data_Pelanggan'!$I:$I,$G18,'2_Data_Pelanggan'!$J:$J,$H18,'2_Data_Pelanggan'!$S:$S,"&gt;="&amp;DATE(2026,8,1),'2_Data_Pelanggan'!$S:$S,"&lt;"&amp;DATE(2026,9,1))</f>
        <v>0</v>
      </c>
      <c r="L18" s="210">
        <f>COUNTIFS('2_Data_Pelanggan'!$H:$H,$F18,'2_Data_Pelanggan'!$I:$I,$G18,'2_Data_Pelanggan'!$J:$J,$H18,'2_Data_Pelanggan'!$S:$S,"&gt;="&amp;DATE(2026,9,1),'2_Data_Pelanggan'!$S:$S,"&lt;"&amp;DATE(2026,10,1))</f>
        <v>0</v>
      </c>
      <c r="M18" s="210">
        <f>COUNTIFS('2_Data_Pelanggan'!$H:$H,$F18,'2_Data_Pelanggan'!$I:$I,$G18,'2_Data_Pelanggan'!$J:$J,$H18,'2_Data_Pelanggan'!$S:$S,"&gt;="&amp;DATE(2026,10,1),'2_Data_Pelanggan'!$S:$S,"&lt;"&amp;DATE(2026,11,1))</f>
        <v>0</v>
      </c>
      <c r="N18" s="210">
        <f>COUNTIFS('2_Data_Pelanggan'!$H:$H,$F18,'2_Data_Pelanggan'!$I:$I,$G18,'2_Data_Pelanggan'!$J:$J,$H18,'2_Data_Pelanggan'!$S:$S,"&gt;="&amp;DATE(2026,11,1),'2_Data_Pelanggan'!$S:$S,"&lt;"&amp;DATE(2026,12,1))</f>
        <v>0</v>
      </c>
      <c r="O18" s="210">
        <f>COUNTIFS('2_Data_Pelanggan'!$H:$H,$F18,'2_Data_Pelanggan'!$I:$I,$G18,'2_Data_Pelanggan'!$J:$J,$H18,'2_Data_Pelanggan'!$S:$S,"&gt;="&amp;DATE(2026,12,1),'2_Data_Pelanggan'!$S:$S,"&lt;"&amp;DATE(2026,1,1))</f>
        <v>0</v>
      </c>
      <c r="P18" s="210">
        <f t="shared" si="1"/>
        <v>0</v>
      </c>
      <c r="Q18" s="210">
        <f t="shared" ref="Q18:V18" si="19">3000*J18</f>
        <v>0</v>
      </c>
      <c r="R18" s="210">
        <f t="shared" si="19"/>
        <v>0</v>
      </c>
      <c r="S18" s="210">
        <f t="shared" si="19"/>
        <v>0</v>
      </c>
      <c r="T18" s="210">
        <f t="shared" si="19"/>
        <v>0</v>
      </c>
      <c r="U18" s="210">
        <f t="shared" si="19"/>
        <v>0</v>
      </c>
      <c r="V18" s="210">
        <f t="shared" si="19"/>
        <v>0</v>
      </c>
      <c r="W18" s="210">
        <f t="shared" si="3"/>
        <v>0</v>
      </c>
      <c r="X18" s="204">
        <f t="shared" si="4"/>
        <v>0</v>
      </c>
      <c r="Y18" s="205">
        <f t="shared" si="5"/>
        <v>0</v>
      </c>
      <c r="Z18" s="86" t="s">
        <v>1790</v>
      </c>
      <c r="AA18" s="110"/>
      <c r="AB18" s="47"/>
      <c r="AC18" s="47"/>
      <c r="AD18" s="47"/>
      <c r="AE18" s="47"/>
      <c r="AF18" s="47"/>
    </row>
    <row r="19" ht="15.0" customHeight="1">
      <c r="A19" s="206">
        <v>17.0</v>
      </c>
      <c r="B19" s="207"/>
      <c r="C19" s="208" t="s">
        <v>1788</v>
      </c>
      <c r="D19" s="208" t="s">
        <v>1791</v>
      </c>
      <c r="E19" s="208" t="s">
        <v>1792</v>
      </c>
      <c r="F19" s="209" t="s">
        <v>327</v>
      </c>
      <c r="G19" s="206">
        <v>2.0</v>
      </c>
      <c r="H19" s="206">
        <v>8.0</v>
      </c>
      <c r="I19" s="206">
        <f>COUNTIFS('2_Data_Pelanggan'!$H:$H,$F19,'2_Data_Pelanggan'!$I:$I,$G19,'2_Data_Pelanggan'!$J:$J,$H19,'2_Data_Pelanggan'!$S:$S,"&gt;="&amp;DATE(2026,6,1),'2_Data_Pelanggan'!$S:$S,"&lt;"&amp;DATE(2026,7,1))</f>
        <v>0</v>
      </c>
      <c r="J19" s="206">
        <f>COUNTIFS('2_Data_Pelanggan'!$H:$H,$F19,'2_Data_Pelanggan'!$I:$I,$G19,'2_Data_Pelanggan'!$J:$J,$H19,'2_Data_Pelanggan'!$S:$S,"&gt;="&amp;DATE(2026,7,1),'2_Data_Pelanggan'!$S:$S,"&lt;"&amp;DATE(2026,8,1))</f>
        <v>0</v>
      </c>
      <c r="K19" s="206">
        <f>COUNTIFS('2_Data_Pelanggan'!$H:$H,$F19,'2_Data_Pelanggan'!$I:$I,$G19,'2_Data_Pelanggan'!$J:$J,$H19,'2_Data_Pelanggan'!$S:$S,"&gt;="&amp;DATE(2026,8,1),'2_Data_Pelanggan'!$S:$S,"&lt;"&amp;DATE(2026,9,1))</f>
        <v>0</v>
      </c>
      <c r="L19" s="210">
        <f>COUNTIFS('2_Data_Pelanggan'!$H:$H,$F19,'2_Data_Pelanggan'!$I:$I,$G19,'2_Data_Pelanggan'!$J:$J,$H19,'2_Data_Pelanggan'!$S:$S,"&gt;="&amp;DATE(2026,9,1),'2_Data_Pelanggan'!$S:$S,"&lt;"&amp;DATE(2026,10,1))</f>
        <v>0</v>
      </c>
      <c r="M19" s="210">
        <f>COUNTIFS('2_Data_Pelanggan'!$H:$H,$F19,'2_Data_Pelanggan'!$I:$I,$G19,'2_Data_Pelanggan'!$J:$J,$H19,'2_Data_Pelanggan'!$S:$S,"&gt;="&amp;DATE(2026,10,1),'2_Data_Pelanggan'!$S:$S,"&lt;"&amp;DATE(2026,11,1))</f>
        <v>0</v>
      </c>
      <c r="N19" s="210">
        <f>COUNTIFS('2_Data_Pelanggan'!$H:$H,$F19,'2_Data_Pelanggan'!$I:$I,$G19,'2_Data_Pelanggan'!$J:$J,$H19,'2_Data_Pelanggan'!$S:$S,"&gt;="&amp;DATE(2026,11,1),'2_Data_Pelanggan'!$S:$S,"&lt;"&amp;DATE(2026,12,1))</f>
        <v>0</v>
      </c>
      <c r="O19" s="210">
        <f>COUNTIFS('2_Data_Pelanggan'!$H:$H,$F19,'2_Data_Pelanggan'!$I:$I,$G19,'2_Data_Pelanggan'!$J:$J,$H19,'2_Data_Pelanggan'!$S:$S,"&gt;="&amp;DATE(2026,12,1),'2_Data_Pelanggan'!$S:$S,"&lt;"&amp;DATE(2026,1,1))</f>
        <v>0</v>
      </c>
      <c r="P19" s="210">
        <f t="shared" si="1"/>
        <v>0</v>
      </c>
      <c r="Q19" s="210">
        <f t="shared" ref="Q19:V19" si="20">3000*J19</f>
        <v>0</v>
      </c>
      <c r="R19" s="210">
        <f t="shared" si="20"/>
        <v>0</v>
      </c>
      <c r="S19" s="210">
        <f t="shared" si="20"/>
        <v>0</v>
      </c>
      <c r="T19" s="210">
        <f t="shared" si="20"/>
        <v>0</v>
      </c>
      <c r="U19" s="210">
        <f t="shared" si="20"/>
        <v>0</v>
      </c>
      <c r="V19" s="210">
        <f t="shared" si="20"/>
        <v>0</v>
      </c>
      <c r="W19" s="210">
        <f t="shared" si="3"/>
        <v>0</v>
      </c>
      <c r="X19" s="204">
        <f t="shared" si="4"/>
        <v>0</v>
      </c>
      <c r="Y19" s="205">
        <f t="shared" si="5"/>
        <v>0</v>
      </c>
      <c r="Z19" s="86" t="s">
        <v>1790</v>
      </c>
      <c r="AA19" s="110"/>
      <c r="AB19" s="47"/>
      <c r="AC19" s="47"/>
      <c r="AD19" s="47"/>
      <c r="AE19" s="47"/>
      <c r="AF19" s="47"/>
    </row>
    <row r="20" ht="15.0" customHeight="1">
      <c r="A20" s="206">
        <v>18.0</v>
      </c>
      <c r="B20" s="207"/>
      <c r="C20" s="208" t="s">
        <v>1788</v>
      </c>
      <c r="D20" s="208" t="s">
        <v>1791</v>
      </c>
      <c r="E20" s="208" t="s">
        <v>1792</v>
      </c>
      <c r="F20" s="209" t="s">
        <v>327</v>
      </c>
      <c r="G20" s="206">
        <v>3.0</v>
      </c>
      <c r="H20" s="206">
        <v>1.0</v>
      </c>
      <c r="I20" s="206">
        <f>COUNTIFS('2_Data_Pelanggan'!$H:$H,$F20,'2_Data_Pelanggan'!$I:$I,$G20,'2_Data_Pelanggan'!$J:$J,$H20,'2_Data_Pelanggan'!$S:$S,"&gt;="&amp;DATE(2026,6,1),'2_Data_Pelanggan'!$S:$S,"&lt;"&amp;DATE(2026,7,1))</f>
        <v>1</v>
      </c>
      <c r="J20" s="206">
        <f>COUNTIFS('2_Data_Pelanggan'!$H:$H,$F20,'2_Data_Pelanggan'!$I:$I,$G20,'2_Data_Pelanggan'!$J:$J,$H20,'2_Data_Pelanggan'!$S:$S,"&gt;="&amp;DATE(2026,7,1),'2_Data_Pelanggan'!$S:$S,"&lt;"&amp;DATE(2026,8,1))</f>
        <v>0</v>
      </c>
      <c r="K20" s="206">
        <f>COUNTIFS('2_Data_Pelanggan'!$H:$H,$F20,'2_Data_Pelanggan'!$I:$I,$G20,'2_Data_Pelanggan'!$J:$J,$H20,'2_Data_Pelanggan'!$S:$S,"&gt;="&amp;DATE(2026,8,1),'2_Data_Pelanggan'!$S:$S,"&lt;"&amp;DATE(2026,9,1))</f>
        <v>0</v>
      </c>
      <c r="L20" s="210">
        <f>COUNTIFS('2_Data_Pelanggan'!$H:$H,$F20,'2_Data_Pelanggan'!$I:$I,$G20,'2_Data_Pelanggan'!$J:$J,$H20,'2_Data_Pelanggan'!$S:$S,"&gt;="&amp;DATE(2026,9,1),'2_Data_Pelanggan'!$S:$S,"&lt;"&amp;DATE(2026,10,1))</f>
        <v>0</v>
      </c>
      <c r="M20" s="210">
        <f>COUNTIFS('2_Data_Pelanggan'!$H:$H,$F20,'2_Data_Pelanggan'!$I:$I,$G20,'2_Data_Pelanggan'!$J:$J,$H20,'2_Data_Pelanggan'!$S:$S,"&gt;="&amp;DATE(2026,10,1),'2_Data_Pelanggan'!$S:$S,"&lt;"&amp;DATE(2026,11,1))</f>
        <v>0</v>
      </c>
      <c r="N20" s="210">
        <f>COUNTIFS('2_Data_Pelanggan'!$H:$H,$F20,'2_Data_Pelanggan'!$I:$I,$G20,'2_Data_Pelanggan'!$J:$J,$H20,'2_Data_Pelanggan'!$S:$S,"&gt;="&amp;DATE(2026,11,1),'2_Data_Pelanggan'!$S:$S,"&lt;"&amp;DATE(2026,12,1))</f>
        <v>0</v>
      </c>
      <c r="O20" s="210">
        <f>COUNTIFS('2_Data_Pelanggan'!$H:$H,$F20,'2_Data_Pelanggan'!$I:$I,$G20,'2_Data_Pelanggan'!$J:$J,$H20,'2_Data_Pelanggan'!$S:$S,"&gt;="&amp;DATE(2026,12,1),'2_Data_Pelanggan'!$S:$S,"&lt;"&amp;DATE(2026,1,1))</f>
        <v>0</v>
      </c>
      <c r="P20" s="210">
        <f t="shared" si="1"/>
        <v>3000</v>
      </c>
      <c r="Q20" s="210">
        <f t="shared" ref="Q20:V20" si="21">3000*J20</f>
        <v>0</v>
      </c>
      <c r="R20" s="210">
        <f t="shared" si="21"/>
        <v>0</v>
      </c>
      <c r="S20" s="210">
        <f t="shared" si="21"/>
        <v>0</v>
      </c>
      <c r="T20" s="210">
        <f t="shared" si="21"/>
        <v>0</v>
      </c>
      <c r="U20" s="210">
        <f t="shared" si="21"/>
        <v>0</v>
      </c>
      <c r="V20" s="210">
        <f t="shared" si="21"/>
        <v>0</v>
      </c>
      <c r="W20" s="210">
        <f t="shared" si="3"/>
        <v>3000</v>
      </c>
      <c r="X20" s="204">
        <f t="shared" si="4"/>
        <v>1000</v>
      </c>
      <c r="Y20" s="205">
        <f t="shared" si="5"/>
        <v>2000</v>
      </c>
      <c r="Z20" s="86" t="s">
        <v>1790</v>
      </c>
      <c r="AA20" s="110"/>
      <c r="AB20" s="47"/>
      <c r="AC20" s="47"/>
      <c r="AD20" s="47"/>
      <c r="AE20" s="47"/>
      <c r="AF20" s="47"/>
    </row>
    <row r="21" ht="15.0" customHeight="1">
      <c r="A21" s="206">
        <v>19.0</v>
      </c>
      <c r="B21" s="207"/>
      <c r="C21" s="208" t="s">
        <v>1788</v>
      </c>
      <c r="D21" s="208" t="s">
        <v>1791</v>
      </c>
      <c r="E21" s="208" t="s">
        <v>1792</v>
      </c>
      <c r="F21" s="209" t="s">
        <v>327</v>
      </c>
      <c r="G21" s="206">
        <v>3.0</v>
      </c>
      <c r="H21" s="206">
        <v>2.0</v>
      </c>
      <c r="I21" s="206">
        <f>COUNTIFS('2_Data_Pelanggan'!$H:$H,$F21,'2_Data_Pelanggan'!$I:$I,$G21,'2_Data_Pelanggan'!$J:$J,$H21,'2_Data_Pelanggan'!$S:$S,"&gt;="&amp;DATE(2026,6,1),'2_Data_Pelanggan'!$S:$S,"&lt;"&amp;DATE(2026,7,1))</f>
        <v>0</v>
      </c>
      <c r="J21" s="206">
        <f>COUNTIFS('2_Data_Pelanggan'!$H:$H,$F21,'2_Data_Pelanggan'!$I:$I,$G21,'2_Data_Pelanggan'!$J:$J,$H21,'2_Data_Pelanggan'!$S:$S,"&gt;="&amp;DATE(2026,7,1),'2_Data_Pelanggan'!$S:$S,"&lt;"&amp;DATE(2026,8,1))</f>
        <v>0</v>
      </c>
      <c r="K21" s="206">
        <f>COUNTIFS('2_Data_Pelanggan'!$H:$H,$F21,'2_Data_Pelanggan'!$I:$I,$G21,'2_Data_Pelanggan'!$J:$J,$H21,'2_Data_Pelanggan'!$S:$S,"&gt;="&amp;DATE(2026,8,1),'2_Data_Pelanggan'!$S:$S,"&lt;"&amp;DATE(2026,9,1))</f>
        <v>0</v>
      </c>
      <c r="L21" s="210">
        <f>COUNTIFS('2_Data_Pelanggan'!$H:$H,$F21,'2_Data_Pelanggan'!$I:$I,$G21,'2_Data_Pelanggan'!$J:$J,$H21,'2_Data_Pelanggan'!$S:$S,"&gt;="&amp;DATE(2026,9,1),'2_Data_Pelanggan'!$S:$S,"&lt;"&amp;DATE(2026,10,1))</f>
        <v>0</v>
      </c>
      <c r="M21" s="210">
        <f>COUNTIFS('2_Data_Pelanggan'!$H:$H,$F21,'2_Data_Pelanggan'!$I:$I,$G21,'2_Data_Pelanggan'!$J:$J,$H21,'2_Data_Pelanggan'!$S:$S,"&gt;="&amp;DATE(2026,10,1),'2_Data_Pelanggan'!$S:$S,"&lt;"&amp;DATE(2026,11,1))</f>
        <v>0</v>
      </c>
      <c r="N21" s="210">
        <f>COUNTIFS('2_Data_Pelanggan'!$H:$H,$F21,'2_Data_Pelanggan'!$I:$I,$G21,'2_Data_Pelanggan'!$J:$J,$H21,'2_Data_Pelanggan'!$S:$S,"&gt;="&amp;DATE(2026,11,1),'2_Data_Pelanggan'!$S:$S,"&lt;"&amp;DATE(2026,12,1))</f>
        <v>0</v>
      </c>
      <c r="O21" s="210">
        <f>COUNTIFS('2_Data_Pelanggan'!$H:$H,$F21,'2_Data_Pelanggan'!$I:$I,$G21,'2_Data_Pelanggan'!$J:$J,$H21,'2_Data_Pelanggan'!$S:$S,"&gt;="&amp;DATE(2026,12,1),'2_Data_Pelanggan'!$S:$S,"&lt;"&amp;DATE(2026,1,1))</f>
        <v>0</v>
      </c>
      <c r="P21" s="210">
        <f t="shared" si="1"/>
        <v>0</v>
      </c>
      <c r="Q21" s="210">
        <f t="shared" ref="Q21:V21" si="22">3000*J21</f>
        <v>0</v>
      </c>
      <c r="R21" s="210">
        <f t="shared" si="22"/>
        <v>0</v>
      </c>
      <c r="S21" s="210">
        <f t="shared" si="22"/>
        <v>0</v>
      </c>
      <c r="T21" s="210">
        <f t="shared" si="22"/>
        <v>0</v>
      </c>
      <c r="U21" s="210">
        <f t="shared" si="22"/>
        <v>0</v>
      </c>
      <c r="V21" s="210">
        <f t="shared" si="22"/>
        <v>0</v>
      </c>
      <c r="W21" s="210">
        <f t="shared" si="3"/>
        <v>0</v>
      </c>
      <c r="X21" s="204">
        <f t="shared" si="4"/>
        <v>0</v>
      </c>
      <c r="Y21" s="205">
        <f t="shared" si="5"/>
        <v>0</v>
      </c>
      <c r="Z21" s="86" t="s">
        <v>1790</v>
      </c>
      <c r="AA21" s="110"/>
      <c r="AB21" s="47"/>
      <c r="AC21" s="47"/>
      <c r="AD21" s="47"/>
      <c r="AE21" s="47"/>
      <c r="AF21" s="47"/>
    </row>
    <row r="22" ht="15.0" customHeight="1">
      <c r="A22" s="206">
        <v>20.0</v>
      </c>
      <c r="B22" s="207"/>
      <c r="C22" s="208" t="s">
        <v>1788</v>
      </c>
      <c r="D22" s="208" t="s">
        <v>1791</v>
      </c>
      <c r="E22" s="208" t="s">
        <v>1792</v>
      </c>
      <c r="F22" s="209" t="s">
        <v>327</v>
      </c>
      <c r="G22" s="206">
        <v>3.0</v>
      </c>
      <c r="H22" s="206">
        <v>3.0</v>
      </c>
      <c r="I22" s="206">
        <f>COUNTIFS('2_Data_Pelanggan'!$H:$H,$F22,'2_Data_Pelanggan'!$I:$I,$G22,'2_Data_Pelanggan'!$J:$J,$H22,'2_Data_Pelanggan'!$S:$S,"&gt;="&amp;DATE(2026,6,1),'2_Data_Pelanggan'!$S:$S,"&lt;"&amp;DATE(2026,7,1))</f>
        <v>0</v>
      </c>
      <c r="J22" s="206">
        <f>COUNTIFS('2_Data_Pelanggan'!$H:$H,$F22,'2_Data_Pelanggan'!$I:$I,$G22,'2_Data_Pelanggan'!$J:$J,$H22,'2_Data_Pelanggan'!$S:$S,"&gt;="&amp;DATE(2026,7,1),'2_Data_Pelanggan'!$S:$S,"&lt;"&amp;DATE(2026,8,1))</f>
        <v>0</v>
      </c>
      <c r="K22" s="206">
        <f>COUNTIFS('2_Data_Pelanggan'!$H:$H,$F22,'2_Data_Pelanggan'!$I:$I,$G22,'2_Data_Pelanggan'!$J:$J,$H22,'2_Data_Pelanggan'!$S:$S,"&gt;="&amp;DATE(2026,8,1),'2_Data_Pelanggan'!$S:$S,"&lt;"&amp;DATE(2026,9,1))</f>
        <v>0</v>
      </c>
      <c r="L22" s="210">
        <f>COUNTIFS('2_Data_Pelanggan'!$H:$H,$F22,'2_Data_Pelanggan'!$I:$I,$G22,'2_Data_Pelanggan'!$J:$J,$H22,'2_Data_Pelanggan'!$S:$S,"&gt;="&amp;DATE(2026,9,1),'2_Data_Pelanggan'!$S:$S,"&lt;"&amp;DATE(2026,10,1))</f>
        <v>0</v>
      </c>
      <c r="M22" s="210">
        <f>COUNTIFS('2_Data_Pelanggan'!$H:$H,$F22,'2_Data_Pelanggan'!$I:$I,$G22,'2_Data_Pelanggan'!$J:$J,$H22,'2_Data_Pelanggan'!$S:$S,"&gt;="&amp;DATE(2026,10,1),'2_Data_Pelanggan'!$S:$S,"&lt;"&amp;DATE(2026,11,1))</f>
        <v>0</v>
      </c>
      <c r="N22" s="210">
        <f>COUNTIFS('2_Data_Pelanggan'!$H:$H,$F22,'2_Data_Pelanggan'!$I:$I,$G22,'2_Data_Pelanggan'!$J:$J,$H22,'2_Data_Pelanggan'!$S:$S,"&gt;="&amp;DATE(2026,11,1),'2_Data_Pelanggan'!$S:$S,"&lt;"&amp;DATE(2026,12,1))</f>
        <v>0</v>
      </c>
      <c r="O22" s="210">
        <f>COUNTIFS('2_Data_Pelanggan'!$H:$H,$F22,'2_Data_Pelanggan'!$I:$I,$G22,'2_Data_Pelanggan'!$J:$J,$H22,'2_Data_Pelanggan'!$S:$S,"&gt;="&amp;DATE(2026,12,1),'2_Data_Pelanggan'!$S:$S,"&lt;"&amp;DATE(2026,1,1))</f>
        <v>0</v>
      </c>
      <c r="P22" s="210">
        <f t="shared" si="1"/>
        <v>0</v>
      </c>
      <c r="Q22" s="210">
        <f t="shared" ref="Q22:V22" si="23">3000*J22</f>
        <v>0</v>
      </c>
      <c r="R22" s="210">
        <f t="shared" si="23"/>
        <v>0</v>
      </c>
      <c r="S22" s="210">
        <f t="shared" si="23"/>
        <v>0</v>
      </c>
      <c r="T22" s="210">
        <f t="shared" si="23"/>
        <v>0</v>
      </c>
      <c r="U22" s="210">
        <f t="shared" si="23"/>
        <v>0</v>
      </c>
      <c r="V22" s="210">
        <f t="shared" si="23"/>
        <v>0</v>
      </c>
      <c r="W22" s="210">
        <f t="shared" si="3"/>
        <v>0</v>
      </c>
      <c r="X22" s="204">
        <f t="shared" si="4"/>
        <v>0</v>
      </c>
      <c r="Y22" s="205">
        <f t="shared" si="5"/>
        <v>0</v>
      </c>
      <c r="Z22" s="86" t="s">
        <v>1790</v>
      </c>
      <c r="AA22" s="110"/>
      <c r="AB22" s="47"/>
      <c r="AC22" s="47"/>
      <c r="AD22" s="47"/>
      <c r="AE22" s="47"/>
      <c r="AF22" s="47"/>
    </row>
    <row r="23" ht="15.0" customHeight="1">
      <c r="A23" s="206">
        <v>21.0</v>
      </c>
      <c r="B23" s="207"/>
      <c r="C23" s="208" t="s">
        <v>1788</v>
      </c>
      <c r="D23" s="208" t="s">
        <v>1791</v>
      </c>
      <c r="E23" s="208" t="s">
        <v>1792</v>
      </c>
      <c r="F23" s="209" t="s">
        <v>327</v>
      </c>
      <c r="G23" s="206">
        <v>3.0</v>
      </c>
      <c r="H23" s="206">
        <v>4.0</v>
      </c>
      <c r="I23" s="206">
        <f>COUNTIFS('2_Data_Pelanggan'!$H:$H,$F23,'2_Data_Pelanggan'!$I:$I,$G23,'2_Data_Pelanggan'!$J:$J,$H23,'2_Data_Pelanggan'!$S:$S,"&gt;="&amp;DATE(2026,6,1),'2_Data_Pelanggan'!$S:$S,"&lt;"&amp;DATE(2026,7,1))</f>
        <v>0</v>
      </c>
      <c r="J23" s="206">
        <f>COUNTIFS('2_Data_Pelanggan'!$H:$H,$F23,'2_Data_Pelanggan'!$I:$I,$G23,'2_Data_Pelanggan'!$J:$J,$H23,'2_Data_Pelanggan'!$S:$S,"&gt;="&amp;DATE(2026,7,1),'2_Data_Pelanggan'!$S:$S,"&lt;"&amp;DATE(2026,8,1))</f>
        <v>0</v>
      </c>
      <c r="K23" s="206">
        <f>COUNTIFS('2_Data_Pelanggan'!$H:$H,$F23,'2_Data_Pelanggan'!$I:$I,$G23,'2_Data_Pelanggan'!$J:$J,$H23,'2_Data_Pelanggan'!$S:$S,"&gt;="&amp;DATE(2026,8,1),'2_Data_Pelanggan'!$S:$S,"&lt;"&amp;DATE(2026,9,1))</f>
        <v>0</v>
      </c>
      <c r="L23" s="210">
        <f>COUNTIFS('2_Data_Pelanggan'!$H:$H,$F23,'2_Data_Pelanggan'!$I:$I,$G23,'2_Data_Pelanggan'!$J:$J,$H23,'2_Data_Pelanggan'!$S:$S,"&gt;="&amp;DATE(2026,9,1),'2_Data_Pelanggan'!$S:$S,"&lt;"&amp;DATE(2026,10,1))</f>
        <v>0</v>
      </c>
      <c r="M23" s="210">
        <f>COUNTIFS('2_Data_Pelanggan'!$H:$H,$F23,'2_Data_Pelanggan'!$I:$I,$G23,'2_Data_Pelanggan'!$J:$J,$H23,'2_Data_Pelanggan'!$S:$S,"&gt;="&amp;DATE(2026,10,1),'2_Data_Pelanggan'!$S:$S,"&lt;"&amp;DATE(2026,11,1))</f>
        <v>0</v>
      </c>
      <c r="N23" s="210">
        <f>COUNTIFS('2_Data_Pelanggan'!$H:$H,$F23,'2_Data_Pelanggan'!$I:$I,$G23,'2_Data_Pelanggan'!$J:$J,$H23,'2_Data_Pelanggan'!$S:$S,"&gt;="&amp;DATE(2026,11,1),'2_Data_Pelanggan'!$S:$S,"&lt;"&amp;DATE(2026,12,1))</f>
        <v>0</v>
      </c>
      <c r="O23" s="210">
        <f>COUNTIFS('2_Data_Pelanggan'!$H:$H,$F23,'2_Data_Pelanggan'!$I:$I,$G23,'2_Data_Pelanggan'!$J:$J,$H23,'2_Data_Pelanggan'!$S:$S,"&gt;="&amp;DATE(2026,12,1),'2_Data_Pelanggan'!$S:$S,"&lt;"&amp;DATE(2026,1,1))</f>
        <v>0</v>
      </c>
      <c r="P23" s="210">
        <f t="shared" si="1"/>
        <v>0</v>
      </c>
      <c r="Q23" s="210">
        <f t="shared" ref="Q23:V23" si="24">3000*J23</f>
        <v>0</v>
      </c>
      <c r="R23" s="210">
        <f t="shared" si="24"/>
        <v>0</v>
      </c>
      <c r="S23" s="210">
        <f t="shared" si="24"/>
        <v>0</v>
      </c>
      <c r="T23" s="210">
        <f t="shared" si="24"/>
        <v>0</v>
      </c>
      <c r="U23" s="210">
        <f t="shared" si="24"/>
        <v>0</v>
      </c>
      <c r="V23" s="210">
        <f t="shared" si="24"/>
        <v>0</v>
      </c>
      <c r="W23" s="210">
        <f t="shared" si="3"/>
        <v>0</v>
      </c>
      <c r="X23" s="204">
        <f t="shared" si="4"/>
        <v>0</v>
      </c>
      <c r="Y23" s="205">
        <f t="shared" si="5"/>
        <v>0</v>
      </c>
      <c r="Z23" s="86" t="s">
        <v>1790</v>
      </c>
      <c r="AA23" s="110"/>
      <c r="AB23" s="47"/>
      <c r="AC23" s="47"/>
      <c r="AD23" s="47"/>
      <c r="AE23" s="47"/>
      <c r="AF23" s="47"/>
    </row>
    <row r="24" ht="15.0" customHeight="1">
      <c r="A24" s="206">
        <v>22.0</v>
      </c>
      <c r="B24" s="207"/>
      <c r="C24" s="208" t="s">
        <v>1788</v>
      </c>
      <c r="D24" s="208" t="s">
        <v>1791</v>
      </c>
      <c r="E24" s="208" t="s">
        <v>1792</v>
      </c>
      <c r="F24" s="209" t="s">
        <v>327</v>
      </c>
      <c r="G24" s="206">
        <v>3.0</v>
      </c>
      <c r="H24" s="206">
        <v>5.0</v>
      </c>
      <c r="I24" s="206">
        <f>COUNTIFS('2_Data_Pelanggan'!$H:$H,$F24,'2_Data_Pelanggan'!$I:$I,$G24,'2_Data_Pelanggan'!$J:$J,$H24,'2_Data_Pelanggan'!$S:$S,"&gt;="&amp;DATE(2026,6,1),'2_Data_Pelanggan'!$S:$S,"&lt;"&amp;DATE(2026,7,1))</f>
        <v>1</v>
      </c>
      <c r="J24" s="206">
        <f>COUNTIFS('2_Data_Pelanggan'!$H:$H,$F24,'2_Data_Pelanggan'!$I:$I,$G24,'2_Data_Pelanggan'!$J:$J,$H24,'2_Data_Pelanggan'!$S:$S,"&gt;="&amp;DATE(2026,7,1),'2_Data_Pelanggan'!$S:$S,"&lt;"&amp;DATE(2026,8,1))</f>
        <v>1</v>
      </c>
      <c r="K24" s="206">
        <f>COUNTIFS('2_Data_Pelanggan'!$H:$H,$F24,'2_Data_Pelanggan'!$I:$I,$G24,'2_Data_Pelanggan'!$J:$J,$H24,'2_Data_Pelanggan'!$S:$S,"&gt;="&amp;DATE(2026,8,1),'2_Data_Pelanggan'!$S:$S,"&lt;"&amp;DATE(2026,9,1))</f>
        <v>0</v>
      </c>
      <c r="L24" s="210">
        <f>COUNTIFS('2_Data_Pelanggan'!$H:$H,$F24,'2_Data_Pelanggan'!$I:$I,$G24,'2_Data_Pelanggan'!$J:$J,$H24,'2_Data_Pelanggan'!$S:$S,"&gt;="&amp;DATE(2026,9,1),'2_Data_Pelanggan'!$S:$S,"&lt;"&amp;DATE(2026,10,1))</f>
        <v>0</v>
      </c>
      <c r="M24" s="210">
        <f>COUNTIFS('2_Data_Pelanggan'!$H:$H,$F24,'2_Data_Pelanggan'!$I:$I,$G24,'2_Data_Pelanggan'!$J:$J,$H24,'2_Data_Pelanggan'!$S:$S,"&gt;="&amp;DATE(2026,10,1),'2_Data_Pelanggan'!$S:$S,"&lt;"&amp;DATE(2026,11,1))</f>
        <v>0</v>
      </c>
      <c r="N24" s="210">
        <f>COUNTIFS('2_Data_Pelanggan'!$H:$H,$F24,'2_Data_Pelanggan'!$I:$I,$G24,'2_Data_Pelanggan'!$J:$J,$H24,'2_Data_Pelanggan'!$S:$S,"&gt;="&amp;DATE(2026,11,1),'2_Data_Pelanggan'!$S:$S,"&lt;"&amp;DATE(2026,12,1))</f>
        <v>0</v>
      </c>
      <c r="O24" s="210">
        <f>COUNTIFS('2_Data_Pelanggan'!$H:$H,$F24,'2_Data_Pelanggan'!$I:$I,$G24,'2_Data_Pelanggan'!$J:$J,$H24,'2_Data_Pelanggan'!$S:$S,"&gt;="&amp;DATE(2026,12,1),'2_Data_Pelanggan'!$S:$S,"&lt;"&amp;DATE(2026,1,1))</f>
        <v>0</v>
      </c>
      <c r="P24" s="210">
        <f t="shared" si="1"/>
        <v>3000</v>
      </c>
      <c r="Q24" s="210">
        <f t="shared" ref="Q24:V24" si="25">3000*J24</f>
        <v>3000</v>
      </c>
      <c r="R24" s="210">
        <f t="shared" si="25"/>
        <v>0</v>
      </c>
      <c r="S24" s="210">
        <f t="shared" si="25"/>
        <v>0</v>
      </c>
      <c r="T24" s="210">
        <f t="shared" si="25"/>
        <v>0</v>
      </c>
      <c r="U24" s="210">
        <f t="shared" si="25"/>
        <v>0</v>
      </c>
      <c r="V24" s="210">
        <f t="shared" si="25"/>
        <v>0</v>
      </c>
      <c r="W24" s="210">
        <f t="shared" si="3"/>
        <v>6000</v>
      </c>
      <c r="X24" s="204">
        <f t="shared" si="4"/>
        <v>2000</v>
      </c>
      <c r="Y24" s="205">
        <f t="shared" si="5"/>
        <v>4000</v>
      </c>
      <c r="Z24" s="86" t="s">
        <v>1790</v>
      </c>
      <c r="AA24" s="110"/>
      <c r="AB24" s="47"/>
      <c r="AC24" s="47"/>
      <c r="AD24" s="47"/>
      <c r="AE24" s="47"/>
      <c r="AF24" s="47"/>
    </row>
    <row r="25" ht="15.0" customHeight="1">
      <c r="A25" s="206">
        <v>23.0</v>
      </c>
      <c r="B25" s="207"/>
      <c r="C25" s="208" t="s">
        <v>1788</v>
      </c>
      <c r="D25" s="208" t="s">
        <v>1791</v>
      </c>
      <c r="E25" s="208" t="s">
        <v>1792</v>
      </c>
      <c r="F25" s="209" t="s">
        <v>327</v>
      </c>
      <c r="G25" s="206">
        <v>3.0</v>
      </c>
      <c r="H25" s="206">
        <v>6.0</v>
      </c>
      <c r="I25" s="206">
        <f>COUNTIFS('2_Data_Pelanggan'!$H:$H,$F25,'2_Data_Pelanggan'!$I:$I,$G25,'2_Data_Pelanggan'!$J:$J,$H25,'2_Data_Pelanggan'!$S:$S,"&gt;="&amp;DATE(2026,6,1),'2_Data_Pelanggan'!$S:$S,"&lt;"&amp;DATE(2026,7,1))</f>
        <v>0</v>
      </c>
      <c r="J25" s="206">
        <f>COUNTIFS('2_Data_Pelanggan'!$H:$H,$F25,'2_Data_Pelanggan'!$I:$I,$G25,'2_Data_Pelanggan'!$J:$J,$H25,'2_Data_Pelanggan'!$S:$S,"&gt;="&amp;DATE(2026,7,1),'2_Data_Pelanggan'!$S:$S,"&lt;"&amp;DATE(2026,8,1))</f>
        <v>0</v>
      </c>
      <c r="K25" s="206">
        <f>COUNTIFS('2_Data_Pelanggan'!$H:$H,$F25,'2_Data_Pelanggan'!$I:$I,$G25,'2_Data_Pelanggan'!$J:$J,$H25,'2_Data_Pelanggan'!$S:$S,"&gt;="&amp;DATE(2026,8,1),'2_Data_Pelanggan'!$S:$S,"&lt;"&amp;DATE(2026,9,1))</f>
        <v>0</v>
      </c>
      <c r="L25" s="210">
        <f>COUNTIFS('2_Data_Pelanggan'!$H:$H,$F25,'2_Data_Pelanggan'!$I:$I,$G25,'2_Data_Pelanggan'!$J:$J,$H25,'2_Data_Pelanggan'!$S:$S,"&gt;="&amp;DATE(2026,9,1),'2_Data_Pelanggan'!$S:$S,"&lt;"&amp;DATE(2026,10,1))</f>
        <v>0</v>
      </c>
      <c r="M25" s="210">
        <f>COUNTIFS('2_Data_Pelanggan'!$H:$H,$F25,'2_Data_Pelanggan'!$I:$I,$G25,'2_Data_Pelanggan'!$J:$J,$H25,'2_Data_Pelanggan'!$S:$S,"&gt;="&amp;DATE(2026,10,1),'2_Data_Pelanggan'!$S:$S,"&lt;"&amp;DATE(2026,11,1))</f>
        <v>0</v>
      </c>
      <c r="N25" s="210">
        <f>COUNTIFS('2_Data_Pelanggan'!$H:$H,$F25,'2_Data_Pelanggan'!$I:$I,$G25,'2_Data_Pelanggan'!$J:$J,$H25,'2_Data_Pelanggan'!$S:$S,"&gt;="&amp;DATE(2026,11,1),'2_Data_Pelanggan'!$S:$S,"&lt;"&amp;DATE(2026,12,1))</f>
        <v>0</v>
      </c>
      <c r="O25" s="210">
        <f>COUNTIFS('2_Data_Pelanggan'!$H:$H,$F25,'2_Data_Pelanggan'!$I:$I,$G25,'2_Data_Pelanggan'!$J:$J,$H25,'2_Data_Pelanggan'!$S:$S,"&gt;="&amp;DATE(2026,12,1),'2_Data_Pelanggan'!$S:$S,"&lt;"&amp;DATE(2026,1,1))</f>
        <v>0</v>
      </c>
      <c r="P25" s="210">
        <f t="shared" si="1"/>
        <v>0</v>
      </c>
      <c r="Q25" s="210">
        <f t="shared" ref="Q25:V25" si="26">3000*J25</f>
        <v>0</v>
      </c>
      <c r="R25" s="210">
        <f t="shared" si="26"/>
        <v>0</v>
      </c>
      <c r="S25" s="210">
        <f t="shared" si="26"/>
        <v>0</v>
      </c>
      <c r="T25" s="210">
        <f t="shared" si="26"/>
        <v>0</v>
      </c>
      <c r="U25" s="210">
        <f t="shared" si="26"/>
        <v>0</v>
      </c>
      <c r="V25" s="210">
        <f t="shared" si="26"/>
        <v>0</v>
      </c>
      <c r="W25" s="210">
        <f t="shared" si="3"/>
        <v>0</v>
      </c>
      <c r="X25" s="204">
        <f t="shared" si="4"/>
        <v>0</v>
      </c>
      <c r="Y25" s="205">
        <f t="shared" si="5"/>
        <v>0</v>
      </c>
      <c r="Z25" s="86" t="s">
        <v>1790</v>
      </c>
      <c r="AA25" s="110"/>
      <c r="AB25" s="47"/>
      <c r="AC25" s="47"/>
      <c r="AD25" s="47"/>
      <c r="AE25" s="47"/>
      <c r="AF25" s="47"/>
    </row>
    <row r="26" ht="15.0" customHeight="1">
      <c r="A26" s="206">
        <v>24.0</v>
      </c>
      <c r="B26" s="207"/>
      <c r="C26" s="208" t="s">
        <v>1788</v>
      </c>
      <c r="D26" s="208" t="s">
        <v>1791</v>
      </c>
      <c r="E26" s="208" t="s">
        <v>1792</v>
      </c>
      <c r="F26" s="209" t="s">
        <v>327</v>
      </c>
      <c r="G26" s="206">
        <v>3.0</v>
      </c>
      <c r="H26" s="206">
        <v>7.0</v>
      </c>
      <c r="I26" s="206">
        <f>COUNTIFS('2_Data_Pelanggan'!$H:$H,$F26,'2_Data_Pelanggan'!$I:$I,$G26,'2_Data_Pelanggan'!$J:$J,$H26,'2_Data_Pelanggan'!$S:$S,"&gt;="&amp;DATE(2026,6,1),'2_Data_Pelanggan'!$S:$S,"&lt;"&amp;DATE(2026,7,1))</f>
        <v>0</v>
      </c>
      <c r="J26" s="206">
        <f>COUNTIFS('2_Data_Pelanggan'!$H:$H,$F26,'2_Data_Pelanggan'!$I:$I,$G26,'2_Data_Pelanggan'!$J:$J,$H26,'2_Data_Pelanggan'!$S:$S,"&gt;="&amp;DATE(2026,7,1),'2_Data_Pelanggan'!$S:$S,"&lt;"&amp;DATE(2026,8,1))</f>
        <v>0</v>
      </c>
      <c r="K26" s="206">
        <f>COUNTIFS('2_Data_Pelanggan'!$H:$H,$F26,'2_Data_Pelanggan'!$I:$I,$G26,'2_Data_Pelanggan'!$J:$J,$H26,'2_Data_Pelanggan'!$S:$S,"&gt;="&amp;DATE(2026,8,1),'2_Data_Pelanggan'!$S:$S,"&lt;"&amp;DATE(2026,9,1))</f>
        <v>0</v>
      </c>
      <c r="L26" s="210">
        <f>COUNTIFS('2_Data_Pelanggan'!$H:$H,$F26,'2_Data_Pelanggan'!$I:$I,$G26,'2_Data_Pelanggan'!$J:$J,$H26,'2_Data_Pelanggan'!$S:$S,"&gt;="&amp;DATE(2026,9,1),'2_Data_Pelanggan'!$S:$S,"&lt;"&amp;DATE(2026,10,1))</f>
        <v>0</v>
      </c>
      <c r="M26" s="210">
        <f>COUNTIFS('2_Data_Pelanggan'!$H:$H,$F26,'2_Data_Pelanggan'!$I:$I,$G26,'2_Data_Pelanggan'!$J:$J,$H26,'2_Data_Pelanggan'!$S:$S,"&gt;="&amp;DATE(2026,10,1),'2_Data_Pelanggan'!$S:$S,"&lt;"&amp;DATE(2026,11,1))</f>
        <v>0</v>
      </c>
      <c r="N26" s="210">
        <f>COUNTIFS('2_Data_Pelanggan'!$H:$H,$F26,'2_Data_Pelanggan'!$I:$I,$G26,'2_Data_Pelanggan'!$J:$J,$H26,'2_Data_Pelanggan'!$S:$S,"&gt;="&amp;DATE(2026,11,1),'2_Data_Pelanggan'!$S:$S,"&lt;"&amp;DATE(2026,12,1))</f>
        <v>0</v>
      </c>
      <c r="O26" s="210">
        <f>COUNTIFS('2_Data_Pelanggan'!$H:$H,$F26,'2_Data_Pelanggan'!$I:$I,$G26,'2_Data_Pelanggan'!$J:$J,$H26,'2_Data_Pelanggan'!$S:$S,"&gt;="&amp;DATE(2026,12,1),'2_Data_Pelanggan'!$S:$S,"&lt;"&amp;DATE(2026,1,1))</f>
        <v>0</v>
      </c>
      <c r="P26" s="210">
        <f t="shared" si="1"/>
        <v>0</v>
      </c>
      <c r="Q26" s="210">
        <f t="shared" ref="Q26:V26" si="27">3000*J26</f>
        <v>0</v>
      </c>
      <c r="R26" s="210">
        <f t="shared" si="27"/>
        <v>0</v>
      </c>
      <c r="S26" s="210">
        <f t="shared" si="27"/>
        <v>0</v>
      </c>
      <c r="T26" s="210">
        <f t="shared" si="27"/>
        <v>0</v>
      </c>
      <c r="U26" s="210">
        <f t="shared" si="27"/>
        <v>0</v>
      </c>
      <c r="V26" s="210">
        <f t="shared" si="27"/>
        <v>0</v>
      </c>
      <c r="W26" s="210">
        <f t="shared" si="3"/>
        <v>0</v>
      </c>
      <c r="X26" s="204">
        <f t="shared" si="4"/>
        <v>0</v>
      </c>
      <c r="Y26" s="205">
        <f t="shared" si="5"/>
        <v>0</v>
      </c>
      <c r="Z26" s="86" t="s">
        <v>1790</v>
      </c>
      <c r="AA26" s="110"/>
      <c r="AB26" s="47"/>
      <c r="AC26" s="47"/>
      <c r="AD26" s="47"/>
      <c r="AE26" s="47"/>
      <c r="AF26" s="47"/>
    </row>
    <row r="27" ht="15.0" customHeight="1">
      <c r="A27" s="206">
        <v>25.0</v>
      </c>
      <c r="B27" s="207"/>
      <c r="C27" s="208" t="s">
        <v>1788</v>
      </c>
      <c r="D27" s="208" t="s">
        <v>1791</v>
      </c>
      <c r="E27" s="208" t="s">
        <v>1792</v>
      </c>
      <c r="F27" s="209" t="s">
        <v>327</v>
      </c>
      <c r="G27" s="206">
        <v>3.0</v>
      </c>
      <c r="H27" s="206">
        <v>8.0</v>
      </c>
      <c r="I27" s="206">
        <f>COUNTIFS('2_Data_Pelanggan'!$H:$H,$F27,'2_Data_Pelanggan'!$I:$I,$G27,'2_Data_Pelanggan'!$J:$J,$H27,'2_Data_Pelanggan'!$S:$S,"&gt;="&amp;DATE(2026,6,1),'2_Data_Pelanggan'!$S:$S,"&lt;"&amp;DATE(2026,7,1))</f>
        <v>0</v>
      </c>
      <c r="J27" s="206">
        <f>COUNTIFS('2_Data_Pelanggan'!$H:$H,$F27,'2_Data_Pelanggan'!$I:$I,$G27,'2_Data_Pelanggan'!$J:$J,$H27,'2_Data_Pelanggan'!$S:$S,"&gt;="&amp;DATE(2026,7,1),'2_Data_Pelanggan'!$S:$S,"&lt;"&amp;DATE(2026,8,1))</f>
        <v>0</v>
      </c>
      <c r="K27" s="206">
        <f>COUNTIFS('2_Data_Pelanggan'!$H:$H,$F27,'2_Data_Pelanggan'!$I:$I,$G27,'2_Data_Pelanggan'!$J:$J,$H27,'2_Data_Pelanggan'!$S:$S,"&gt;="&amp;DATE(2026,8,1),'2_Data_Pelanggan'!$S:$S,"&lt;"&amp;DATE(2026,9,1))</f>
        <v>0</v>
      </c>
      <c r="L27" s="210">
        <f>COUNTIFS('2_Data_Pelanggan'!$H:$H,$F27,'2_Data_Pelanggan'!$I:$I,$G27,'2_Data_Pelanggan'!$J:$J,$H27,'2_Data_Pelanggan'!$S:$S,"&gt;="&amp;DATE(2026,9,1),'2_Data_Pelanggan'!$S:$S,"&lt;"&amp;DATE(2026,10,1))</f>
        <v>0</v>
      </c>
      <c r="M27" s="210">
        <f>COUNTIFS('2_Data_Pelanggan'!$H:$H,$F27,'2_Data_Pelanggan'!$I:$I,$G27,'2_Data_Pelanggan'!$J:$J,$H27,'2_Data_Pelanggan'!$S:$S,"&gt;="&amp;DATE(2026,10,1),'2_Data_Pelanggan'!$S:$S,"&lt;"&amp;DATE(2026,11,1))</f>
        <v>0</v>
      </c>
      <c r="N27" s="210">
        <f>COUNTIFS('2_Data_Pelanggan'!$H:$H,$F27,'2_Data_Pelanggan'!$I:$I,$G27,'2_Data_Pelanggan'!$J:$J,$H27,'2_Data_Pelanggan'!$S:$S,"&gt;="&amp;DATE(2026,11,1),'2_Data_Pelanggan'!$S:$S,"&lt;"&amp;DATE(2026,12,1))</f>
        <v>0</v>
      </c>
      <c r="O27" s="210">
        <f>COUNTIFS('2_Data_Pelanggan'!$H:$H,$F27,'2_Data_Pelanggan'!$I:$I,$G27,'2_Data_Pelanggan'!$J:$J,$H27,'2_Data_Pelanggan'!$S:$S,"&gt;="&amp;DATE(2026,12,1),'2_Data_Pelanggan'!$S:$S,"&lt;"&amp;DATE(2026,1,1))</f>
        <v>0</v>
      </c>
      <c r="P27" s="210">
        <f t="shared" si="1"/>
        <v>0</v>
      </c>
      <c r="Q27" s="210">
        <f t="shared" ref="Q27:V27" si="28">3000*J27</f>
        <v>0</v>
      </c>
      <c r="R27" s="210">
        <f t="shared" si="28"/>
        <v>0</v>
      </c>
      <c r="S27" s="210">
        <f t="shared" si="28"/>
        <v>0</v>
      </c>
      <c r="T27" s="210">
        <f t="shared" si="28"/>
        <v>0</v>
      </c>
      <c r="U27" s="210">
        <f t="shared" si="28"/>
        <v>0</v>
      </c>
      <c r="V27" s="210">
        <f t="shared" si="28"/>
        <v>0</v>
      </c>
      <c r="W27" s="210">
        <f t="shared" si="3"/>
        <v>0</v>
      </c>
      <c r="X27" s="204">
        <f t="shared" si="4"/>
        <v>0</v>
      </c>
      <c r="Y27" s="205">
        <f t="shared" si="5"/>
        <v>0</v>
      </c>
      <c r="Z27" s="86" t="s">
        <v>1790</v>
      </c>
      <c r="AA27" s="110"/>
      <c r="AB27" s="47"/>
      <c r="AC27" s="47"/>
      <c r="AD27" s="47"/>
      <c r="AE27" s="47"/>
      <c r="AF27" s="47"/>
    </row>
    <row r="28" ht="15.0" customHeight="1">
      <c r="A28" s="206">
        <v>26.0</v>
      </c>
      <c r="B28" s="207"/>
      <c r="C28" s="208" t="s">
        <v>1788</v>
      </c>
      <c r="D28" s="208" t="s">
        <v>1791</v>
      </c>
      <c r="E28" s="208" t="s">
        <v>1792</v>
      </c>
      <c r="F28" s="209" t="s">
        <v>327</v>
      </c>
      <c r="G28" s="206">
        <v>4.0</v>
      </c>
      <c r="H28" s="206">
        <v>1.0</v>
      </c>
      <c r="I28" s="206">
        <f>COUNTIFS('2_Data_Pelanggan'!$H:$H,$F28,'2_Data_Pelanggan'!$I:$I,$G28,'2_Data_Pelanggan'!$J:$J,$H28,'2_Data_Pelanggan'!$S:$S,"&gt;="&amp;DATE(2026,6,1),'2_Data_Pelanggan'!$S:$S,"&lt;"&amp;DATE(2026,7,1))</f>
        <v>0</v>
      </c>
      <c r="J28" s="206">
        <f>COUNTIFS('2_Data_Pelanggan'!$H:$H,$F28,'2_Data_Pelanggan'!$I:$I,$G28,'2_Data_Pelanggan'!$J:$J,$H28,'2_Data_Pelanggan'!$S:$S,"&gt;="&amp;DATE(2026,7,1),'2_Data_Pelanggan'!$S:$S,"&lt;"&amp;DATE(2026,8,1))</f>
        <v>0</v>
      </c>
      <c r="K28" s="206">
        <f>COUNTIFS('2_Data_Pelanggan'!$H:$H,$F28,'2_Data_Pelanggan'!$I:$I,$G28,'2_Data_Pelanggan'!$J:$J,$H28,'2_Data_Pelanggan'!$S:$S,"&gt;="&amp;DATE(2026,8,1),'2_Data_Pelanggan'!$S:$S,"&lt;"&amp;DATE(2026,9,1))</f>
        <v>0</v>
      </c>
      <c r="L28" s="210">
        <f>COUNTIFS('2_Data_Pelanggan'!$H:$H,$F28,'2_Data_Pelanggan'!$I:$I,$G28,'2_Data_Pelanggan'!$J:$J,$H28,'2_Data_Pelanggan'!$S:$S,"&gt;="&amp;DATE(2026,9,1),'2_Data_Pelanggan'!$S:$S,"&lt;"&amp;DATE(2026,10,1))</f>
        <v>0</v>
      </c>
      <c r="M28" s="210">
        <f>COUNTIFS('2_Data_Pelanggan'!$H:$H,$F28,'2_Data_Pelanggan'!$I:$I,$G28,'2_Data_Pelanggan'!$J:$J,$H28,'2_Data_Pelanggan'!$S:$S,"&gt;="&amp;DATE(2026,10,1),'2_Data_Pelanggan'!$S:$S,"&lt;"&amp;DATE(2026,11,1))</f>
        <v>0</v>
      </c>
      <c r="N28" s="210">
        <f>COUNTIFS('2_Data_Pelanggan'!$H:$H,$F28,'2_Data_Pelanggan'!$I:$I,$G28,'2_Data_Pelanggan'!$J:$J,$H28,'2_Data_Pelanggan'!$S:$S,"&gt;="&amp;DATE(2026,11,1),'2_Data_Pelanggan'!$S:$S,"&lt;"&amp;DATE(2026,12,1))</f>
        <v>0</v>
      </c>
      <c r="O28" s="210">
        <f>COUNTIFS('2_Data_Pelanggan'!$H:$H,$F28,'2_Data_Pelanggan'!$I:$I,$G28,'2_Data_Pelanggan'!$J:$J,$H28,'2_Data_Pelanggan'!$S:$S,"&gt;="&amp;DATE(2026,12,1),'2_Data_Pelanggan'!$S:$S,"&lt;"&amp;DATE(2026,1,1))</f>
        <v>0</v>
      </c>
      <c r="P28" s="210">
        <f t="shared" si="1"/>
        <v>0</v>
      </c>
      <c r="Q28" s="210">
        <f t="shared" ref="Q28:V28" si="29">3000*J28</f>
        <v>0</v>
      </c>
      <c r="R28" s="210">
        <f t="shared" si="29"/>
        <v>0</v>
      </c>
      <c r="S28" s="210">
        <f t="shared" si="29"/>
        <v>0</v>
      </c>
      <c r="T28" s="210">
        <f t="shared" si="29"/>
        <v>0</v>
      </c>
      <c r="U28" s="210">
        <f t="shared" si="29"/>
        <v>0</v>
      </c>
      <c r="V28" s="210">
        <f t="shared" si="29"/>
        <v>0</v>
      </c>
      <c r="W28" s="210">
        <f t="shared" si="3"/>
        <v>0</v>
      </c>
      <c r="X28" s="204">
        <f t="shared" si="4"/>
        <v>0</v>
      </c>
      <c r="Y28" s="205">
        <f t="shared" si="5"/>
        <v>0</v>
      </c>
      <c r="Z28" s="86" t="s">
        <v>1790</v>
      </c>
      <c r="AA28" s="110"/>
      <c r="AB28" s="47"/>
      <c r="AC28" s="47"/>
      <c r="AD28" s="47"/>
      <c r="AE28" s="47"/>
      <c r="AF28" s="47"/>
    </row>
    <row r="29" ht="15.0" customHeight="1">
      <c r="A29" s="206">
        <v>27.0</v>
      </c>
      <c r="B29" s="207"/>
      <c r="C29" s="208" t="s">
        <v>1788</v>
      </c>
      <c r="D29" s="208" t="s">
        <v>1791</v>
      </c>
      <c r="E29" s="208" t="s">
        <v>1792</v>
      </c>
      <c r="F29" s="209" t="s">
        <v>327</v>
      </c>
      <c r="G29" s="206">
        <v>4.0</v>
      </c>
      <c r="H29" s="206">
        <v>2.0</v>
      </c>
      <c r="I29" s="206">
        <f>COUNTIFS('2_Data_Pelanggan'!$H:$H,$F29,'2_Data_Pelanggan'!$I:$I,$G29,'2_Data_Pelanggan'!$J:$J,$H29,'2_Data_Pelanggan'!$S:$S,"&gt;="&amp;DATE(2026,6,1),'2_Data_Pelanggan'!$S:$S,"&lt;"&amp;DATE(2026,7,1))</f>
        <v>4</v>
      </c>
      <c r="J29" s="206">
        <f>COUNTIFS('2_Data_Pelanggan'!$H:$H,$F29,'2_Data_Pelanggan'!$I:$I,$G29,'2_Data_Pelanggan'!$J:$J,$H29,'2_Data_Pelanggan'!$S:$S,"&gt;="&amp;DATE(2026,7,1),'2_Data_Pelanggan'!$S:$S,"&lt;"&amp;DATE(2026,8,1))</f>
        <v>1</v>
      </c>
      <c r="K29" s="206">
        <f>COUNTIFS('2_Data_Pelanggan'!$H:$H,$F29,'2_Data_Pelanggan'!$I:$I,$G29,'2_Data_Pelanggan'!$J:$J,$H29,'2_Data_Pelanggan'!$S:$S,"&gt;="&amp;DATE(2026,8,1),'2_Data_Pelanggan'!$S:$S,"&lt;"&amp;DATE(2026,9,1))</f>
        <v>0</v>
      </c>
      <c r="L29" s="210">
        <f>COUNTIFS('2_Data_Pelanggan'!$H:$H,$F29,'2_Data_Pelanggan'!$I:$I,$G29,'2_Data_Pelanggan'!$J:$J,$H29,'2_Data_Pelanggan'!$S:$S,"&gt;="&amp;DATE(2026,9,1),'2_Data_Pelanggan'!$S:$S,"&lt;"&amp;DATE(2026,10,1))</f>
        <v>0</v>
      </c>
      <c r="M29" s="210">
        <f>COUNTIFS('2_Data_Pelanggan'!$H:$H,$F29,'2_Data_Pelanggan'!$I:$I,$G29,'2_Data_Pelanggan'!$J:$J,$H29,'2_Data_Pelanggan'!$S:$S,"&gt;="&amp;DATE(2026,10,1),'2_Data_Pelanggan'!$S:$S,"&lt;"&amp;DATE(2026,11,1))</f>
        <v>0</v>
      </c>
      <c r="N29" s="210">
        <f>COUNTIFS('2_Data_Pelanggan'!$H:$H,$F29,'2_Data_Pelanggan'!$I:$I,$G29,'2_Data_Pelanggan'!$J:$J,$H29,'2_Data_Pelanggan'!$S:$S,"&gt;="&amp;DATE(2026,11,1),'2_Data_Pelanggan'!$S:$S,"&lt;"&amp;DATE(2026,12,1))</f>
        <v>0</v>
      </c>
      <c r="O29" s="210">
        <f>COUNTIFS('2_Data_Pelanggan'!$H:$H,$F29,'2_Data_Pelanggan'!$I:$I,$G29,'2_Data_Pelanggan'!$J:$J,$H29,'2_Data_Pelanggan'!$S:$S,"&gt;="&amp;DATE(2026,12,1),'2_Data_Pelanggan'!$S:$S,"&lt;"&amp;DATE(2026,1,1))</f>
        <v>0</v>
      </c>
      <c r="P29" s="210">
        <f t="shared" si="1"/>
        <v>12000</v>
      </c>
      <c r="Q29" s="210">
        <f t="shared" ref="Q29:V29" si="30">3000*J29</f>
        <v>3000</v>
      </c>
      <c r="R29" s="210">
        <f t="shared" si="30"/>
        <v>0</v>
      </c>
      <c r="S29" s="210">
        <f t="shared" si="30"/>
        <v>0</v>
      </c>
      <c r="T29" s="210">
        <f t="shared" si="30"/>
        <v>0</v>
      </c>
      <c r="U29" s="210">
        <f t="shared" si="30"/>
        <v>0</v>
      </c>
      <c r="V29" s="210">
        <f t="shared" si="30"/>
        <v>0</v>
      </c>
      <c r="W29" s="210">
        <f t="shared" si="3"/>
        <v>15000</v>
      </c>
      <c r="X29" s="204">
        <f t="shared" si="4"/>
        <v>5000</v>
      </c>
      <c r="Y29" s="205">
        <f t="shared" si="5"/>
        <v>10000</v>
      </c>
      <c r="Z29" s="86" t="s">
        <v>1790</v>
      </c>
      <c r="AA29" s="110"/>
      <c r="AB29" s="47"/>
      <c r="AC29" s="47"/>
      <c r="AD29" s="47"/>
      <c r="AE29" s="47"/>
      <c r="AF29" s="47"/>
    </row>
    <row r="30" ht="15.0" customHeight="1">
      <c r="A30" s="206">
        <v>28.0</v>
      </c>
      <c r="B30" s="207"/>
      <c r="C30" s="208" t="s">
        <v>1788</v>
      </c>
      <c r="D30" s="208" t="s">
        <v>1791</v>
      </c>
      <c r="E30" s="208" t="s">
        <v>1792</v>
      </c>
      <c r="F30" s="209" t="s">
        <v>327</v>
      </c>
      <c r="G30" s="206">
        <v>4.0</v>
      </c>
      <c r="H30" s="206">
        <v>3.0</v>
      </c>
      <c r="I30" s="206">
        <f>COUNTIFS('2_Data_Pelanggan'!$H:$H,$F30,'2_Data_Pelanggan'!$I:$I,$G30,'2_Data_Pelanggan'!$J:$J,$H30,'2_Data_Pelanggan'!$S:$S,"&gt;="&amp;DATE(2026,6,1),'2_Data_Pelanggan'!$S:$S,"&lt;"&amp;DATE(2026,7,1))</f>
        <v>1</v>
      </c>
      <c r="J30" s="206">
        <f>COUNTIFS('2_Data_Pelanggan'!$H:$H,$F30,'2_Data_Pelanggan'!$I:$I,$G30,'2_Data_Pelanggan'!$J:$J,$H30,'2_Data_Pelanggan'!$S:$S,"&gt;="&amp;DATE(2026,7,1),'2_Data_Pelanggan'!$S:$S,"&lt;"&amp;DATE(2026,8,1))</f>
        <v>0</v>
      </c>
      <c r="K30" s="206">
        <f>COUNTIFS('2_Data_Pelanggan'!$H:$H,$F30,'2_Data_Pelanggan'!$I:$I,$G30,'2_Data_Pelanggan'!$J:$J,$H30,'2_Data_Pelanggan'!$S:$S,"&gt;="&amp;DATE(2026,8,1),'2_Data_Pelanggan'!$S:$S,"&lt;"&amp;DATE(2026,9,1))</f>
        <v>0</v>
      </c>
      <c r="L30" s="210">
        <f>COUNTIFS('2_Data_Pelanggan'!$H:$H,$F30,'2_Data_Pelanggan'!$I:$I,$G30,'2_Data_Pelanggan'!$J:$J,$H30,'2_Data_Pelanggan'!$S:$S,"&gt;="&amp;DATE(2026,9,1),'2_Data_Pelanggan'!$S:$S,"&lt;"&amp;DATE(2026,10,1))</f>
        <v>0</v>
      </c>
      <c r="M30" s="210">
        <f>COUNTIFS('2_Data_Pelanggan'!$H:$H,$F30,'2_Data_Pelanggan'!$I:$I,$G30,'2_Data_Pelanggan'!$J:$J,$H30,'2_Data_Pelanggan'!$S:$S,"&gt;="&amp;DATE(2026,10,1),'2_Data_Pelanggan'!$S:$S,"&lt;"&amp;DATE(2026,11,1))</f>
        <v>0</v>
      </c>
      <c r="N30" s="210">
        <f>COUNTIFS('2_Data_Pelanggan'!$H:$H,$F30,'2_Data_Pelanggan'!$I:$I,$G30,'2_Data_Pelanggan'!$J:$J,$H30,'2_Data_Pelanggan'!$S:$S,"&gt;="&amp;DATE(2026,11,1),'2_Data_Pelanggan'!$S:$S,"&lt;"&amp;DATE(2026,12,1))</f>
        <v>0</v>
      </c>
      <c r="O30" s="210">
        <f>COUNTIFS('2_Data_Pelanggan'!$H:$H,$F30,'2_Data_Pelanggan'!$I:$I,$G30,'2_Data_Pelanggan'!$J:$J,$H30,'2_Data_Pelanggan'!$S:$S,"&gt;="&amp;DATE(2026,12,1),'2_Data_Pelanggan'!$S:$S,"&lt;"&amp;DATE(2026,1,1))</f>
        <v>0</v>
      </c>
      <c r="P30" s="210">
        <f t="shared" si="1"/>
        <v>3000</v>
      </c>
      <c r="Q30" s="210">
        <f t="shared" ref="Q30:V30" si="31">3000*J30</f>
        <v>0</v>
      </c>
      <c r="R30" s="210">
        <f t="shared" si="31"/>
        <v>0</v>
      </c>
      <c r="S30" s="210">
        <f t="shared" si="31"/>
        <v>0</v>
      </c>
      <c r="T30" s="210">
        <f t="shared" si="31"/>
        <v>0</v>
      </c>
      <c r="U30" s="210">
        <f t="shared" si="31"/>
        <v>0</v>
      </c>
      <c r="V30" s="210">
        <f t="shared" si="31"/>
        <v>0</v>
      </c>
      <c r="W30" s="210">
        <f t="shared" si="3"/>
        <v>3000</v>
      </c>
      <c r="X30" s="204">
        <f t="shared" si="4"/>
        <v>1000</v>
      </c>
      <c r="Y30" s="205">
        <f t="shared" si="5"/>
        <v>2000</v>
      </c>
      <c r="Z30" s="86" t="s">
        <v>1790</v>
      </c>
      <c r="AA30" s="110"/>
      <c r="AB30" s="47"/>
      <c r="AC30" s="47"/>
      <c r="AD30" s="47"/>
      <c r="AE30" s="47"/>
      <c r="AF30" s="47"/>
    </row>
    <row r="31" ht="15.0" customHeight="1">
      <c r="A31" s="206">
        <v>29.0</v>
      </c>
      <c r="B31" s="207"/>
      <c r="C31" s="208" t="s">
        <v>1788</v>
      </c>
      <c r="D31" s="208" t="s">
        <v>1791</v>
      </c>
      <c r="E31" s="208" t="s">
        <v>1792</v>
      </c>
      <c r="F31" s="209" t="s">
        <v>327</v>
      </c>
      <c r="G31" s="206">
        <v>4.0</v>
      </c>
      <c r="H31" s="206">
        <v>4.0</v>
      </c>
      <c r="I31" s="206">
        <f>COUNTIFS('2_Data_Pelanggan'!$H:$H,$F31,'2_Data_Pelanggan'!$I:$I,$G31,'2_Data_Pelanggan'!$J:$J,$H31,'2_Data_Pelanggan'!$S:$S,"&gt;="&amp;DATE(2026,6,1),'2_Data_Pelanggan'!$S:$S,"&lt;"&amp;DATE(2026,7,1))</f>
        <v>1</v>
      </c>
      <c r="J31" s="206">
        <f>COUNTIFS('2_Data_Pelanggan'!$H:$H,$F31,'2_Data_Pelanggan'!$I:$I,$G31,'2_Data_Pelanggan'!$J:$J,$H31,'2_Data_Pelanggan'!$S:$S,"&gt;="&amp;DATE(2026,7,1),'2_Data_Pelanggan'!$S:$S,"&lt;"&amp;DATE(2026,8,1))</f>
        <v>0</v>
      </c>
      <c r="K31" s="206">
        <f>COUNTIFS('2_Data_Pelanggan'!$H:$H,$F31,'2_Data_Pelanggan'!$I:$I,$G31,'2_Data_Pelanggan'!$J:$J,$H31,'2_Data_Pelanggan'!$S:$S,"&gt;="&amp;DATE(2026,8,1),'2_Data_Pelanggan'!$S:$S,"&lt;"&amp;DATE(2026,9,1))</f>
        <v>0</v>
      </c>
      <c r="L31" s="210">
        <f>COUNTIFS('2_Data_Pelanggan'!$H:$H,$F31,'2_Data_Pelanggan'!$I:$I,$G31,'2_Data_Pelanggan'!$J:$J,$H31,'2_Data_Pelanggan'!$S:$S,"&gt;="&amp;DATE(2026,9,1),'2_Data_Pelanggan'!$S:$S,"&lt;"&amp;DATE(2026,10,1))</f>
        <v>0</v>
      </c>
      <c r="M31" s="210">
        <f>COUNTIFS('2_Data_Pelanggan'!$H:$H,$F31,'2_Data_Pelanggan'!$I:$I,$G31,'2_Data_Pelanggan'!$J:$J,$H31,'2_Data_Pelanggan'!$S:$S,"&gt;="&amp;DATE(2026,10,1),'2_Data_Pelanggan'!$S:$S,"&lt;"&amp;DATE(2026,11,1))</f>
        <v>0</v>
      </c>
      <c r="N31" s="210">
        <f>COUNTIFS('2_Data_Pelanggan'!$H:$H,$F31,'2_Data_Pelanggan'!$I:$I,$G31,'2_Data_Pelanggan'!$J:$J,$H31,'2_Data_Pelanggan'!$S:$S,"&gt;="&amp;DATE(2026,11,1),'2_Data_Pelanggan'!$S:$S,"&lt;"&amp;DATE(2026,12,1))</f>
        <v>0</v>
      </c>
      <c r="O31" s="210">
        <f>COUNTIFS('2_Data_Pelanggan'!$H:$H,$F31,'2_Data_Pelanggan'!$I:$I,$G31,'2_Data_Pelanggan'!$J:$J,$H31,'2_Data_Pelanggan'!$S:$S,"&gt;="&amp;DATE(2026,12,1),'2_Data_Pelanggan'!$S:$S,"&lt;"&amp;DATE(2026,1,1))</f>
        <v>0</v>
      </c>
      <c r="P31" s="210">
        <f t="shared" si="1"/>
        <v>3000</v>
      </c>
      <c r="Q31" s="210">
        <f t="shared" ref="Q31:V31" si="32">3000*J31</f>
        <v>0</v>
      </c>
      <c r="R31" s="210">
        <f t="shared" si="32"/>
        <v>0</v>
      </c>
      <c r="S31" s="210">
        <f t="shared" si="32"/>
        <v>0</v>
      </c>
      <c r="T31" s="210">
        <f t="shared" si="32"/>
        <v>0</v>
      </c>
      <c r="U31" s="210">
        <f t="shared" si="32"/>
        <v>0</v>
      </c>
      <c r="V31" s="210">
        <f t="shared" si="32"/>
        <v>0</v>
      </c>
      <c r="W31" s="210">
        <f t="shared" si="3"/>
        <v>3000</v>
      </c>
      <c r="X31" s="204">
        <f t="shared" si="4"/>
        <v>1000</v>
      </c>
      <c r="Y31" s="205">
        <f t="shared" si="5"/>
        <v>2000</v>
      </c>
      <c r="Z31" s="86" t="s">
        <v>1790</v>
      </c>
      <c r="AA31" s="110"/>
      <c r="AB31" s="47"/>
      <c r="AC31" s="47"/>
      <c r="AD31" s="47"/>
      <c r="AE31" s="47"/>
      <c r="AF31" s="47"/>
    </row>
    <row r="32" ht="15.0" customHeight="1">
      <c r="A32" s="206">
        <v>30.0</v>
      </c>
      <c r="B32" s="207"/>
      <c r="C32" s="208" t="s">
        <v>1788</v>
      </c>
      <c r="D32" s="208" t="s">
        <v>1791</v>
      </c>
      <c r="E32" s="208" t="s">
        <v>1792</v>
      </c>
      <c r="F32" s="209" t="s">
        <v>327</v>
      </c>
      <c r="G32" s="206">
        <v>4.0</v>
      </c>
      <c r="H32" s="206">
        <v>5.0</v>
      </c>
      <c r="I32" s="206">
        <f>COUNTIFS('2_Data_Pelanggan'!$H:$H,$F32,'2_Data_Pelanggan'!$I:$I,$G32,'2_Data_Pelanggan'!$J:$J,$H32,'2_Data_Pelanggan'!$S:$S,"&gt;="&amp;DATE(2026,6,1),'2_Data_Pelanggan'!$S:$S,"&lt;"&amp;DATE(2026,7,1))</f>
        <v>0</v>
      </c>
      <c r="J32" s="206">
        <f>COUNTIFS('2_Data_Pelanggan'!$H:$H,$F32,'2_Data_Pelanggan'!$I:$I,$G32,'2_Data_Pelanggan'!$J:$J,$H32,'2_Data_Pelanggan'!$S:$S,"&gt;="&amp;DATE(2026,7,1),'2_Data_Pelanggan'!$S:$S,"&lt;"&amp;DATE(2026,8,1))</f>
        <v>0</v>
      </c>
      <c r="K32" s="206">
        <f>COUNTIFS('2_Data_Pelanggan'!$H:$H,$F32,'2_Data_Pelanggan'!$I:$I,$G32,'2_Data_Pelanggan'!$J:$J,$H32,'2_Data_Pelanggan'!$S:$S,"&gt;="&amp;DATE(2026,8,1),'2_Data_Pelanggan'!$S:$S,"&lt;"&amp;DATE(2026,9,1))</f>
        <v>0</v>
      </c>
      <c r="L32" s="210">
        <f>COUNTIFS('2_Data_Pelanggan'!$H:$H,$F32,'2_Data_Pelanggan'!$I:$I,$G32,'2_Data_Pelanggan'!$J:$J,$H32,'2_Data_Pelanggan'!$S:$S,"&gt;="&amp;DATE(2026,9,1),'2_Data_Pelanggan'!$S:$S,"&lt;"&amp;DATE(2026,10,1))</f>
        <v>0</v>
      </c>
      <c r="M32" s="210">
        <f>COUNTIFS('2_Data_Pelanggan'!$H:$H,$F32,'2_Data_Pelanggan'!$I:$I,$G32,'2_Data_Pelanggan'!$J:$J,$H32,'2_Data_Pelanggan'!$S:$S,"&gt;="&amp;DATE(2026,10,1),'2_Data_Pelanggan'!$S:$S,"&lt;"&amp;DATE(2026,11,1))</f>
        <v>0</v>
      </c>
      <c r="N32" s="210">
        <f>COUNTIFS('2_Data_Pelanggan'!$H:$H,$F32,'2_Data_Pelanggan'!$I:$I,$G32,'2_Data_Pelanggan'!$J:$J,$H32,'2_Data_Pelanggan'!$S:$S,"&gt;="&amp;DATE(2026,11,1),'2_Data_Pelanggan'!$S:$S,"&lt;"&amp;DATE(2026,12,1))</f>
        <v>0</v>
      </c>
      <c r="O32" s="210">
        <f>COUNTIFS('2_Data_Pelanggan'!$H:$H,$F32,'2_Data_Pelanggan'!$I:$I,$G32,'2_Data_Pelanggan'!$J:$J,$H32,'2_Data_Pelanggan'!$S:$S,"&gt;="&amp;DATE(2026,12,1),'2_Data_Pelanggan'!$S:$S,"&lt;"&amp;DATE(2026,1,1))</f>
        <v>0</v>
      </c>
      <c r="P32" s="210">
        <f t="shared" si="1"/>
        <v>0</v>
      </c>
      <c r="Q32" s="210">
        <f t="shared" ref="Q32:V32" si="33">3000*J32</f>
        <v>0</v>
      </c>
      <c r="R32" s="210">
        <f t="shared" si="33"/>
        <v>0</v>
      </c>
      <c r="S32" s="210">
        <f t="shared" si="33"/>
        <v>0</v>
      </c>
      <c r="T32" s="210">
        <f t="shared" si="33"/>
        <v>0</v>
      </c>
      <c r="U32" s="210">
        <f t="shared" si="33"/>
        <v>0</v>
      </c>
      <c r="V32" s="210">
        <f t="shared" si="33"/>
        <v>0</v>
      </c>
      <c r="W32" s="210">
        <f t="shared" si="3"/>
        <v>0</v>
      </c>
      <c r="X32" s="204">
        <f t="shared" si="4"/>
        <v>0</v>
      </c>
      <c r="Y32" s="205">
        <f t="shared" si="5"/>
        <v>0</v>
      </c>
      <c r="Z32" s="86" t="s">
        <v>1790</v>
      </c>
      <c r="AA32" s="110"/>
      <c r="AB32" s="47"/>
      <c r="AC32" s="47"/>
      <c r="AD32" s="47"/>
      <c r="AE32" s="47"/>
      <c r="AF32" s="47"/>
    </row>
    <row r="33" ht="15.0" customHeight="1">
      <c r="A33" s="206">
        <v>31.0</v>
      </c>
      <c r="B33" s="207"/>
      <c r="C33" s="208" t="s">
        <v>1788</v>
      </c>
      <c r="D33" s="208" t="s">
        <v>1791</v>
      </c>
      <c r="E33" s="208" t="s">
        <v>1792</v>
      </c>
      <c r="F33" s="209" t="s">
        <v>327</v>
      </c>
      <c r="G33" s="206">
        <v>4.0</v>
      </c>
      <c r="H33" s="206">
        <v>6.0</v>
      </c>
      <c r="I33" s="206">
        <f>COUNTIFS('2_Data_Pelanggan'!$H:$H,$F33,'2_Data_Pelanggan'!$I:$I,$G33,'2_Data_Pelanggan'!$J:$J,$H33,'2_Data_Pelanggan'!$S:$S,"&gt;="&amp;DATE(2026,6,1),'2_Data_Pelanggan'!$S:$S,"&lt;"&amp;DATE(2026,7,1))</f>
        <v>0</v>
      </c>
      <c r="J33" s="206">
        <f>COUNTIFS('2_Data_Pelanggan'!$H:$H,$F33,'2_Data_Pelanggan'!$I:$I,$G33,'2_Data_Pelanggan'!$J:$J,$H33,'2_Data_Pelanggan'!$S:$S,"&gt;="&amp;DATE(2026,7,1),'2_Data_Pelanggan'!$S:$S,"&lt;"&amp;DATE(2026,8,1))</f>
        <v>1</v>
      </c>
      <c r="K33" s="206">
        <f>COUNTIFS('2_Data_Pelanggan'!$H:$H,$F33,'2_Data_Pelanggan'!$I:$I,$G33,'2_Data_Pelanggan'!$J:$J,$H33,'2_Data_Pelanggan'!$S:$S,"&gt;="&amp;DATE(2026,8,1),'2_Data_Pelanggan'!$S:$S,"&lt;"&amp;DATE(2026,9,1))</f>
        <v>0</v>
      </c>
      <c r="L33" s="210">
        <f>COUNTIFS('2_Data_Pelanggan'!$H:$H,$F33,'2_Data_Pelanggan'!$I:$I,$G33,'2_Data_Pelanggan'!$J:$J,$H33,'2_Data_Pelanggan'!$S:$S,"&gt;="&amp;DATE(2026,9,1),'2_Data_Pelanggan'!$S:$S,"&lt;"&amp;DATE(2026,10,1))</f>
        <v>0</v>
      </c>
      <c r="M33" s="210">
        <f>COUNTIFS('2_Data_Pelanggan'!$H:$H,$F33,'2_Data_Pelanggan'!$I:$I,$G33,'2_Data_Pelanggan'!$J:$J,$H33,'2_Data_Pelanggan'!$S:$S,"&gt;="&amp;DATE(2026,10,1),'2_Data_Pelanggan'!$S:$S,"&lt;"&amp;DATE(2026,11,1))</f>
        <v>0</v>
      </c>
      <c r="N33" s="210">
        <f>COUNTIFS('2_Data_Pelanggan'!$H:$H,$F33,'2_Data_Pelanggan'!$I:$I,$G33,'2_Data_Pelanggan'!$J:$J,$H33,'2_Data_Pelanggan'!$S:$S,"&gt;="&amp;DATE(2026,11,1),'2_Data_Pelanggan'!$S:$S,"&lt;"&amp;DATE(2026,12,1))</f>
        <v>0</v>
      </c>
      <c r="O33" s="210">
        <f>COUNTIFS('2_Data_Pelanggan'!$H:$H,$F33,'2_Data_Pelanggan'!$I:$I,$G33,'2_Data_Pelanggan'!$J:$J,$H33,'2_Data_Pelanggan'!$S:$S,"&gt;="&amp;DATE(2026,12,1),'2_Data_Pelanggan'!$S:$S,"&lt;"&amp;DATE(2026,1,1))</f>
        <v>0</v>
      </c>
      <c r="P33" s="210">
        <f t="shared" si="1"/>
        <v>0</v>
      </c>
      <c r="Q33" s="210">
        <f t="shared" ref="Q33:V33" si="34">3000*J33</f>
        <v>3000</v>
      </c>
      <c r="R33" s="210">
        <f t="shared" si="34"/>
        <v>0</v>
      </c>
      <c r="S33" s="210">
        <f t="shared" si="34"/>
        <v>0</v>
      </c>
      <c r="T33" s="210">
        <f t="shared" si="34"/>
        <v>0</v>
      </c>
      <c r="U33" s="210">
        <f t="shared" si="34"/>
        <v>0</v>
      </c>
      <c r="V33" s="210">
        <f t="shared" si="34"/>
        <v>0</v>
      </c>
      <c r="W33" s="210">
        <f t="shared" si="3"/>
        <v>3000</v>
      </c>
      <c r="X33" s="204">
        <f t="shared" si="4"/>
        <v>1000</v>
      </c>
      <c r="Y33" s="205">
        <f t="shared" si="5"/>
        <v>2000</v>
      </c>
      <c r="Z33" s="86" t="s">
        <v>1790</v>
      </c>
      <c r="AA33" s="110"/>
      <c r="AB33" s="47"/>
      <c r="AC33" s="47"/>
      <c r="AD33" s="47"/>
      <c r="AE33" s="47"/>
      <c r="AF33" s="47"/>
    </row>
    <row r="34" ht="15.0" customHeight="1">
      <c r="A34" s="206">
        <v>32.0</v>
      </c>
      <c r="B34" s="207"/>
      <c r="C34" s="208" t="s">
        <v>1788</v>
      </c>
      <c r="D34" s="208" t="s">
        <v>1791</v>
      </c>
      <c r="E34" s="208" t="s">
        <v>1792</v>
      </c>
      <c r="F34" s="209" t="s">
        <v>327</v>
      </c>
      <c r="G34" s="206">
        <v>4.0</v>
      </c>
      <c r="H34" s="206">
        <v>7.0</v>
      </c>
      <c r="I34" s="206">
        <f>COUNTIFS('2_Data_Pelanggan'!$H:$H,$F34,'2_Data_Pelanggan'!$I:$I,$G34,'2_Data_Pelanggan'!$J:$J,$H34,'2_Data_Pelanggan'!$S:$S,"&gt;="&amp;DATE(2026,6,1),'2_Data_Pelanggan'!$S:$S,"&lt;"&amp;DATE(2026,7,1))</f>
        <v>0</v>
      </c>
      <c r="J34" s="206">
        <f>COUNTIFS('2_Data_Pelanggan'!$H:$H,$F34,'2_Data_Pelanggan'!$I:$I,$G34,'2_Data_Pelanggan'!$J:$J,$H34,'2_Data_Pelanggan'!$S:$S,"&gt;="&amp;DATE(2026,7,1),'2_Data_Pelanggan'!$S:$S,"&lt;"&amp;DATE(2026,8,1))</f>
        <v>1</v>
      </c>
      <c r="K34" s="206">
        <f>COUNTIFS('2_Data_Pelanggan'!$H:$H,$F34,'2_Data_Pelanggan'!$I:$I,$G34,'2_Data_Pelanggan'!$J:$J,$H34,'2_Data_Pelanggan'!$S:$S,"&gt;="&amp;DATE(2026,8,1),'2_Data_Pelanggan'!$S:$S,"&lt;"&amp;DATE(2026,9,1))</f>
        <v>0</v>
      </c>
      <c r="L34" s="210">
        <f>COUNTIFS('2_Data_Pelanggan'!$H:$H,$F34,'2_Data_Pelanggan'!$I:$I,$G34,'2_Data_Pelanggan'!$J:$J,$H34,'2_Data_Pelanggan'!$S:$S,"&gt;="&amp;DATE(2026,9,1),'2_Data_Pelanggan'!$S:$S,"&lt;"&amp;DATE(2026,10,1))</f>
        <v>0</v>
      </c>
      <c r="M34" s="210">
        <f>COUNTIFS('2_Data_Pelanggan'!$H:$H,$F34,'2_Data_Pelanggan'!$I:$I,$G34,'2_Data_Pelanggan'!$J:$J,$H34,'2_Data_Pelanggan'!$S:$S,"&gt;="&amp;DATE(2026,10,1),'2_Data_Pelanggan'!$S:$S,"&lt;"&amp;DATE(2026,11,1))</f>
        <v>0</v>
      </c>
      <c r="N34" s="210">
        <f>COUNTIFS('2_Data_Pelanggan'!$H:$H,$F34,'2_Data_Pelanggan'!$I:$I,$G34,'2_Data_Pelanggan'!$J:$J,$H34,'2_Data_Pelanggan'!$S:$S,"&gt;="&amp;DATE(2026,11,1),'2_Data_Pelanggan'!$S:$S,"&lt;"&amp;DATE(2026,12,1))</f>
        <v>0</v>
      </c>
      <c r="O34" s="210">
        <f>COUNTIFS('2_Data_Pelanggan'!$H:$H,$F34,'2_Data_Pelanggan'!$I:$I,$G34,'2_Data_Pelanggan'!$J:$J,$H34,'2_Data_Pelanggan'!$S:$S,"&gt;="&amp;DATE(2026,12,1),'2_Data_Pelanggan'!$S:$S,"&lt;"&amp;DATE(2026,1,1))</f>
        <v>0</v>
      </c>
      <c r="P34" s="210">
        <f t="shared" si="1"/>
        <v>0</v>
      </c>
      <c r="Q34" s="210">
        <f t="shared" ref="Q34:V34" si="35">3000*J34</f>
        <v>3000</v>
      </c>
      <c r="R34" s="210">
        <f t="shared" si="35"/>
        <v>0</v>
      </c>
      <c r="S34" s="210">
        <f t="shared" si="35"/>
        <v>0</v>
      </c>
      <c r="T34" s="210">
        <f t="shared" si="35"/>
        <v>0</v>
      </c>
      <c r="U34" s="210">
        <f t="shared" si="35"/>
        <v>0</v>
      </c>
      <c r="V34" s="210">
        <f t="shared" si="35"/>
        <v>0</v>
      </c>
      <c r="W34" s="210">
        <f t="shared" si="3"/>
        <v>3000</v>
      </c>
      <c r="X34" s="204">
        <f t="shared" si="4"/>
        <v>1000</v>
      </c>
      <c r="Y34" s="205">
        <f t="shared" si="5"/>
        <v>2000</v>
      </c>
      <c r="Z34" s="86" t="s">
        <v>1790</v>
      </c>
      <c r="AA34" s="110"/>
      <c r="AB34" s="47"/>
      <c r="AC34" s="47"/>
      <c r="AD34" s="47"/>
      <c r="AE34" s="47"/>
      <c r="AF34" s="47"/>
    </row>
    <row r="35" ht="15.0" customHeight="1">
      <c r="A35" s="206">
        <v>33.0</v>
      </c>
      <c r="B35" s="207"/>
      <c r="C35" s="208" t="s">
        <v>1788</v>
      </c>
      <c r="D35" s="208" t="s">
        <v>1791</v>
      </c>
      <c r="E35" s="208" t="s">
        <v>1792</v>
      </c>
      <c r="F35" s="209" t="s">
        <v>327</v>
      </c>
      <c r="G35" s="206">
        <v>4.0</v>
      </c>
      <c r="H35" s="206">
        <v>8.0</v>
      </c>
      <c r="I35" s="206">
        <f>COUNTIFS('2_Data_Pelanggan'!$H:$H,$F35,'2_Data_Pelanggan'!$I:$I,$G35,'2_Data_Pelanggan'!$J:$J,$H35,'2_Data_Pelanggan'!$S:$S,"&gt;="&amp;DATE(2026,6,1),'2_Data_Pelanggan'!$S:$S,"&lt;"&amp;DATE(2026,7,1))</f>
        <v>0</v>
      </c>
      <c r="J35" s="206">
        <f>COUNTIFS('2_Data_Pelanggan'!$H:$H,$F35,'2_Data_Pelanggan'!$I:$I,$G35,'2_Data_Pelanggan'!$J:$J,$H35,'2_Data_Pelanggan'!$S:$S,"&gt;="&amp;DATE(2026,7,1),'2_Data_Pelanggan'!$S:$S,"&lt;"&amp;DATE(2026,8,1))</f>
        <v>0</v>
      </c>
      <c r="K35" s="206">
        <f>COUNTIFS('2_Data_Pelanggan'!$H:$H,$F35,'2_Data_Pelanggan'!$I:$I,$G35,'2_Data_Pelanggan'!$J:$J,$H35,'2_Data_Pelanggan'!$S:$S,"&gt;="&amp;DATE(2026,8,1),'2_Data_Pelanggan'!$S:$S,"&lt;"&amp;DATE(2026,9,1))</f>
        <v>0</v>
      </c>
      <c r="L35" s="210">
        <f>COUNTIFS('2_Data_Pelanggan'!$H:$H,$F35,'2_Data_Pelanggan'!$I:$I,$G35,'2_Data_Pelanggan'!$J:$J,$H35,'2_Data_Pelanggan'!$S:$S,"&gt;="&amp;DATE(2026,9,1),'2_Data_Pelanggan'!$S:$S,"&lt;"&amp;DATE(2026,10,1))</f>
        <v>0</v>
      </c>
      <c r="M35" s="210">
        <f>COUNTIFS('2_Data_Pelanggan'!$H:$H,$F35,'2_Data_Pelanggan'!$I:$I,$G35,'2_Data_Pelanggan'!$J:$J,$H35,'2_Data_Pelanggan'!$S:$S,"&gt;="&amp;DATE(2026,10,1),'2_Data_Pelanggan'!$S:$S,"&lt;"&amp;DATE(2026,11,1))</f>
        <v>0</v>
      </c>
      <c r="N35" s="210">
        <f>COUNTIFS('2_Data_Pelanggan'!$H:$H,$F35,'2_Data_Pelanggan'!$I:$I,$G35,'2_Data_Pelanggan'!$J:$J,$H35,'2_Data_Pelanggan'!$S:$S,"&gt;="&amp;DATE(2026,11,1),'2_Data_Pelanggan'!$S:$S,"&lt;"&amp;DATE(2026,12,1))</f>
        <v>0</v>
      </c>
      <c r="O35" s="210">
        <f>COUNTIFS('2_Data_Pelanggan'!$H:$H,$F35,'2_Data_Pelanggan'!$I:$I,$G35,'2_Data_Pelanggan'!$J:$J,$H35,'2_Data_Pelanggan'!$S:$S,"&gt;="&amp;DATE(2026,12,1),'2_Data_Pelanggan'!$S:$S,"&lt;"&amp;DATE(2026,1,1))</f>
        <v>0</v>
      </c>
      <c r="P35" s="210">
        <f t="shared" si="1"/>
        <v>0</v>
      </c>
      <c r="Q35" s="210">
        <f t="shared" ref="Q35:V35" si="36">3000*J35</f>
        <v>0</v>
      </c>
      <c r="R35" s="210">
        <f t="shared" si="36"/>
        <v>0</v>
      </c>
      <c r="S35" s="210">
        <f t="shared" si="36"/>
        <v>0</v>
      </c>
      <c r="T35" s="210">
        <f t="shared" si="36"/>
        <v>0</v>
      </c>
      <c r="U35" s="210">
        <f t="shared" si="36"/>
        <v>0</v>
      </c>
      <c r="V35" s="210">
        <f t="shared" si="36"/>
        <v>0</v>
      </c>
      <c r="W35" s="210">
        <f t="shared" si="3"/>
        <v>0</v>
      </c>
      <c r="X35" s="204">
        <f t="shared" si="4"/>
        <v>0</v>
      </c>
      <c r="Y35" s="205">
        <f t="shared" si="5"/>
        <v>0</v>
      </c>
      <c r="Z35" s="86" t="s">
        <v>1790</v>
      </c>
      <c r="AA35" s="110"/>
      <c r="AB35" s="47"/>
      <c r="AC35" s="47"/>
      <c r="AD35" s="47"/>
      <c r="AE35" s="47"/>
      <c r="AF35" s="47"/>
    </row>
    <row r="36" ht="15.0" customHeight="1">
      <c r="A36" s="206">
        <v>34.0</v>
      </c>
      <c r="B36" s="207"/>
      <c r="C36" s="208" t="s">
        <v>1788</v>
      </c>
      <c r="D36" s="208" t="s">
        <v>1791</v>
      </c>
      <c r="E36" s="208" t="s">
        <v>1792</v>
      </c>
      <c r="F36" s="209" t="s">
        <v>327</v>
      </c>
      <c r="G36" s="206">
        <v>5.0</v>
      </c>
      <c r="H36" s="206">
        <v>1.0</v>
      </c>
      <c r="I36" s="206">
        <f>COUNTIFS('2_Data_Pelanggan'!$H:$H,$F36,'2_Data_Pelanggan'!$I:$I,$G36,'2_Data_Pelanggan'!$J:$J,$H36,'2_Data_Pelanggan'!$S:$S,"&gt;="&amp;DATE(2026,6,1),'2_Data_Pelanggan'!$S:$S,"&lt;"&amp;DATE(2026,7,1))</f>
        <v>0</v>
      </c>
      <c r="J36" s="206">
        <f>COUNTIFS('2_Data_Pelanggan'!$H:$H,$F36,'2_Data_Pelanggan'!$I:$I,$G36,'2_Data_Pelanggan'!$J:$J,$H36,'2_Data_Pelanggan'!$S:$S,"&gt;="&amp;DATE(2026,7,1),'2_Data_Pelanggan'!$S:$S,"&lt;"&amp;DATE(2026,8,1))</f>
        <v>0</v>
      </c>
      <c r="K36" s="206">
        <f>COUNTIFS('2_Data_Pelanggan'!$H:$H,$F36,'2_Data_Pelanggan'!$I:$I,$G36,'2_Data_Pelanggan'!$J:$J,$H36,'2_Data_Pelanggan'!$S:$S,"&gt;="&amp;DATE(2026,8,1),'2_Data_Pelanggan'!$S:$S,"&lt;"&amp;DATE(2026,9,1))</f>
        <v>0</v>
      </c>
      <c r="L36" s="210">
        <f>COUNTIFS('2_Data_Pelanggan'!$H:$H,$F36,'2_Data_Pelanggan'!$I:$I,$G36,'2_Data_Pelanggan'!$J:$J,$H36,'2_Data_Pelanggan'!$S:$S,"&gt;="&amp;DATE(2026,9,1),'2_Data_Pelanggan'!$S:$S,"&lt;"&amp;DATE(2026,10,1))</f>
        <v>0</v>
      </c>
      <c r="M36" s="210">
        <f>COUNTIFS('2_Data_Pelanggan'!$H:$H,$F36,'2_Data_Pelanggan'!$I:$I,$G36,'2_Data_Pelanggan'!$J:$J,$H36,'2_Data_Pelanggan'!$S:$S,"&gt;="&amp;DATE(2026,10,1),'2_Data_Pelanggan'!$S:$S,"&lt;"&amp;DATE(2026,11,1))</f>
        <v>0</v>
      </c>
      <c r="N36" s="210">
        <f>COUNTIFS('2_Data_Pelanggan'!$H:$H,$F36,'2_Data_Pelanggan'!$I:$I,$G36,'2_Data_Pelanggan'!$J:$J,$H36,'2_Data_Pelanggan'!$S:$S,"&gt;="&amp;DATE(2026,11,1),'2_Data_Pelanggan'!$S:$S,"&lt;"&amp;DATE(2026,12,1))</f>
        <v>0</v>
      </c>
      <c r="O36" s="210">
        <f>COUNTIFS('2_Data_Pelanggan'!$H:$H,$F36,'2_Data_Pelanggan'!$I:$I,$G36,'2_Data_Pelanggan'!$J:$J,$H36,'2_Data_Pelanggan'!$S:$S,"&gt;="&amp;DATE(2026,12,1),'2_Data_Pelanggan'!$S:$S,"&lt;"&amp;DATE(2026,1,1))</f>
        <v>0</v>
      </c>
      <c r="P36" s="210">
        <f t="shared" si="1"/>
        <v>0</v>
      </c>
      <c r="Q36" s="210">
        <f t="shared" ref="Q36:V36" si="37">3000*J36</f>
        <v>0</v>
      </c>
      <c r="R36" s="210">
        <f t="shared" si="37"/>
        <v>0</v>
      </c>
      <c r="S36" s="210">
        <f t="shared" si="37"/>
        <v>0</v>
      </c>
      <c r="T36" s="210">
        <f t="shared" si="37"/>
        <v>0</v>
      </c>
      <c r="U36" s="210">
        <f t="shared" si="37"/>
        <v>0</v>
      </c>
      <c r="V36" s="210">
        <f t="shared" si="37"/>
        <v>0</v>
      </c>
      <c r="W36" s="210">
        <f t="shared" si="3"/>
        <v>0</v>
      </c>
      <c r="X36" s="204">
        <f t="shared" si="4"/>
        <v>0</v>
      </c>
      <c r="Y36" s="205">
        <f t="shared" si="5"/>
        <v>0</v>
      </c>
      <c r="Z36" s="86" t="s">
        <v>1790</v>
      </c>
      <c r="AA36" s="110"/>
      <c r="AB36" s="47"/>
      <c r="AC36" s="47"/>
      <c r="AD36" s="47"/>
      <c r="AE36" s="47"/>
      <c r="AF36" s="47"/>
    </row>
    <row r="37" ht="15.0" customHeight="1">
      <c r="A37" s="206">
        <v>35.0</v>
      </c>
      <c r="B37" s="207"/>
      <c r="C37" s="208" t="s">
        <v>1788</v>
      </c>
      <c r="D37" s="208" t="s">
        <v>1791</v>
      </c>
      <c r="E37" s="208" t="s">
        <v>1792</v>
      </c>
      <c r="F37" s="209" t="s">
        <v>327</v>
      </c>
      <c r="G37" s="206">
        <v>5.0</v>
      </c>
      <c r="H37" s="206">
        <v>2.0</v>
      </c>
      <c r="I37" s="206">
        <f>COUNTIFS('2_Data_Pelanggan'!$H:$H,$F37,'2_Data_Pelanggan'!$I:$I,$G37,'2_Data_Pelanggan'!$J:$J,$H37,'2_Data_Pelanggan'!$S:$S,"&gt;="&amp;DATE(2026,6,1),'2_Data_Pelanggan'!$S:$S,"&lt;"&amp;DATE(2026,7,1))</f>
        <v>0</v>
      </c>
      <c r="J37" s="206">
        <f>COUNTIFS('2_Data_Pelanggan'!$H:$H,$F37,'2_Data_Pelanggan'!$I:$I,$G37,'2_Data_Pelanggan'!$J:$J,$H37,'2_Data_Pelanggan'!$S:$S,"&gt;="&amp;DATE(2026,7,1),'2_Data_Pelanggan'!$S:$S,"&lt;"&amp;DATE(2026,8,1))</f>
        <v>0</v>
      </c>
      <c r="K37" s="206">
        <f>COUNTIFS('2_Data_Pelanggan'!$H:$H,$F37,'2_Data_Pelanggan'!$I:$I,$G37,'2_Data_Pelanggan'!$J:$J,$H37,'2_Data_Pelanggan'!$S:$S,"&gt;="&amp;DATE(2026,8,1),'2_Data_Pelanggan'!$S:$S,"&lt;"&amp;DATE(2026,9,1))</f>
        <v>0</v>
      </c>
      <c r="L37" s="210">
        <f>COUNTIFS('2_Data_Pelanggan'!$H:$H,$F37,'2_Data_Pelanggan'!$I:$I,$G37,'2_Data_Pelanggan'!$J:$J,$H37,'2_Data_Pelanggan'!$S:$S,"&gt;="&amp;DATE(2026,9,1),'2_Data_Pelanggan'!$S:$S,"&lt;"&amp;DATE(2026,10,1))</f>
        <v>0</v>
      </c>
      <c r="M37" s="210">
        <f>COUNTIFS('2_Data_Pelanggan'!$H:$H,$F37,'2_Data_Pelanggan'!$I:$I,$G37,'2_Data_Pelanggan'!$J:$J,$H37,'2_Data_Pelanggan'!$S:$S,"&gt;="&amp;DATE(2026,10,1),'2_Data_Pelanggan'!$S:$S,"&lt;"&amp;DATE(2026,11,1))</f>
        <v>0</v>
      </c>
      <c r="N37" s="210">
        <f>COUNTIFS('2_Data_Pelanggan'!$H:$H,$F37,'2_Data_Pelanggan'!$I:$I,$G37,'2_Data_Pelanggan'!$J:$J,$H37,'2_Data_Pelanggan'!$S:$S,"&gt;="&amp;DATE(2026,11,1),'2_Data_Pelanggan'!$S:$S,"&lt;"&amp;DATE(2026,12,1))</f>
        <v>0</v>
      </c>
      <c r="O37" s="210">
        <f>COUNTIFS('2_Data_Pelanggan'!$H:$H,$F37,'2_Data_Pelanggan'!$I:$I,$G37,'2_Data_Pelanggan'!$J:$J,$H37,'2_Data_Pelanggan'!$S:$S,"&gt;="&amp;DATE(2026,12,1),'2_Data_Pelanggan'!$S:$S,"&lt;"&amp;DATE(2026,1,1))</f>
        <v>0</v>
      </c>
      <c r="P37" s="210">
        <f t="shared" si="1"/>
        <v>0</v>
      </c>
      <c r="Q37" s="210">
        <f t="shared" ref="Q37:V37" si="38">3000*J37</f>
        <v>0</v>
      </c>
      <c r="R37" s="210">
        <f t="shared" si="38"/>
        <v>0</v>
      </c>
      <c r="S37" s="210">
        <f t="shared" si="38"/>
        <v>0</v>
      </c>
      <c r="T37" s="210">
        <f t="shared" si="38"/>
        <v>0</v>
      </c>
      <c r="U37" s="210">
        <f t="shared" si="38"/>
        <v>0</v>
      </c>
      <c r="V37" s="210">
        <f t="shared" si="38"/>
        <v>0</v>
      </c>
      <c r="W37" s="210">
        <f t="shared" si="3"/>
        <v>0</v>
      </c>
      <c r="X37" s="204">
        <f t="shared" si="4"/>
        <v>0</v>
      </c>
      <c r="Y37" s="205">
        <f t="shared" si="5"/>
        <v>0</v>
      </c>
      <c r="Z37" s="86" t="s">
        <v>1790</v>
      </c>
      <c r="AA37" s="110"/>
      <c r="AB37" s="47"/>
      <c r="AC37" s="47"/>
      <c r="AD37" s="47"/>
      <c r="AE37" s="47"/>
      <c r="AF37" s="47"/>
    </row>
    <row r="38" ht="15.0" customHeight="1">
      <c r="A38" s="206">
        <v>36.0</v>
      </c>
      <c r="B38" s="207"/>
      <c r="C38" s="208" t="s">
        <v>1788</v>
      </c>
      <c r="D38" s="208" t="s">
        <v>1791</v>
      </c>
      <c r="E38" s="208" t="s">
        <v>1792</v>
      </c>
      <c r="F38" s="209" t="s">
        <v>327</v>
      </c>
      <c r="G38" s="206">
        <v>5.0</v>
      </c>
      <c r="H38" s="206">
        <v>3.0</v>
      </c>
      <c r="I38" s="206">
        <f>COUNTIFS('2_Data_Pelanggan'!$H:$H,$F38,'2_Data_Pelanggan'!$I:$I,$G38,'2_Data_Pelanggan'!$J:$J,$H38,'2_Data_Pelanggan'!$S:$S,"&gt;="&amp;DATE(2026,6,1),'2_Data_Pelanggan'!$S:$S,"&lt;"&amp;DATE(2026,7,1))</f>
        <v>0</v>
      </c>
      <c r="J38" s="206">
        <f>COUNTIFS('2_Data_Pelanggan'!$H:$H,$F38,'2_Data_Pelanggan'!$I:$I,$G38,'2_Data_Pelanggan'!$J:$J,$H38,'2_Data_Pelanggan'!$S:$S,"&gt;="&amp;DATE(2026,7,1),'2_Data_Pelanggan'!$S:$S,"&lt;"&amp;DATE(2026,8,1))</f>
        <v>0</v>
      </c>
      <c r="K38" s="206">
        <f>COUNTIFS('2_Data_Pelanggan'!$H:$H,$F38,'2_Data_Pelanggan'!$I:$I,$G38,'2_Data_Pelanggan'!$J:$J,$H38,'2_Data_Pelanggan'!$S:$S,"&gt;="&amp;DATE(2026,8,1),'2_Data_Pelanggan'!$S:$S,"&lt;"&amp;DATE(2026,9,1))</f>
        <v>0</v>
      </c>
      <c r="L38" s="210">
        <f>COUNTIFS('2_Data_Pelanggan'!$H:$H,$F38,'2_Data_Pelanggan'!$I:$I,$G38,'2_Data_Pelanggan'!$J:$J,$H38,'2_Data_Pelanggan'!$S:$S,"&gt;="&amp;DATE(2026,9,1),'2_Data_Pelanggan'!$S:$S,"&lt;"&amp;DATE(2026,10,1))</f>
        <v>0</v>
      </c>
      <c r="M38" s="210">
        <f>COUNTIFS('2_Data_Pelanggan'!$H:$H,$F38,'2_Data_Pelanggan'!$I:$I,$G38,'2_Data_Pelanggan'!$J:$J,$H38,'2_Data_Pelanggan'!$S:$S,"&gt;="&amp;DATE(2026,10,1),'2_Data_Pelanggan'!$S:$S,"&lt;"&amp;DATE(2026,11,1))</f>
        <v>0</v>
      </c>
      <c r="N38" s="210">
        <f>COUNTIFS('2_Data_Pelanggan'!$H:$H,$F38,'2_Data_Pelanggan'!$I:$I,$G38,'2_Data_Pelanggan'!$J:$J,$H38,'2_Data_Pelanggan'!$S:$S,"&gt;="&amp;DATE(2026,11,1),'2_Data_Pelanggan'!$S:$S,"&lt;"&amp;DATE(2026,12,1))</f>
        <v>0</v>
      </c>
      <c r="O38" s="210">
        <f>COUNTIFS('2_Data_Pelanggan'!$H:$H,$F38,'2_Data_Pelanggan'!$I:$I,$G38,'2_Data_Pelanggan'!$J:$J,$H38,'2_Data_Pelanggan'!$S:$S,"&gt;="&amp;DATE(2026,12,1),'2_Data_Pelanggan'!$S:$S,"&lt;"&amp;DATE(2026,1,1))</f>
        <v>0</v>
      </c>
      <c r="P38" s="210">
        <f t="shared" si="1"/>
        <v>0</v>
      </c>
      <c r="Q38" s="210">
        <f t="shared" ref="Q38:V38" si="39">3000*J38</f>
        <v>0</v>
      </c>
      <c r="R38" s="210">
        <f t="shared" si="39"/>
        <v>0</v>
      </c>
      <c r="S38" s="210">
        <f t="shared" si="39"/>
        <v>0</v>
      </c>
      <c r="T38" s="210">
        <f t="shared" si="39"/>
        <v>0</v>
      </c>
      <c r="U38" s="210">
        <f t="shared" si="39"/>
        <v>0</v>
      </c>
      <c r="V38" s="210">
        <f t="shared" si="39"/>
        <v>0</v>
      </c>
      <c r="W38" s="210">
        <f t="shared" si="3"/>
        <v>0</v>
      </c>
      <c r="X38" s="204">
        <f t="shared" si="4"/>
        <v>0</v>
      </c>
      <c r="Y38" s="205">
        <f t="shared" si="5"/>
        <v>0</v>
      </c>
      <c r="Z38" s="86" t="s">
        <v>1790</v>
      </c>
      <c r="AA38" s="110"/>
      <c r="AB38" s="47"/>
      <c r="AC38" s="47"/>
      <c r="AD38" s="47"/>
      <c r="AE38" s="47"/>
      <c r="AF38" s="47"/>
    </row>
    <row r="39" ht="15.0" customHeight="1">
      <c r="A39" s="206">
        <v>37.0</v>
      </c>
      <c r="B39" s="207"/>
      <c r="C39" s="208" t="s">
        <v>1788</v>
      </c>
      <c r="D39" s="208" t="s">
        <v>1791</v>
      </c>
      <c r="E39" s="208" t="s">
        <v>1792</v>
      </c>
      <c r="F39" s="209" t="s">
        <v>327</v>
      </c>
      <c r="G39" s="206">
        <v>5.0</v>
      </c>
      <c r="H39" s="206">
        <v>4.0</v>
      </c>
      <c r="I39" s="206">
        <f>COUNTIFS('2_Data_Pelanggan'!$H:$H,$F39,'2_Data_Pelanggan'!$I:$I,$G39,'2_Data_Pelanggan'!$J:$J,$H39,'2_Data_Pelanggan'!$S:$S,"&gt;="&amp;DATE(2026,6,1),'2_Data_Pelanggan'!$S:$S,"&lt;"&amp;DATE(2026,7,1))</f>
        <v>1</v>
      </c>
      <c r="J39" s="206">
        <f>COUNTIFS('2_Data_Pelanggan'!$H:$H,$F39,'2_Data_Pelanggan'!$I:$I,$G39,'2_Data_Pelanggan'!$J:$J,$H39,'2_Data_Pelanggan'!$S:$S,"&gt;="&amp;DATE(2026,7,1),'2_Data_Pelanggan'!$S:$S,"&lt;"&amp;DATE(2026,8,1))</f>
        <v>0</v>
      </c>
      <c r="K39" s="206">
        <f>COUNTIFS('2_Data_Pelanggan'!$H:$H,$F39,'2_Data_Pelanggan'!$I:$I,$G39,'2_Data_Pelanggan'!$J:$J,$H39,'2_Data_Pelanggan'!$S:$S,"&gt;="&amp;DATE(2026,8,1),'2_Data_Pelanggan'!$S:$S,"&lt;"&amp;DATE(2026,9,1))</f>
        <v>0</v>
      </c>
      <c r="L39" s="210">
        <f>COUNTIFS('2_Data_Pelanggan'!$H:$H,$F39,'2_Data_Pelanggan'!$I:$I,$G39,'2_Data_Pelanggan'!$J:$J,$H39,'2_Data_Pelanggan'!$S:$S,"&gt;="&amp;DATE(2026,9,1),'2_Data_Pelanggan'!$S:$S,"&lt;"&amp;DATE(2026,10,1))</f>
        <v>0</v>
      </c>
      <c r="M39" s="210">
        <f>COUNTIFS('2_Data_Pelanggan'!$H:$H,$F39,'2_Data_Pelanggan'!$I:$I,$G39,'2_Data_Pelanggan'!$J:$J,$H39,'2_Data_Pelanggan'!$S:$S,"&gt;="&amp;DATE(2026,10,1),'2_Data_Pelanggan'!$S:$S,"&lt;"&amp;DATE(2026,11,1))</f>
        <v>0</v>
      </c>
      <c r="N39" s="210">
        <f>COUNTIFS('2_Data_Pelanggan'!$H:$H,$F39,'2_Data_Pelanggan'!$I:$I,$G39,'2_Data_Pelanggan'!$J:$J,$H39,'2_Data_Pelanggan'!$S:$S,"&gt;="&amp;DATE(2026,11,1),'2_Data_Pelanggan'!$S:$S,"&lt;"&amp;DATE(2026,12,1))</f>
        <v>0</v>
      </c>
      <c r="O39" s="210">
        <f>COUNTIFS('2_Data_Pelanggan'!$H:$H,$F39,'2_Data_Pelanggan'!$I:$I,$G39,'2_Data_Pelanggan'!$J:$J,$H39,'2_Data_Pelanggan'!$S:$S,"&gt;="&amp;DATE(2026,12,1),'2_Data_Pelanggan'!$S:$S,"&lt;"&amp;DATE(2026,1,1))</f>
        <v>0</v>
      </c>
      <c r="P39" s="210">
        <f t="shared" si="1"/>
        <v>3000</v>
      </c>
      <c r="Q39" s="210">
        <f t="shared" ref="Q39:V39" si="40">3000*J39</f>
        <v>0</v>
      </c>
      <c r="R39" s="210">
        <f t="shared" si="40"/>
        <v>0</v>
      </c>
      <c r="S39" s="210">
        <f t="shared" si="40"/>
        <v>0</v>
      </c>
      <c r="T39" s="210">
        <f t="shared" si="40"/>
        <v>0</v>
      </c>
      <c r="U39" s="210">
        <f t="shared" si="40"/>
        <v>0</v>
      </c>
      <c r="V39" s="210">
        <f t="shared" si="40"/>
        <v>0</v>
      </c>
      <c r="W39" s="210">
        <f t="shared" si="3"/>
        <v>3000</v>
      </c>
      <c r="X39" s="204">
        <f t="shared" si="4"/>
        <v>1000</v>
      </c>
      <c r="Y39" s="205">
        <f t="shared" si="5"/>
        <v>2000</v>
      </c>
      <c r="Z39" s="86" t="s">
        <v>1790</v>
      </c>
      <c r="AA39" s="110"/>
      <c r="AB39" s="47"/>
      <c r="AC39" s="47"/>
      <c r="AD39" s="47"/>
      <c r="AE39" s="47"/>
      <c r="AF39" s="47"/>
    </row>
    <row r="40" ht="15.0" customHeight="1">
      <c r="A40" s="206">
        <v>38.0</v>
      </c>
      <c r="B40" s="207"/>
      <c r="C40" s="208" t="s">
        <v>1788</v>
      </c>
      <c r="D40" s="208" t="s">
        <v>1791</v>
      </c>
      <c r="E40" s="208" t="s">
        <v>1792</v>
      </c>
      <c r="F40" s="209" t="s">
        <v>327</v>
      </c>
      <c r="G40" s="206">
        <v>5.0</v>
      </c>
      <c r="H40" s="206">
        <v>5.0</v>
      </c>
      <c r="I40" s="206">
        <f>COUNTIFS('2_Data_Pelanggan'!$H:$H,$F40,'2_Data_Pelanggan'!$I:$I,$G40,'2_Data_Pelanggan'!$J:$J,$H40,'2_Data_Pelanggan'!$S:$S,"&gt;="&amp;DATE(2026,6,1),'2_Data_Pelanggan'!$S:$S,"&lt;"&amp;DATE(2026,7,1))</f>
        <v>0</v>
      </c>
      <c r="J40" s="206">
        <f>COUNTIFS('2_Data_Pelanggan'!$H:$H,$F40,'2_Data_Pelanggan'!$I:$I,$G40,'2_Data_Pelanggan'!$J:$J,$H40,'2_Data_Pelanggan'!$S:$S,"&gt;="&amp;DATE(2026,7,1),'2_Data_Pelanggan'!$S:$S,"&lt;"&amp;DATE(2026,8,1))</f>
        <v>0</v>
      </c>
      <c r="K40" s="206">
        <f>COUNTIFS('2_Data_Pelanggan'!$H:$H,$F40,'2_Data_Pelanggan'!$I:$I,$G40,'2_Data_Pelanggan'!$J:$J,$H40,'2_Data_Pelanggan'!$S:$S,"&gt;="&amp;DATE(2026,8,1),'2_Data_Pelanggan'!$S:$S,"&lt;"&amp;DATE(2026,9,1))</f>
        <v>0</v>
      </c>
      <c r="L40" s="210">
        <f>COUNTIFS('2_Data_Pelanggan'!$H:$H,$F40,'2_Data_Pelanggan'!$I:$I,$G40,'2_Data_Pelanggan'!$J:$J,$H40,'2_Data_Pelanggan'!$S:$S,"&gt;="&amp;DATE(2026,9,1),'2_Data_Pelanggan'!$S:$S,"&lt;"&amp;DATE(2026,10,1))</f>
        <v>0</v>
      </c>
      <c r="M40" s="210">
        <f>COUNTIFS('2_Data_Pelanggan'!$H:$H,$F40,'2_Data_Pelanggan'!$I:$I,$G40,'2_Data_Pelanggan'!$J:$J,$H40,'2_Data_Pelanggan'!$S:$S,"&gt;="&amp;DATE(2026,10,1),'2_Data_Pelanggan'!$S:$S,"&lt;"&amp;DATE(2026,11,1))</f>
        <v>0</v>
      </c>
      <c r="N40" s="210">
        <f>COUNTIFS('2_Data_Pelanggan'!$H:$H,$F40,'2_Data_Pelanggan'!$I:$I,$G40,'2_Data_Pelanggan'!$J:$J,$H40,'2_Data_Pelanggan'!$S:$S,"&gt;="&amp;DATE(2026,11,1),'2_Data_Pelanggan'!$S:$S,"&lt;"&amp;DATE(2026,12,1))</f>
        <v>0</v>
      </c>
      <c r="O40" s="210">
        <f>COUNTIFS('2_Data_Pelanggan'!$H:$H,$F40,'2_Data_Pelanggan'!$I:$I,$G40,'2_Data_Pelanggan'!$J:$J,$H40,'2_Data_Pelanggan'!$S:$S,"&gt;="&amp;DATE(2026,12,1),'2_Data_Pelanggan'!$S:$S,"&lt;"&amp;DATE(2026,1,1))</f>
        <v>0</v>
      </c>
      <c r="P40" s="210">
        <f t="shared" si="1"/>
        <v>0</v>
      </c>
      <c r="Q40" s="210">
        <f t="shared" ref="Q40:V40" si="41">3000*J40</f>
        <v>0</v>
      </c>
      <c r="R40" s="210">
        <f t="shared" si="41"/>
        <v>0</v>
      </c>
      <c r="S40" s="210">
        <f t="shared" si="41"/>
        <v>0</v>
      </c>
      <c r="T40" s="210">
        <f t="shared" si="41"/>
        <v>0</v>
      </c>
      <c r="U40" s="210">
        <f t="shared" si="41"/>
        <v>0</v>
      </c>
      <c r="V40" s="210">
        <f t="shared" si="41"/>
        <v>0</v>
      </c>
      <c r="W40" s="210">
        <f t="shared" si="3"/>
        <v>0</v>
      </c>
      <c r="X40" s="204">
        <f t="shared" si="4"/>
        <v>0</v>
      </c>
      <c r="Y40" s="205">
        <f t="shared" si="5"/>
        <v>0</v>
      </c>
      <c r="Z40" s="86" t="s">
        <v>1790</v>
      </c>
      <c r="AA40" s="110"/>
      <c r="AB40" s="47"/>
      <c r="AC40" s="47"/>
      <c r="AD40" s="47"/>
      <c r="AE40" s="47"/>
      <c r="AF40" s="47"/>
    </row>
    <row r="41" ht="15.0" customHeight="1">
      <c r="A41" s="206">
        <v>39.0</v>
      </c>
      <c r="B41" s="207"/>
      <c r="C41" s="208" t="s">
        <v>1788</v>
      </c>
      <c r="D41" s="208" t="s">
        <v>1791</v>
      </c>
      <c r="E41" s="208" t="s">
        <v>1792</v>
      </c>
      <c r="F41" s="209" t="s">
        <v>327</v>
      </c>
      <c r="G41" s="206">
        <v>5.0</v>
      </c>
      <c r="H41" s="206">
        <v>6.0</v>
      </c>
      <c r="I41" s="206">
        <f>COUNTIFS('2_Data_Pelanggan'!$H:$H,$F41,'2_Data_Pelanggan'!$I:$I,$G41,'2_Data_Pelanggan'!$J:$J,$H41,'2_Data_Pelanggan'!$S:$S,"&gt;="&amp;DATE(2026,6,1),'2_Data_Pelanggan'!$S:$S,"&lt;"&amp;DATE(2026,7,1))</f>
        <v>0</v>
      </c>
      <c r="J41" s="206">
        <f>COUNTIFS('2_Data_Pelanggan'!$H:$H,$F41,'2_Data_Pelanggan'!$I:$I,$G41,'2_Data_Pelanggan'!$J:$J,$H41,'2_Data_Pelanggan'!$S:$S,"&gt;="&amp;DATE(2026,7,1),'2_Data_Pelanggan'!$S:$S,"&lt;"&amp;DATE(2026,8,1))</f>
        <v>1</v>
      </c>
      <c r="K41" s="206">
        <f>COUNTIFS('2_Data_Pelanggan'!$H:$H,$F41,'2_Data_Pelanggan'!$I:$I,$G41,'2_Data_Pelanggan'!$J:$J,$H41,'2_Data_Pelanggan'!$S:$S,"&gt;="&amp;DATE(2026,8,1),'2_Data_Pelanggan'!$S:$S,"&lt;"&amp;DATE(2026,9,1))</f>
        <v>0</v>
      </c>
      <c r="L41" s="210">
        <f>COUNTIFS('2_Data_Pelanggan'!$H:$H,$F41,'2_Data_Pelanggan'!$I:$I,$G41,'2_Data_Pelanggan'!$J:$J,$H41,'2_Data_Pelanggan'!$S:$S,"&gt;="&amp;DATE(2026,9,1),'2_Data_Pelanggan'!$S:$S,"&lt;"&amp;DATE(2026,10,1))</f>
        <v>0</v>
      </c>
      <c r="M41" s="210">
        <f>COUNTIFS('2_Data_Pelanggan'!$H:$H,$F41,'2_Data_Pelanggan'!$I:$I,$G41,'2_Data_Pelanggan'!$J:$J,$H41,'2_Data_Pelanggan'!$S:$S,"&gt;="&amp;DATE(2026,10,1),'2_Data_Pelanggan'!$S:$S,"&lt;"&amp;DATE(2026,11,1))</f>
        <v>0</v>
      </c>
      <c r="N41" s="210">
        <f>COUNTIFS('2_Data_Pelanggan'!$H:$H,$F41,'2_Data_Pelanggan'!$I:$I,$G41,'2_Data_Pelanggan'!$J:$J,$H41,'2_Data_Pelanggan'!$S:$S,"&gt;="&amp;DATE(2026,11,1),'2_Data_Pelanggan'!$S:$S,"&lt;"&amp;DATE(2026,12,1))</f>
        <v>0</v>
      </c>
      <c r="O41" s="210">
        <f>COUNTIFS('2_Data_Pelanggan'!$H:$H,$F41,'2_Data_Pelanggan'!$I:$I,$G41,'2_Data_Pelanggan'!$J:$J,$H41,'2_Data_Pelanggan'!$S:$S,"&gt;="&amp;DATE(2026,12,1),'2_Data_Pelanggan'!$S:$S,"&lt;"&amp;DATE(2026,1,1))</f>
        <v>0</v>
      </c>
      <c r="P41" s="210">
        <f t="shared" si="1"/>
        <v>0</v>
      </c>
      <c r="Q41" s="210">
        <f t="shared" ref="Q41:V41" si="42">3000*J41</f>
        <v>3000</v>
      </c>
      <c r="R41" s="210">
        <f t="shared" si="42"/>
        <v>0</v>
      </c>
      <c r="S41" s="210">
        <f t="shared" si="42"/>
        <v>0</v>
      </c>
      <c r="T41" s="210">
        <f t="shared" si="42"/>
        <v>0</v>
      </c>
      <c r="U41" s="210">
        <f t="shared" si="42"/>
        <v>0</v>
      </c>
      <c r="V41" s="210">
        <f t="shared" si="42"/>
        <v>0</v>
      </c>
      <c r="W41" s="210">
        <f t="shared" si="3"/>
        <v>3000</v>
      </c>
      <c r="X41" s="204">
        <f t="shared" si="4"/>
        <v>1000</v>
      </c>
      <c r="Y41" s="205">
        <f t="shared" si="5"/>
        <v>2000</v>
      </c>
      <c r="Z41" s="86" t="s">
        <v>1790</v>
      </c>
      <c r="AA41" s="110"/>
      <c r="AB41" s="47"/>
      <c r="AC41" s="47"/>
      <c r="AD41" s="47"/>
      <c r="AE41" s="47"/>
      <c r="AF41" s="47"/>
    </row>
    <row r="42" ht="15.0" customHeight="1">
      <c r="A42" s="206">
        <v>40.0</v>
      </c>
      <c r="B42" s="207"/>
      <c r="C42" s="208" t="s">
        <v>1788</v>
      </c>
      <c r="D42" s="208" t="s">
        <v>1791</v>
      </c>
      <c r="E42" s="208" t="s">
        <v>1792</v>
      </c>
      <c r="F42" s="209" t="s">
        <v>327</v>
      </c>
      <c r="G42" s="206">
        <v>5.0</v>
      </c>
      <c r="H42" s="206">
        <v>7.0</v>
      </c>
      <c r="I42" s="206">
        <f>COUNTIFS('2_Data_Pelanggan'!$H:$H,$F42,'2_Data_Pelanggan'!$I:$I,$G42,'2_Data_Pelanggan'!$J:$J,$H42,'2_Data_Pelanggan'!$S:$S,"&gt;="&amp;DATE(2026,6,1),'2_Data_Pelanggan'!$S:$S,"&lt;"&amp;DATE(2026,7,1))</f>
        <v>0</v>
      </c>
      <c r="J42" s="206">
        <f>COUNTIFS('2_Data_Pelanggan'!$H:$H,$F42,'2_Data_Pelanggan'!$I:$I,$G42,'2_Data_Pelanggan'!$J:$J,$H42,'2_Data_Pelanggan'!$S:$S,"&gt;="&amp;DATE(2026,7,1),'2_Data_Pelanggan'!$S:$S,"&lt;"&amp;DATE(2026,8,1))</f>
        <v>0</v>
      </c>
      <c r="K42" s="206">
        <f>COUNTIFS('2_Data_Pelanggan'!$H:$H,$F42,'2_Data_Pelanggan'!$I:$I,$G42,'2_Data_Pelanggan'!$J:$J,$H42,'2_Data_Pelanggan'!$S:$S,"&gt;="&amp;DATE(2026,8,1),'2_Data_Pelanggan'!$S:$S,"&lt;"&amp;DATE(2026,9,1))</f>
        <v>0</v>
      </c>
      <c r="L42" s="210">
        <f>COUNTIFS('2_Data_Pelanggan'!$H:$H,$F42,'2_Data_Pelanggan'!$I:$I,$G42,'2_Data_Pelanggan'!$J:$J,$H42,'2_Data_Pelanggan'!$S:$S,"&gt;="&amp;DATE(2026,9,1),'2_Data_Pelanggan'!$S:$S,"&lt;"&amp;DATE(2026,10,1))</f>
        <v>0</v>
      </c>
      <c r="M42" s="210">
        <f>COUNTIFS('2_Data_Pelanggan'!$H:$H,$F42,'2_Data_Pelanggan'!$I:$I,$G42,'2_Data_Pelanggan'!$J:$J,$H42,'2_Data_Pelanggan'!$S:$S,"&gt;="&amp;DATE(2026,10,1),'2_Data_Pelanggan'!$S:$S,"&lt;"&amp;DATE(2026,11,1))</f>
        <v>0</v>
      </c>
      <c r="N42" s="210">
        <f>COUNTIFS('2_Data_Pelanggan'!$H:$H,$F42,'2_Data_Pelanggan'!$I:$I,$G42,'2_Data_Pelanggan'!$J:$J,$H42,'2_Data_Pelanggan'!$S:$S,"&gt;="&amp;DATE(2026,11,1),'2_Data_Pelanggan'!$S:$S,"&lt;"&amp;DATE(2026,12,1))</f>
        <v>0</v>
      </c>
      <c r="O42" s="210">
        <f>COUNTIFS('2_Data_Pelanggan'!$H:$H,$F42,'2_Data_Pelanggan'!$I:$I,$G42,'2_Data_Pelanggan'!$J:$J,$H42,'2_Data_Pelanggan'!$S:$S,"&gt;="&amp;DATE(2026,12,1),'2_Data_Pelanggan'!$S:$S,"&lt;"&amp;DATE(2026,1,1))</f>
        <v>0</v>
      </c>
      <c r="P42" s="210">
        <f t="shared" si="1"/>
        <v>0</v>
      </c>
      <c r="Q42" s="210">
        <f t="shared" ref="Q42:V42" si="43">3000*J42</f>
        <v>0</v>
      </c>
      <c r="R42" s="210">
        <f t="shared" si="43"/>
        <v>0</v>
      </c>
      <c r="S42" s="210">
        <f t="shared" si="43"/>
        <v>0</v>
      </c>
      <c r="T42" s="210">
        <f t="shared" si="43"/>
        <v>0</v>
      </c>
      <c r="U42" s="210">
        <f t="shared" si="43"/>
        <v>0</v>
      </c>
      <c r="V42" s="210">
        <f t="shared" si="43"/>
        <v>0</v>
      </c>
      <c r="W42" s="210">
        <f t="shared" si="3"/>
        <v>0</v>
      </c>
      <c r="X42" s="204">
        <f t="shared" si="4"/>
        <v>0</v>
      </c>
      <c r="Y42" s="205">
        <f t="shared" si="5"/>
        <v>0</v>
      </c>
      <c r="Z42" s="86" t="s">
        <v>1790</v>
      </c>
      <c r="AA42" s="110"/>
      <c r="AB42" s="47"/>
      <c r="AC42" s="47"/>
      <c r="AD42" s="47"/>
      <c r="AE42" s="47"/>
      <c r="AF42" s="47"/>
    </row>
    <row r="43" ht="15.0" customHeight="1">
      <c r="A43" s="206">
        <v>41.0</v>
      </c>
      <c r="B43" s="207"/>
      <c r="C43" s="208" t="s">
        <v>1788</v>
      </c>
      <c r="D43" s="208" t="s">
        <v>1791</v>
      </c>
      <c r="E43" s="208" t="s">
        <v>1792</v>
      </c>
      <c r="F43" s="209" t="s">
        <v>327</v>
      </c>
      <c r="G43" s="206">
        <v>5.0</v>
      </c>
      <c r="H43" s="206">
        <v>8.0</v>
      </c>
      <c r="I43" s="206">
        <f>COUNTIFS('2_Data_Pelanggan'!$H:$H,$F43,'2_Data_Pelanggan'!$I:$I,$G43,'2_Data_Pelanggan'!$J:$J,$H43,'2_Data_Pelanggan'!$S:$S,"&gt;="&amp;DATE(2026,6,1),'2_Data_Pelanggan'!$S:$S,"&lt;"&amp;DATE(2026,7,1))</f>
        <v>0</v>
      </c>
      <c r="J43" s="206">
        <f>COUNTIFS('2_Data_Pelanggan'!$H:$H,$F43,'2_Data_Pelanggan'!$I:$I,$G43,'2_Data_Pelanggan'!$J:$J,$H43,'2_Data_Pelanggan'!$S:$S,"&gt;="&amp;DATE(2026,7,1),'2_Data_Pelanggan'!$S:$S,"&lt;"&amp;DATE(2026,8,1))</f>
        <v>0</v>
      </c>
      <c r="K43" s="206">
        <f>COUNTIFS('2_Data_Pelanggan'!$H:$H,$F43,'2_Data_Pelanggan'!$I:$I,$G43,'2_Data_Pelanggan'!$J:$J,$H43,'2_Data_Pelanggan'!$S:$S,"&gt;="&amp;DATE(2026,8,1),'2_Data_Pelanggan'!$S:$S,"&lt;"&amp;DATE(2026,9,1))</f>
        <v>0</v>
      </c>
      <c r="L43" s="210">
        <f>COUNTIFS('2_Data_Pelanggan'!$H:$H,$F43,'2_Data_Pelanggan'!$I:$I,$G43,'2_Data_Pelanggan'!$J:$J,$H43,'2_Data_Pelanggan'!$S:$S,"&gt;="&amp;DATE(2026,9,1),'2_Data_Pelanggan'!$S:$S,"&lt;"&amp;DATE(2026,10,1))</f>
        <v>0</v>
      </c>
      <c r="M43" s="210">
        <f>COUNTIFS('2_Data_Pelanggan'!$H:$H,$F43,'2_Data_Pelanggan'!$I:$I,$G43,'2_Data_Pelanggan'!$J:$J,$H43,'2_Data_Pelanggan'!$S:$S,"&gt;="&amp;DATE(2026,10,1),'2_Data_Pelanggan'!$S:$S,"&lt;"&amp;DATE(2026,11,1))</f>
        <v>0</v>
      </c>
      <c r="N43" s="210">
        <f>COUNTIFS('2_Data_Pelanggan'!$H:$H,$F43,'2_Data_Pelanggan'!$I:$I,$G43,'2_Data_Pelanggan'!$J:$J,$H43,'2_Data_Pelanggan'!$S:$S,"&gt;="&amp;DATE(2026,11,1),'2_Data_Pelanggan'!$S:$S,"&lt;"&amp;DATE(2026,12,1))</f>
        <v>0</v>
      </c>
      <c r="O43" s="210">
        <f>COUNTIFS('2_Data_Pelanggan'!$H:$H,$F43,'2_Data_Pelanggan'!$I:$I,$G43,'2_Data_Pelanggan'!$J:$J,$H43,'2_Data_Pelanggan'!$S:$S,"&gt;="&amp;DATE(2026,12,1),'2_Data_Pelanggan'!$S:$S,"&lt;"&amp;DATE(2026,1,1))</f>
        <v>0</v>
      </c>
      <c r="P43" s="210">
        <f t="shared" si="1"/>
        <v>0</v>
      </c>
      <c r="Q43" s="210">
        <f t="shared" ref="Q43:V43" si="44">3000*J43</f>
        <v>0</v>
      </c>
      <c r="R43" s="210">
        <f t="shared" si="44"/>
        <v>0</v>
      </c>
      <c r="S43" s="210">
        <f t="shared" si="44"/>
        <v>0</v>
      </c>
      <c r="T43" s="210">
        <f t="shared" si="44"/>
        <v>0</v>
      </c>
      <c r="U43" s="210">
        <f t="shared" si="44"/>
        <v>0</v>
      </c>
      <c r="V43" s="210">
        <f t="shared" si="44"/>
        <v>0</v>
      </c>
      <c r="W43" s="210">
        <f t="shared" si="3"/>
        <v>0</v>
      </c>
      <c r="X43" s="204">
        <f t="shared" si="4"/>
        <v>0</v>
      </c>
      <c r="Y43" s="205">
        <f t="shared" si="5"/>
        <v>0</v>
      </c>
      <c r="Z43" s="86" t="s">
        <v>1790</v>
      </c>
      <c r="AA43" s="110"/>
      <c r="AB43" s="47"/>
      <c r="AC43" s="47"/>
      <c r="AD43" s="47"/>
      <c r="AE43" s="47"/>
      <c r="AF43" s="47"/>
    </row>
    <row r="44" ht="15.0" customHeight="1">
      <c r="A44" s="206">
        <v>42.0</v>
      </c>
      <c r="B44" s="207"/>
      <c r="C44" s="208" t="s">
        <v>1788</v>
      </c>
      <c r="D44" s="208" t="s">
        <v>1791</v>
      </c>
      <c r="E44" s="208" t="s">
        <v>1792</v>
      </c>
      <c r="F44" s="209" t="s">
        <v>327</v>
      </c>
      <c r="G44" s="206">
        <v>6.0</v>
      </c>
      <c r="H44" s="206">
        <v>1.0</v>
      </c>
      <c r="I44" s="206">
        <f>COUNTIFS('2_Data_Pelanggan'!$H:$H,$F44,'2_Data_Pelanggan'!$I:$I,$G44,'2_Data_Pelanggan'!$J:$J,$H44,'2_Data_Pelanggan'!$S:$S,"&gt;="&amp;DATE(2026,6,1),'2_Data_Pelanggan'!$S:$S,"&lt;"&amp;DATE(2026,7,1))</f>
        <v>0</v>
      </c>
      <c r="J44" s="206">
        <f>COUNTIFS('2_Data_Pelanggan'!$H:$H,$F44,'2_Data_Pelanggan'!$I:$I,$G44,'2_Data_Pelanggan'!$J:$J,$H44,'2_Data_Pelanggan'!$S:$S,"&gt;="&amp;DATE(2026,7,1),'2_Data_Pelanggan'!$S:$S,"&lt;"&amp;DATE(2026,8,1))</f>
        <v>0</v>
      </c>
      <c r="K44" s="206">
        <f>COUNTIFS('2_Data_Pelanggan'!$H:$H,$F44,'2_Data_Pelanggan'!$I:$I,$G44,'2_Data_Pelanggan'!$J:$J,$H44,'2_Data_Pelanggan'!$S:$S,"&gt;="&amp;DATE(2026,8,1),'2_Data_Pelanggan'!$S:$S,"&lt;"&amp;DATE(2026,9,1))</f>
        <v>0</v>
      </c>
      <c r="L44" s="210">
        <f>COUNTIFS('2_Data_Pelanggan'!$H:$H,$F44,'2_Data_Pelanggan'!$I:$I,$G44,'2_Data_Pelanggan'!$J:$J,$H44,'2_Data_Pelanggan'!$S:$S,"&gt;="&amp;DATE(2026,9,1),'2_Data_Pelanggan'!$S:$S,"&lt;"&amp;DATE(2026,10,1))</f>
        <v>0</v>
      </c>
      <c r="M44" s="210">
        <f>COUNTIFS('2_Data_Pelanggan'!$H:$H,$F44,'2_Data_Pelanggan'!$I:$I,$G44,'2_Data_Pelanggan'!$J:$J,$H44,'2_Data_Pelanggan'!$S:$S,"&gt;="&amp;DATE(2026,10,1),'2_Data_Pelanggan'!$S:$S,"&lt;"&amp;DATE(2026,11,1))</f>
        <v>0</v>
      </c>
      <c r="N44" s="210">
        <f>COUNTIFS('2_Data_Pelanggan'!$H:$H,$F44,'2_Data_Pelanggan'!$I:$I,$G44,'2_Data_Pelanggan'!$J:$J,$H44,'2_Data_Pelanggan'!$S:$S,"&gt;="&amp;DATE(2026,11,1),'2_Data_Pelanggan'!$S:$S,"&lt;"&amp;DATE(2026,12,1))</f>
        <v>0</v>
      </c>
      <c r="O44" s="210">
        <f>COUNTIFS('2_Data_Pelanggan'!$H:$H,$F44,'2_Data_Pelanggan'!$I:$I,$G44,'2_Data_Pelanggan'!$J:$J,$H44,'2_Data_Pelanggan'!$S:$S,"&gt;="&amp;DATE(2026,12,1),'2_Data_Pelanggan'!$S:$S,"&lt;"&amp;DATE(2026,1,1))</f>
        <v>0</v>
      </c>
      <c r="P44" s="210">
        <f t="shared" si="1"/>
        <v>0</v>
      </c>
      <c r="Q44" s="210">
        <f t="shared" ref="Q44:V44" si="45">3000*J44</f>
        <v>0</v>
      </c>
      <c r="R44" s="210">
        <f t="shared" si="45"/>
        <v>0</v>
      </c>
      <c r="S44" s="210">
        <f t="shared" si="45"/>
        <v>0</v>
      </c>
      <c r="T44" s="210">
        <f t="shared" si="45"/>
        <v>0</v>
      </c>
      <c r="U44" s="210">
        <f t="shared" si="45"/>
        <v>0</v>
      </c>
      <c r="V44" s="210">
        <f t="shared" si="45"/>
        <v>0</v>
      </c>
      <c r="W44" s="210">
        <f t="shared" si="3"/>
        <v>0</v>
      </c>
      <c r="X44" s="204">
        <f t="shared" si="4"/>
        <v>0</v>
      </c>
      <c r="Y44" s="205">
        <f t="shared" si="5"/>
        <v>0</v>
      </c>
      <c r="Z44" s="86" t="s">
        <v>1790</v>
      </c>
      <c r="AA44" s="110"/>
      <c r="AB44" s="47"/>
      <c r="AC44" s="47"/>
      <c r="AD44" s="47"/>
      <c r="AE44" s="47"/>
      <c r="AF44" s="47"/>
    </row>
    <row r="45" ht="15.0" customHeight="1">
      <c r="A45" s="206">
        <v>43.0</v>
      </c>
      <c r="B45" s="207"/>
      <c r="C45" s="208" t="s">
        <v>1788</v>
      </c>
      <c r="D45" s="208" t="s">
        <v>1791</v>
      </c>
      <c r="E45" s="208" t="s">
        <v>1792</v>
      </c>
      <c r="F45" s="209" t="s">
        <v>327</v>
      </c>
      <c r="G45" s="206">
        <v>6.0</v>
      </c>
      <c r="H45" s="206">
        <v>2.0</v>
      </c>
      <c r="I45" s="206">
        <f>COUNTIFS('2_Data_Pelanggan'!$H:$H,$F45,'2_Data_Pelanggan'!$I:$I,$G45,'2_Data_Pelanggan'!$J:$J,$H45,'2_Data_Pelanggan'!$S:$S,"&gt;="&amp;DATE(2026,6,1),'2_Data_Pelanggan'!$S:$S,"&lt;"&amp;DATE(2026,7,1))</f>
        <v>0</v>
      </c>
      <c r="J45" s="206">
        <f>COUNTIFS('2_Data_Pelanggan'!$H:$H,$F45,'2_Data_Pelanggan'!$I:$I,$G45,'2_Data_Pelanggan'!$J:$J,$H45,'2_Data_Pelanggan'!$S:$S,"&gt;="&amp;DATE(2026,7,1),'2_Data_Pelanggan'!$S:$S,"&lt;"&amp;DATE(2026,8,1))</f>
        <v>0</v>
      </c>
      <c r="K45" s="206">
        <f>COUNTIFS('2_Data_Pelanggan'!$H:$H,$F45,'2_Data_Pelanggan'!$I:$I,$G45,'2_Data_Pelanggan'!$J:$J,$H45,'2_Data_Pelanggan'!$S:$S,"&gt;="&amp;DATE(2026,8,1),'2_Data_Pelanggan'!$S:$S,"&lt;"&amp;DATE(2026,9,1))</f>
        <v>0</v>
      </c>
      <c r="L45" s="210">
        <f>COUNTIFS('2_Data_Pelanggan'!$H:$H,$F45,'2_Data_Pelanggan'!$I:$I,$G45,'2_Data_Pelanggan'!$J:$J,$H45,'2_Data_Pelanggan'!$S:$S,"&gt;="&amp;DATE(2026,9,1),'2_Data_Pelanggan'!$S:$S,"&lt;"&amp;DATE(2026,10,1))</f>
        <v>0</v>
      </c>
      <c r="M45" s="210">
        <f>COUNTIFS('2_Data_Pelanggan'!$H:$H,$F45,'2_Data_Pelanggan'!$I:$I,$G45,'2_Data_Pelanggan'!$J:$J,$H45,'2_Data_Pelanggan'!$S:$S,"&gt;="&amp;DATE(2026,10,1),'2_Data_Pelanggan'!$S:$S,"&lt;"&amp;DATE(2026,11,1))</f>
        <v>0</v>
      </c>
      <c r="N45" s="210">
        <f>COUNTIFS('2_Data_Pelanggan'!$H:$H,$F45,'2_Data_Pelanggan'!$I:$I,$G45,'2_Data_Pelanggan'!$J:$J,$H45,'2_Data_Pelanggan'!$S:$S,"&gt;="&amp;DATE(2026,11,1),'2_Data_Pelanggan'!$S:$S,"&lt;"&amp;DATE(2026,12,1))</f>
        <v>0</v>
      </c>
      <c r="O45" s="210">
        <f>COUNTIFS('2_Data_Pelanggan'!$H:$H,$F45,'2_Data_Pelanggan'!$I:$I,$G45,'2_Data_Pelanggan'!$J:$J,$H45,'2_Data_Pelanggan'!$S:$S,"&gt;="&amp;DATE(2026,12,1),'2_Data_Pelanggan'!$S:$S,"&lt;"&amp;DATE(2026,1,1))</f>
        <v>0</v>
      </c>
      <c r="P45" s="210">
        <f t="shared" si="1"/>
        <v>0</v>
      </c>
      <c r="Q45" s="210">
        <f t="shared" ref="Q45:V45" si="46">3000*J45</f>
        <v>0</v>
      </c>
      <c r="R45" s="210">
        <f t="shared" si="46"/>
        <v>0</v>
      </c>
      <c r="S45" s="210">
        <f t="shared" si="46"/>
        <v>0</v>
      </c>
      <c r="T45" s="210">
        <f t="shared" si="46"/>
        <v>0</v>
      </c>
      <c r="U45" s="210">
        <f t="shared" si="46"/>
        <v>0</v>
      </c>
      <c r="V45" s="210">
        <f t="shared" si="46"/>
        <v>0</v>
      </c>
      <c r="W45" s="210">
        <f t="shared" si="3"/>
        <v>0</v>
      </c>
      <c r="X45" s="204">
        <f t="shared" si="4"/>
        <v>0</v>
      </c>
      <c r="Y45" s="205">
        <f t="shared" si="5"/>
        <v>0</v>
      </c>
      <c r="Z45" s="86" t="s">
        <v>1790</v>
      </c>
      <c r="AA45" s="110"/>
      <c r="AB45" s="47"/>
      <c r="AC45" s="47"/>
      <c r="AD45" s="47"/>
      <c r="AE45" s="47"/>
      <c r="AF45" s="47"/>
    </row>
    <row r="46" ht="15.0" customHeight="1">
      <c r="A46" s="206">
        <v>44.0</v>
      </c>
      <c r="B46" s="207"/>
      <c r="C46" s="208" t="s">
        <v>1788</v>
      </c>
      <c r="D46" s="208" t="s">
        <v>1791</v>
      </c>
      <c r="E46" s="208" t="s">
        <v>1792</v>
      </c>
      <c r="F46" s="209" t="s">
        <v>327</v>
      </c>
      <c r="G46" s="206">
        <v>6.0</v>
      </c>
      <c r="H46" s="206">
        <v>3.0</v>
      </c>
      <c r="I46" s="206">
        <f>COUNTIFS('2_Data_Pelanggan'!$H:$H,$F46,'2_Data_Pelanggan'!$I:$I,$G46,'2_Data_Pelanggan'!$J:$J,$H46,'2_Data_Pelanggan'!$S:$S,"&gt;="&amp;DATE(2026,6,1),'2_Data_Pelanggan'!$S:$S,"&lt;"&amp;DATE(2026,7,1))</f>
        <v>0</v>
      </c>
      <c r="J46" s="206">
        <f>COUNTIFS('2_Data_Pelanggan'!$H:$H,$F46,'2_Data_Pelanggan'!$I:$I,$G46,'2_Data_Pelanggan'!$J:$J,$H46,'2_Data_Pelanggan'!$S:$S,"&gt;="&amp;DATE(2026,7,1),'2_Data_Pelanggan'!$S:$S,"&lt;"&amp;DATE(2026,8,1))</f>
        <v>0</v>
      </c>
      <c r="K46" s="206">
        <f>COUNTIFS('2_Data_Pelanggan'!$H:$H,$F46,'2_Data_Pelanggan'!$I:$I,$G46,'2_Data_Pelanggan'!$J:$J,$H46,'2_Data_Pelanggan'!$S:$S,"&gt;="&amp;DATE(2026,8,1),'2_Data_Pelanggan'!$S:$S,"&lt;"&amp;DATE(2026,9,1))</f>
        <v>0</v>
      </c>
      <c r="L46" s="210">
        <f>COUNTIFS('2_Data_Pelanggan'!$H:$H,$F46,'2_Data_Pelanggan'!$I:$I,$G46,'2_Data_Pelanggan'!$J:$J,$H46,'2_Data_Pelanggan'!$S:$S,"&gt;="&amp;DATE(2026,9,1),'2_Data_Pelanggan'!$S:$S,"&lt;"&amp;DATE(2026,10,1))</f>
        <v>0</v>
      </c>
      <c r="M46" s="210">
        <f>COUNTIFS('2_Data_Pelanggan'!$H:$H,$F46,'2_Data_Pelanggan'!$I:$I,$G46,'2_Data_Pelanggan'!$J:$J,$H46,'2_Data_Pelanggan'!$S:$S,"&gt;="&amp;DATE(2026,10,1),'2_Data_Pelanggan'!$S:$S,"&lt;"&amp;DATE(2026,11,1))</f>
        <v>0</v>
      </c>
      <c r="N46" s="210">
        <f>COUNTIFS('2_Data_Pelanggan'!$H:$H,$F46,'2_Data_Pelanggan'!$I:$I,$G46,'2_Data_Pelanggan'!$J:$J,$H46,'2_Data_Pelanggan'!$S:$S,"&gt;="&amp;DATE(2026,11,1),'2_Data_Pelanggan'!$S:$S,"&lt;"&amp;DATE(2026,12,1))</f>
        <v>0</v>
      </c>
      <c r="O46" s="210">
        <f>COUNTIFS('2_Data_Pelanggan'!$H:$H,$F46,'2_Data_Pelanggan'!$I:$I,$G46,'2_Data_Pelanggan'!$J:$J,$H46,'2_Data_Pelanggan'!$S:$S,"&gt;="&amp;DATE(2026,12,1),'2_Data_Pelanggan'!$S:$S,"&lt;"&amp;DATE(2026,1,1))</f>
        <v>0</v>
      </c>
      <c r="P46" s="210">
        <f t="shared" si="1"/>
        <v>0</v>
      </c>
      <c r="Q46" s="210">
        <f t="shared" ref="Q46:V46" si="47">3000*J46</f>
        <v>0</v>
      </c>
      <c r="R46" s="210">
        <f t="shared" si="47"/>
        <v>0</v>
      </c>
      <c r="S46" s="210">
        <f t="shared" si="47"/>
        <v>0</v>
      </c>
      <c r="T46" s="210">
        <f t="shared" si="47"/>
        <v>0</v>
      </c>
      <c r="U46" s="210">
        <f t="shared" si="47"/>
        <v>0</v>
      </c>
      <c r="V46" s="210">
        <f t="shared" si="47"/>
        <v>0</v>
      </c>
      <c r="W46" s="210">
        <f t="shared" si="3"/>
        <v>0</v>
      </c>
      <c r="X46" s="204">
        <f t="shared" si="4"/>
        <v>0</v>
      </c>
      <c r="Y46" s="205">
        <f t="shared" si="5"/>
        <v>0</v>
      </c>
      <c r="Z46" s="86" t="s">
        <v>1790</v>
      </c>
      <c r="AA46" s="110"/>
      <c r="AB46" s="47"/>
      <c r="AC46" s="47"/>
      <c r="AD46" s="47"/>
      <c r="AE46" s="47"/>
      <c r="AF46" s="47"/>
    </row>
    <row r="47" ht="15.0" customHeight="1">
      <c r="A47" s="206">
        <v>45.0</v>
      </c>
      <c r="B47" s="207"/>
      <c r="C47" s="208" t="s">
        <v>1788</v>
      </c>
      <c r="D47" s="208" t="s">
        <v>1791</v>
      </c>
      <c r="E47" s="208" t="s">
        <v>1792</v>
      </c>
      <c r="F47" s="209" t="s">
        <v>327</v>
      </c>
      <c r="G47" s="206">
        <v>6.0</v>
      </c>
      <c r="H47" s="206">
        <v>4.0</v>
      </c>
      <c r="I47" s="206">
        <f>COUNTIFS('2_Data_Pelanggan'!$H:$H,$F47,'2_Data_Pelanggan'!$I:$I,$G47,'2_Data_Pelanggan'!$J:$J,$H47,'2_Data_Pelanggan'!$S:$S,"&gt;="&amp;DATE(2026,6,1),'2_Data_Pelanggan'!$S:$S,"&lt;"&amp;DATE(2026,7,1))</f>
        <v>0</v>
      </c>
      <c r="J47" s="206">
        <f>COUNTIFS('2_Data_Pelanggan'!$H:$H,$F47,'2_Data_Pelanggan'!$I:$I,$G47,'2_Data_Pelanggan'!$J:$J,$H47,'2_Data_Pelanggan'!$S:$S,"&gt;="&amp;DATE(2026,7,1),'2_Data_Pelanggan'!$S:$S,"&lt;"&amp;DATE(2026,8,1))</f>
        <v>0</v>
      </c>
      <c r="K47" s="206">
        <f>COUNTIFS('2_Data_Pelanggan'!$H:$H,$F47,'2_Data_Pelanggan'!$I:$I,$G47,'2_Data_Pelanggan'!$J:$J,$H47,'2_Data_Pelanggan'!$S:$S,"&gt;="&amp;DATE(2026,8,1),'2_Data_Pelanggan'!$S:$S,"&lt;"&amp;DATE(2026,9,1))</f>
        <v>0</v>
      </c>
      <c r="L47" s="210">
        <f>COUNTIFS('2_Data_Pelanggan'!$H:$H,$F47,'2_Data_Pelanggan'!$I:$I,$G47,'2_Data_Pelanggan'!$J:$J,$H47,'2_Data_Pelanggan'!$S:$S,"&gt;="&amp;DATE(2026,9,1),'2_Data_Pelanggan'!$S:$S,"&lt;"&amp;DATE(2026,10,1))</f>
        <v>0</v>
      </c>
      <c r="M47" s="210">
        <f>COUNTIFS('2_Data_Pelanggan'!$H:$H,$F47,'2_Data_Pelanggan'!$I:$I,$G47,'2_Data_Pelanggan'!$J:$J,$H47,'2_Data_Pelanggan'!$S:$S,"&gt;="&amp;DATE(2026,10,1),'2_Data_Pelanggan'!$S:$S,"&lt;"&amp;DATE(2026,11,1))</f>
        <v>0</v>
      </c>
      <c r="N47" s="210">
        <f>COUNTIFS('2_Data_Pelanggan'!$H:$H,$F47,'2_Data_Pelanggan'!$I:$I,$G47,'2_Data_Pelanggan'!$J:$J,$H47,'2_Data_Pelanggan'!$S:$S,"&gt;="&amp;DATE(2026,11,1),'2_Data_Pelanggan'!$S:$S,"&lt;"&amp;DATE(2026,12,1))</f>
        <v>0</v>
      </c>
      <c r="O47" s="210">
        <f>COUNTIFS('2_Data_Pelanggan'!$H:$H,$F47,'2_Data_Pelanggan'!$I:$I,$G47,'2_Data_Pelanggan'!$J:$J,$H47,'2_Data_Pelanggan'!$S:$S,"&gt;="&amp;DATE(2026,12,1),'2_Data_Pelanggan'!$S:$S,"&lt;"&amp;DATE(2026,1,1))</f>
        <v>0</v>
      </c>
      <c r="P47" s="210">
        <f t="shared" si="1"/>
        <v>0</v>
      </c>
      <c r="Q47" s="210">
        <f t="shared" ref="Q47:V47" si="48">3000*J47</f>
        <v>0</v>
      </c>
      <c r="R47" s="210">
        <f t="shared" si="48"/>
        <v>0</v>
      </c>
      <c r="S47" s="210">
        <f t="shared" si="48"/>
        <v>0</v>
      </c>
      <c r="T47" s="210">
        <f t="shared" si="48"/>
        <v>0</v>
      </c>
      <c r="U47" s="210">
        <f t="shared" si="48"/>
        <v>0</v>
      </c>
      <c r="V47" s="210">
        <f t="shared" si="48"/>
        <v>0</v>
      </c>
      <c r="W47" s="210">
        <f t="shared" si="3"/>
        <v>0</v>
      </c>
      <c r="X47" s="204">
        <f t="shared" si="4"/>
        <v>0</v>
      </c>
      <c r="Y47" s="205">
        <f t="shared" si="5"/>
        <v>0</v>
      </c>
      <c r="Z47" s="86" t="s">
        <v>1790</v>
      </c>
      <c r="AA47" s="110"/>
      <c r="AB47" s="47"/>
      <c r="AC47" s="47"/>
      <c r="AD47" s="47"/>
      <c r="AE47" s="47"/>
      <c r="AF47" s="47"/>
    </row>
    <row r="48" ht="15.0" customHeight="1">
      <c r="A48" s="206">
        <v>46.0</v>
      </c>
      <c r="B48" s="207"/>
      <c r="C48" s="208" t="s">
        <v>1788</v>
      </c>
      <c r="D48" s="208" t="s">
        <v>1791</v>
      </c>
      <c r="E48" s="208" t="s">
        <v>1792</v>
      </c>
      <c r="F48" s="209" t="s">
        <v>327</v>
      </c>
      <c r="G48" s="206">
        <v>6.0</v>
      </c>
      <c r="H48" s="206">
        <v>5.0</v>
      </c>
      <c r="I48" s="206">
        <f>COUNTIFS('2_Data_Pelanggan'!$H:$H,$F48,'2_Data_Pelanggan'!$I:$I,$G48,'2_Data_Pelanggan'!$J:$J,$H48,'2_Data_Pelanggan'!$S:$S,"&gt;="&amp;DATE(2026,6,1),'2_Data_Pelanggan'!$S:$S,"&lt;"&amp;DATE(2026,7,1))</f>
        <v>0</v>
      </c>
      <c r="J48" s="206">
        <f>COUNTIFS('2_Data_Pelanggan'!$H:$H,$F48,'2_Data_Pelanggan'!$I:$I,$G48,'2_Data_Pelanggan'!$J:$J,$H48,'2_Data_Pelanggan'!$S:$S,"&gt;="&amp;DATE(2026,7,1),'2_Data_Pelanggan'!$S:$S,"&lt;"&amp;DATE(2026,8,1))</f>
        <v>0</v>
      </c>
      <c r="K48" s="206">
        <f>COUNTIFS('2_Data_Pelanggan'!$H:$H,$F48,'2_Data_Pelanggan'!$I:$I,$G48,'2_Data_Pelanggan'!$J:$J,$H48,'2_Data_Pelanggan'!$S:$S,"&gt;="&amp;DATE(2026,8,1),'2_Data_Pelanggan'!$S:$S,"&lt;"&amp;DATE(2026,9,1))</f>
        <v>0</v>
      </c>
      <c r="L48" s="210">
        <f>COUNTIFS('2_Data_Pelanggan'!$H:$H,$F48,'2_Data_Pelanggan'!$I:$I,$G48,'2_Data_Pelanggan'!$J:$J,$H48,'2_Data_Pelanggan'!$S:$S,"&gt;="&amp;DATE(2026,9,1),'2_Data_Pelanggan'!$S:$S,"&lt;"&amp;DATE(2026,10,1))</f>
        <v>0</v>
      </c>
      <c r="M48" s="210">
        <f>COUNTIFS('2_Data_Pelanggan'!$H:$H,$F48,'2_Data_Pelanggan'!$I:$I,$G48,'2_Data_Pelanggan'!$J:$J,$H48,'2_Data_Pelanggan'!$S:$S,"&gt;="&amp;DATE(2026,10,1),'2_Data_Pelanggan'!$S:$S,"&lt;"&amp;DATE(2026,11,1))</f>
        <v>0</v>
      </c>
      <c r="N48" s="210">
        <f>COUNTIFS('2_Data_Pelanggan'!$H:$H,$F48,'2_Data_Pelanggan'!$I:$I,$G48,'2_Data_Pelanggan'!$J:$J,$H48,'2_Data_Pelanggan'!$S:$S,"&gt;="&amp;DATE(2026,11,1),'2_Data_Pelanggan'!$S:$S,"&lt;"&amp;DATE(2026,12,1))</f>
        <v>0</v>
      </c>
      <c r="O48" s="210">
        <f>COUNTIFS('2_Data_Pelanggan'!$H:$H,$F48,'2_Data_Pelanggan'!$I:$I,$G48,'2_Data_Pelanggan'!$J:$J,$H48,'2_Data_Pelanggan'!$S:$S,"&gt;="&amp;DATE(2026,12,1),'2_Data_Pelanggan'!$S:$S,"&lt;"&amp;DATE(2026,1,1))</f>
        <v>0</v>
      </c>
      <c r="P48" s="210">
        <f t="shared" si="1"/>
        <v>0</v>
      </c>
      <c r="Q48" s="210">
        <f t="shared" ref="Q48:V48" si="49">3000*J48</f>
        <v>0</v>
      </c>
      <c r="R48" s="210">
        <f t="shared" si="49"/>
        <v>0</v>
      </c>
      <c r="S48" s="210">
        <f t="shared" si="49"/>
        <v>0</v>
      </c>
      <c r="T48" s="210">
        <f t="shared" si="49"/>
        <v>0</v>
      </c>
      <c r="U48" s="210">
        <f t="shared" si="49"/>
        <v>0</v>
      </c>
      <c r="V48" s="210">
        <f t="shared" si="49"/>
        <v>0</v>
      </c>
      <c r="W48" s="210">
        <f t="shared" si="3"/>
        <v>0</v>
      </c>
      <c r="X48" s="204">
        <f t="shared" si="4"/>
        <v>0</v>
      </c>
      <c r="Y48" s="205">
        <f t="shared" si="5"/>
        <v>0</v>
      </c>
      <c r="Z48" s="86" t="s">
        <v>1790</v>
      </c>
      <c r="AA48" s="110"/>
      <c r="AB48" s="47"/>
      <c r="AC48" s="47"/>
      <c r="AD48" s="47"/>
      <c r="AE48" s="47"/>
      <c r="AF48" s="47"/>
    </row>
    <row r="49" ht="15.0" customHeight="1">
      <c r="A49" s="206">
        <v>47.0</v>
      </c>
      <c r="B49" s="207"/>
      <c r="C49" s="208" t="s">
        <v>1788</v>
      </c>
      <c r="D49" s="208" t="s">
        <v>1791</v>
      </c>
      <c r="E49" s="208" t="s">
        <v>1792</v>
      </c>
      <c r="F49" s="209" t="s">
        <v>327</v>
      </c>
      <c r="G49" s="206">
        <v>6.0</v>
      </c>
      <c r="H49" s="206">
        <v>6.0</v>
      </c>
      <c r="I49" s="206">
        <f>COUNTIFS('2_Data_Pelanggan'!$H:$H,$F49,'2_Data_Pelanggan'!$I:$I,$G49,'2_Data_Pelanggan'!$J:$J,$H49,'2_Data_Pelanggan'!$S:$S,"&gt;="&amp;DATE(2026,6,1),'2_Data_Pelanggan'!$S:$S,"&lt;"&amp;DATE(2026,7,1))</f>
        <v>0</v>
      </c>
      <c r="J49" s="206">
        <f>COUNTIFS('2_Data_Pelanggan'!$H:$H,$F49,'2_Data_Pelanggan'!$I:$I,$G49,'2_Data_Pelanggan'!$J:$J,$H49,'2_Data_Pelanggan'!$S:$S,"&gt;="&amp;DATE(2026,7,1),'2_Data_Pelanggan'!$S:$S,"&lt;"&amp;DATE(2026,8,1))</f>
        <v>0</v>
      </c>
      <c r="K49" s="206">
        <f>COUNTIFS('2_Data_Pelanggan'!$H:$H,$F49,'2_Data_Pelanggan'!$I:$I,$G49,'2_Data_Pelanggan'!$J:$J,$H49,'2_Data_Pelanggan'!$S:$S,"&gt;="&amp;DATE(2026,8,1),'2_Data_Pelanggan'!$S:$S,"&lt;"&amp;DATE(2026,9,1))</f>
        <v>0</v>
      </c>
      <c r="L49" s="210">
        <f>COUNTIFS('2_Data_Pelanggan'!$H:$H,$F49,'2_Data_Pelanggan'!$I:$I,$G49,'2_Data_Pelanggan'!$J:$J,$H49,'2_Data_Pelanggan'!$S:$S,"&gt;="&amp;DATE(2026,9,1),'2_Data_Pelanggan'!$S:$S,"&lt;"&amp;DATE(2026,10,1))</f>
        <v>0</v>
      </c>
      <c r="M49" s="210">
        <f>COUNTIFS('2_Data_Pelanggan'!$H:$H,$F49,'2_Data_Pelanggan'!$I:$I,$G49,'2_Data_Pelanggan'!$J:$J,$H49,'2_Data_Pelanggan'!$S:$S,"&gt;="&amp;DATE(2026,10,1),'2_Data_Pelanggan'!$S:$S,"&lt;"&amp;DATE(2026,11,1))</f>
        <v>0</v>
      </c>
      <c r="N49" s="210">
        <f>COUNTIFS('2_Data_Pelanggan'!$H:$H,$F49,'2_Data_Pelanggan'!$I:$I,$G49,'2_Data_Pelanggan'!$J:$J,$H49,'2_Data_Pelanggan'!$S:$S,"&gt;="&amp;DATE(2026,11,1),'2_Data_Pelanggan'!$S:$S,"&lt;"&amp;DATE(2026,12,1))</f>
        <v>0</v>
      </c>
      <c r="O49" s="210">
        <f>COUNTIFS('2_Data_Pelanggan'!$H:$H,$F49,'2_Data_Pelanggan'!$I:$I,$G49,'2_Data_Pelanggan'!$J:$J,$H49,'2_Data_Pelanggan'!$S:$S,"&gt;="&amp;DATE(2026,12,1),'2_Data_Pelanggan'!$S:$S,"&lt;"&amp;DATE(2026,1,1))</f>
        <v>0</v>
      </c>
      <c r="P49" s="210">
        <f t="shared" si="1"/>
        <v>0</v>
      </c>
      <c r="Q49" s="210">
        <f t="shared" ref="Q49:V49" si="50">3000*J49</f>
        <v>0</v>
      </c>
      <c r="R49" s="210">
        <f t="shared" si="50"/>
        <v>0</v>
      </c>
      <c r="S49" s="210">
        <f t="shared" si="50"/>
        <v>0</v>
      </c>
      <c r="T49" s="210">
        <f t="shared" si="50"/>
        <v>0</v>
      </c>
      <c r="U49" s="210">
        <f t="shared" si="50"/>
        <v>0</v>
      </c>
      <c r="V49" s="210">
        <f t="shared" si="50"/>
        <v>0</v>
      </c>
      <c r="W49" s="210">
        <f t="shared" si="3"/>
        <v>0</v>
      </c>
      <c r="X49" s="204">
        <f t="shared" si="4"/>
        <v>0</v>
      </c>
      <c r="Y49" s="205">
        <f t="shared" si="5"/>
        <v>0</v>
      </c>
      <c r="Z49" s="86" t="s">
        <v>1790</v>
      </c>
      <c r="AA49" s="110"/>
      <c r="AB49" s="47"/>
      <c r="AC49" s="47"/>
      <c r="AD49" s="47"/>
      <c r="AE49" s="47"/>
      <c r="AF49" s="47"/>
    </row>
    <row r="50" ht="15.0" customHeight="1">
      <c r="A50" s="206">
        <v>48.0</v>
      </c>
      <c r="B50" s="207"/>
      <c r="C50" s="208" t="s">
        <v>1788</v>
      </c>
      <c r="D50" s="208" t="s">
        <v>1791</v>
      </c>
      <c r="E50" s="208" t="s">
        <v>1792</v>
      </c>
      <c r="F50" s="209" t="s">
        <v>327</v>
      </c>
      <c r="G50" s="206">
        <v>6.0</v>
      </c>
      <c r="H50" s="206">
        <v>7.0</v>
      </c>
      <c r="I50" s="206">
        <f>COUNTIFS('2_Data_Pelanggan'!$H:$H,$F50,'2_Data_Pelanggan'!$I:$I,$G50,'2_Data_Pelanggan'!$J:$J,$H50,'2_Data_Pelanggan'!$S:$S,"&gt;="&amp;DATE(2026,6,1),'2_Data_Pelanggan'!$S:$S,"&lt;"&amp;DATE(2026,7,1))</f>
        <v>0</v>
      </c>
      <c r="J50" s="206">
        <f>COUNTIFS('2_Data_Pelanggan'!$H:$H,$F50,'2_Data_Pelanggan'!$I:$I,$G50,'2_Data_Pelanggan'!$J:$J,$H50,'2_Data_Pelanggan'!$S:$S,"&gt;="&amp;DATE(2026,7,1),'2_Data_Pelanggan'!$S:$S,"&lt;"&amp;DATE(2026,8,1))</f>
        <v>0</v>
      </c>
      <c r="K50" s="206">
        <f>COUNTIFS('2_Data_Pelanggan'!$H:$H,$F50,'2_Data_Pelanggan'!$I:$I,$G50,'2_Data_Pelanggan'!$J:$J,$H50,'2_Data_Pelanggan'!$S:$S,"&gt;="&amp;DATE(2026,8,1),'2_Data_Pelanggan'!$S:$S,"&lt;"&amp;DATE(2026,9,1))</f>
        <v>0</v>
      </c>
      <c r="L50" s="210">
        <f>COUNTIFS('2_Data_Pelanggan'!$H:$H,$F50,'2_Data_Pelanggan'!$I:$I,$G50,'2_Data_Pelanggan'!$J:$J,$H50,'2_Data_Pelanggan'!$S:$S,"&gt;="&amp;DATE(2026,9,1),'2_Data_Pelanggan'!$S:$S,"&lt;"&amp;DATE(2026,10,1))</f>
        <v>0</v>
      </c>
      <c r="M50" s="210">
        <f>COUNTIFS('2_Data_Pelanggan'!$H:$H,$F50,'2_Data_Pelanggan'!$I:$I,$G50,'2_Data_Pelanggan'!$J:$J,$H50,'2_Data_Pelanggan'!$S:$S,"&gt;="&amp;DATE(2026,10,1),'2_Data_Pelanggan'!$S:$S,"&lt;"&amp;DATE(2026,11,1))</f>
        <v>0</v>
      </c>
      <c r="N50" s="210">
        <f>COUNTIFS('2_Data_Pelanggan'!$H:$H,$F50,'2_Data_Pelanggan'!$I:$I,$G50,'2_Data_Pelanggan'!$J:$J,$H50,'2_Data_Pelanggan'!$S:$S,"&gt;="&amp;DATE(2026,11,1),'2_Data_Pelanggan'!$S:$S,"&lt;"&amp;DATE(2026,12,1))</f>
        <v>0</v>
      </c>
      <c r="O50" s="210">
        <f>COUNTIFS('2_Data_Pelanggan'!$H:$H,$F50,'2_Data_Pelanggan'!$I:$I,$G50,'2_Data_Pelanggan'!$J:$J,$H50,'2_Data_Pelanggan'!$S:$S,"&gt;="&amp;DATE(2026,12,1),'2_Data_Pelanggan'!$S:$S,"&lt;"&amp;DATE(2026,1,1))</f>
        <v>0</v>
      </c>
      <c r="P50" s="210">
        <f t="shared" si="1"/>
        <v>0</v>
      </c>
      <c r="Q50" s="210">
        <f t="shared" ref="Q50:V50" si="51">3000*J50</f>
        <v>0</v>
      </c>
      <c r="R50" s="210">
        <f t="shared" si="51"/>
        <v>0</v>
      </c>
      <c r="S50" s="210">
        <f t="shared" si="51"/>
        <v>0</v>
      </c>
      <c r="T50" s="210">
        <f t="shared" si="51"/>
        <v>0</v>
      </c>
      <c r="U50" s="210">
        <f t="shared" si="51"/>
        <v>0</v>
      </c>
      <c r="V50" s="210">
        <f t="shared" si="51"/>
        <v>0</v>
      </c>
      <c r="W50" s="210">
        <f t="shared" si="3"/>
        <v>0</v>
      </c>
      <c r="X50" s="204">
        <f t="shared" si="4"/>
        <v>0</v>
      </c>
      <c r="Y50" s="205">
        <f t="shared" si="5"/>
        <v>0</v>
      </c>
      <c r="Z50" s="86" t="s">
        <v>1790</v>
      </c>
      <c r="AA50" s="110"/>
      <c r="AB50" s="47"/>
      <c r="AC50" s="47"/>
      <c r="AD50" s="47"/>
      <c r="AE50" s="47"/>
      <c r="AF50" s="47"/>
    </row>
    <row r="51" ht="15.0" customHeight="1">
      <c r="A51" s="206">
        <v>49.0</v>
      </c>
      <c r="B51" s="207"/>
      <c r="C51" s="208" t="s">
        <v>1788</v>
      </c>
      <c r="D51" s="208" t="s">
        <v>1791</v>
      </c>
      <c r="E51" s="208" t="s">
        <v>1792</v>
      </c>
      <c r="F51" s="209" t="s">
        <v>327</v>
      </c>
      <c r="G51" s="206">
        <v>6.0</v>
      </c>
      <c r="H51" s="206">
        <v>8.0</v>
      </c>
      <c r="I51" s="206">
        <f>COUNTIFS('2_Data_Pelanggan'!$H:$H,$F51,'2_Data_Pelanggan'!$I:$I,$G51,'2_Data_Pelanggan'!$J:$J,$H51,'2_Data_Pelanggan'!$S:$S,"&gt;="&amp;DATE(2026,6,1),'2_Data_Pelanggan'!$S:$S,"&lt;"&amp;DATE(2026,7,1))</f>
        <v>0</v>
      </c>
      <c r="J51" s="206">
        <f>COUNTIFS('2_Data_Pelanggan'!$H:$H,$F51,'2_Data_Pelanggan'!$I:$I,$G51,'2_Data_Pelanggan'!$J:$J,$H51,'2_Data_Pelanggan'!$S:$S,"&gt;="&amp;DATE(2026,7,1),'2_Data_Pelanggan'!$S:$S,"&lt;"&amp;DATE(2026,8,1))</f>
        <v>0</v>
      </c>
      <c r="K51" s="206">
        <f>COUNTIFS('2_Data_Pelanggan'!$H:$H,$F51,'2_Data_Pelanggan'!$I:$I,$G51,'2_Data_Pelanggan'!$J:$J,$H51,'2_Data_Pelanggan'!$S:$S,"&gt;="&amp;DATE(2026,8,1),'2_Data_Pelanggan'!$S:$S,"&lt;"&amp;DATE(2026,9,1))</f>
        <v>0</v>
      </c>
      <c r="L51" s="210">
        <f>COUNTIFS('2_Data_Pelanggan'!$H:$H,$F51,'2_Data_Pelanggan'!$I:$I,$G51,'2_Data_Pelanggan'!$J:$J,$H51,'2_Data_Pelanggan'!$S:$S,"&gt;="&amp;DATE(2026,9,1),'2_Data_Pelanggan'!$S:$S,"&lt;"&amp;DATE(2026,10,1))</f>
        <v>0</v>
      </c>
      <c r="M51" s="210">
        <f>COUNTIFS('2_Data_Pelanggan'!$H:$H,$F51,'2_Data_Pelanggan'!$I:$I,$G51,'2_Data_Pelanggan'!$J:$J,$H51,'2_Data_Pelanggan'!$S:$S,"&gt;="&amp;DATE(2026,10,1),'2_Data_Pelanggan'!$S:$S,"&lt;"&amp;DATE(2026,11,1))</f>
        <v>0</v>
      </c>
      <c r="N51" s="210">
        <f>COUNTIFS('2_Data_Pelanggan'!$H:$H,$F51,'2_Data_Pelanggan'!$I:$I,$G51,'2_Data_Pelanggan'!$J:$J,$H51,'2_Data_Pelanggan'!$S:$S,"&gt;="&amp;DATE(2026,11,1),'2_Data_Pelanggan'!$S:$S,"&lt;"&amp;DATE(2026,12,1))</f>
        <v>0</v>
      </c>
      <c r="O51" s="210">
        <f>COUNTIFS('2_Data_Pelanggan'!$H:$H,$F51,'2_Data_Pelanggan'!$I:$I,$G51,'2_Data_Pelanggan'!$J:$J,$H51,'2_Data_Pelanggan'!$S:$S,"&gt;="&amp;DATE(2026,12,1),'2_Data_Pelanggan'!$S:$S,"&lt;"&amp;DATE(2026,1,1))</f>
        <v>0</v>
      </c>
      <c r="P51" s="210">
        <f t="shared" si="1"/>
        <v>0</v>
      </c>
      <c r="Q51" s="210">
        <f t="shared" ref="Q51:V51" si="52">3000*J51</f>
        <v>0</v>
      </c>
      <c r="R51" s="210">
        <f t="shared" si="52"/>
        <v>0</v>
      </c>
      <c r="S51" s="210">
        <f t="shared" si="52"/>
        <v>0</v>
      </c>
      <c r="T51" s="210">
        <f t="shared" si="52"/>
        <v>0</v>
      </c>
      <c r="U51" s="210">
        <f t="shared" si="52"/>
        <v>0</v>
      </c>
      <c r="V51" s="210">
        <f t="shared" si="52"/>
        <v>0</v>
      </c>
      <c r="W51" s="210">
        <f t="shared" si="3"/>
        <v>0</v>
      </c>
      <c r="X51" s="204">
        <f t="shared" si="4"/>
        <v>0</v>
      </c>
      <c r="Y51" s="205">
        <f t="shared" si="5"/>
        <v>0</v>
      </c>
      <c r="Z51" s="86" t="s">
        <v>1790</v>
      </c>
      <c r="AA51" s="110"/>
      <c r="AB51" s="47"/>
      <c r="AC51" s="47"/>
      <c r="AD51" s="47"/>
      <c r="AE51" s="47"/>
      <c r="AF51" s="47"/>
    </row>
    <row r="52" ht="15.0" customHeight="1">
      <c r="A52" s="206">
        <v>50.0</v>
      </c>
      <c r="B52" s="207"/>
      <c r="C52" s="208" t="s">
        <v>1788</v>
      </c>
      <c r="D52" s="208" t="s">
        <v>1791</v>
      </c>
      <c r="E52" s="208" t="s">
        <v>1792</v>
      </c>
      <c r="F52" s="209" t="s">
        <v>327</v>
      </c>
      <c r="G52" s="206">
        <v>7.0</v>
      </c>
      <c r="H52" s="206">
        <v>1.0</v>
      </c>
      <c r="I52" s="206">
        <f>COUNTIFS('2_Data_Pelanggan'!$H:$H,$F52,'2_Data_Pelanggan'!$I:$I,$G52,'2_Data_Pelanggan'!$J:$J,$H52,'2_Data_Pelanggan'!$S:$S,"&gt;="&amp;DATE(2026,6,1),'2_Data_Pelanggan'!$S:$S,"&lt;"&amp;DATE(2026,7,1))</f>
        <v>0</v>
      </c>
      <c r="J52" s="206">
        <f>COUNTIFS('2_Data_Pelanggan'!$H:$H,$F52,'2_Data_Pelanggan'!$I:$I,$G52,'2_Data_Pelanggan'!$J:$J,$H52,'2_Data_Pelanggan'!$S:$S,"&gt;="&amp;DATE(2026,7,1),'2_Data_Pelanggan'!$S:$S,"&lt;"&amp;DATE(2026,8,1))</f>
        <v>0</v>
      </c>
      <c r="K52" s="206">
        <f>COUNTIFS('2_Data_Pelanggan'!$H:$H,$F52,'2_Data_Pelanggan'!$I:$I,$G52,'2_Data_Pelanggan'!$J:$J,$H52,'2_Data_Pelanggan'!$S:$S,"&gt;="&amp;DATE(2026,8,1),'2_Data_Pelanggan'!$S:$S,"&lt;"&amp;DATE(2026,9,1))</f>
        <v>0</v>
      </c>
      <c r="L52" s="210">
        <f>COUNTIFS('2_Data_Pelanggan'!$H:$H,$F52,'2_Data_Pelanggan'!$I:$I,$G52,'2_Data_Pelanggan'!$J:$J,$H52,'2_Data_Pelanggan'!$S:$S,"&gt;="&amp;DATE(2026,9,1),'2_Data_Pelanggan'!$S:$S,"&lt;"&amp;DATE(2026,10,1))</f>
        <v>0</v>
      </c>
      <c r="M52" s="210">
        <f>COUNTIFS('2_Data_Pelanggan'!$H:$H,$F52,'2_Data_Pelanggan'!$I:$I,$G52,'2_Data_Pelanggan'!$J:$J,$H52,'2_Data_Pelanggan'!$S:$S,"&gt;="&amp;DATE(2026,10,1),'2_Data_Pelanggan'!$S:$S,"&lt;"&amp;DATE(2026,11,1))</f>
        <v>0</v>
      </c>
      <c r="N52" s="210">
        <f>COUNTIFS('2_Data_Pelanggan'!$H:$H,$F52,'2_Data_Pelanggan'!$I:$I,$G52,'2_Data_Pelanggan'!$J:$J,$H52,'2_Data_Pelanggan'!$S:$S,"&gt;="&amp;DATE(2026,11,1),'2_Data_Pelanggan'!$S:$S,"&lt;"&amp;DATE(2026,12,1))</f>
        <v>0</v>
      </c>
      <c r="O52" s="210">
        <f>COUNTIFS('2_Data_Pelanggan'!$H:$H,$F52,'2_Data_Pelanggan'!$I:$I,$G52,'2_Data_Pelanggan'!$J:$J,$H52,'2_Data_Pelanggan'!$S:$S,"&gt;="&amp;DATE(2026,12,1),'2_Data_Pelanggan'!$S:$S,"&lt;"&amp;DATE(2026,1,1))</f>
        <v>0</v>
      </c>
      <c r="P52" s="210">
        <f t="shared" si="1"/>
        <v>0</v>
      </c>
      <c r="Q52" s="210">
        <f t="shared" ref="Q52:V52" si="53">3000*J52</f>
        <v>0</v>
      </c>
      <c r="R52" s="210">
        <f t="shared" si="53"/>
        <v>0</v>
      </c>
      <c r="S52" s="210">
        <f t="shared" si="53"/>
        <v>0</v>
      </c>
      <c r="T52" s="210">
        <f t="shared" si="53"/>
        <v>0</v>
      </c>
      <c r="U52" s="210">
        <f t="shared" si="53"/>
        <v>0</v>
      </c>
      <c r="V52" s="210">
        <f t="shared" si="53"/>
        <v>0</v>
      </c>
      <c r="W52" s="210">
        <f t="shared" si="3"/>
        <v>0</v>
      </c>
      <c r="X52" s="204">
        <f t="shared" si="4"/>
        <v>0</v>
      </c>
      <c r="Y52" s="205">
        <f t="shared" si="5"/>
        <v>0</v>
      </c>
      <c r="Z52" s="86" t="s">
        <v>1790</v>
      </c>
      <c r="AA52" s="110"/>
      <c r="AB52" s="47"/>
      <c r="AC52" s="47"/>
      <c r="AD52" s="47"/>
      <c r="AE52" s="47"/>
      <c r="AF52" s="47"/>
    </row>
    <row r="53" ht="15.0" customHeight="1">
      <c r="A53" s="206">
        <v>51.0</v>
      </c>
      <c r="B53" s="207"/>
      <c r="C53" s="208" t="s">
        <v>1788</v>
      </c>
      <c r="D53" s="208" t="s">
        <v>1791</v>
      </c>
      <c r="E53" s="208" t="s">
        <v>1792</v>
      </c>
      <c r="F53" s="209" t="s">
        <v>327</v>
      </c>
      <c r="G53" s="206">
        <v>7.0</v>
      </c>
      <c r="H53" s="206">
        <v>2.0</v>
      </c>
      <c r="I53" s="206">
        <f>COUNTIFS('2_Data_Pelanggan'!$H:$H,$F53,'2_Data_Pelanggan'!$I:$I,$G53,'2_Data_Pelanggan'!$J:$J,$H53,'2_Data_Pelanggan'!$S:$S,"&gt;="&amp;DATE(2026,6,1),'2_Data_Pelanggan'!$S:$S,"&lt;"&amp;DATE(2026,7,1))</f>
        <v>0</v>
      </c>
      <c r="J53" s="206">
        <f>COUNTIFS('2_Data_Pelanggan'!$H:$H,$F53,'2_Data_Pelanggan'!$I:$I,$G53,'2_Data_Pelanggan'!$J:$J,$H53,'2_Data_Pelanggan'!$S:$S,"&gt;="&amp;DATE(2026,7,1),'2_Data_Pelanggan'!$S:$S,"&lt;"&amp;DATE(2026,8,1))</f>
        <v>0</v>
      </c>
      <c r="K53" s="206">
        <f>COUNTIFS('2_Data_Pelanggan'!$H:$H,$F53,'2_Data_Pelanggan'!$I:$I,$G53,'2_Data_Pelanggan'!$J:$J,$H53,'2_Data_Pelanggan'!$S:$S,"&gt;="&amp;DATE(2026,8,1),'2_Data_Pelanggan'!$S:$S,"&lt;"&amp;DATE(2026,9,1))</f>
        <v>0</v>
      </c>
      <c r="L53" s="210">
        <f>COUNTIFS('2_Data_Pelanggan'!$H:$H,$F53,'2_Data_Pelanggan'!$I:$I,$G53,'2_Data_Pelanggan'!$J:$J,$H53,'2_Data_Pelanggan'!$S:$S,"&gt;="&amp;DATE(2026,9,1),'2_Data_Pelanggan'!$S:$S,"&lt;"&amp;DATE(2026,10,1))</f>
        <v>0</v>
      </c>
      <c r="M53" s="210">
        <f>COUNTIFS('2_Data_Pelanggan'!$H:$H,$F53,'2_Data_Pelanggan'!$I:$I,$G53,'2_Data_Pelanggan'!$J:$J,$H53,'2_Data_Pelanggan'!$S:$S,"&gt;="&amp;DATE(2026,10,1),'2_Data_Pelanggan'!$S:$S,"&lt;"&amp;DATE(2026,11,1))</f>
        <v>0</v>
      </c>
      <c r="N53" s="210">
        <f>COUNTIFS('2_Data_Pelanggan'!$H:$H,$F53,'2_Data_Pelanggan'!$I:$I,$G53,'2_Data_Pelanggan'!$J:$J,$H53,'2_Data_Pelanggan'!$S:$S,"&gt;="&amp;DATE(2026,11,1),'2_Data_Pelanggan'!$S:$S,"&lt;"&amp;DATE(2026,12,1))</f>
        <v>0</v>
      </c>
      <c r="O53" s="210">
        <f>COUNTIFS('2_Data_Pelanggan'!$H:$H,$F53,'2_Data_Pelanggan'!$I:$I,$G53,'2_Data_Pelanggan'!$J:$J,$H53,'2_Data_Pelanggan'!$S:$S,"&gt;="&amp;DATE(2026,12,1),'2_Data_Pelanggan'!$S:$S,"&lt;"&amp;DATE(2026,1,1))</f>
        <v>0</v>
      </c>
      <c r="P53" s="210">
        <f t="shared" si="1"/>
        <v>0</v>
      </c>
      <c r="Q53" s="210">
        <f t="shared" ref="Q53:V53" si="54">3000*J53</f>
        <v>0</v>
      </c>
      <c r="R53" s="210">
        <f t="shared" si="54"/>
        <v>0</v>
      </c>
      <c r="S53" s="210">
        <f t="shared" si="54"/>
        <v>0</v>
      </c>
      <c r="T53" s="210">
        <f t="shared" si="54"/>
        <v>0</v>
      </c>
      <c r="U53" s="210">
        <f t="shared" si="54"/>
        <v>0</v>
      </c>
      <c r="V53" s="210">
        <f t="shared" si="54"/>
        <v>0</v>
      </c>
      <c r="W53" s="210">
        <f t="shared" si="3"/>
        <v>0</v>
      </c>
      <c r="X53" s="204">
        <f t="shared" si="4"/>
        <v>0</v>
      </c>
      <c r="Y53" s="205">
        <f t="shared" si="5"/>
        <v>0</v>
      </c>
      <c r="Z53" s="86" t="s">
        <v>1790</v>
      </c>
      <c r="AA53" s="110"/>
      <c r="AB53" s="47"/>
      <c r="AC53" s="47"/>
      <c r="AD53" s="47"/>
      <c r="AE53" s="47"/>
      <c r="AF53" s="47"/>
    </row>
    <row r="54" ht="15.0" customHeight="1">
      <c r="A54" s="206">
        <v>52.0</v>
      </c>
      <c r="B54" s="207"/>
      <c r="C54" s="208" t="s">
        <v>1788</v>
      </c>
      <c r="D54" s="208" t="s">
        <v>1791</v>
      </c>
      <c r="E54" s="208" t="s">
        <v>1792</v>
      </c>
      <c r="F54" s="209" t="s">
        <v>327</v>
      </c>
      <c r="G54" s="206">
        <v>7.0</v>
      </c>
      <c r="H54" s="206">
        <v>3.0</v>
      </c>
      <c r="I54" s="206">
        <f>COUNTIFS('2_Data_Pelanggan'!$H:$H,$F54,'2_Data_Pelanggan'!$I:$I,$G54,'2_Data_Pelanggan'!$J:$J,$H54,'2_Data_Pelanggan'!$S:$S,"&gt;="&amp;DATE(2026,6,1),'2_Data_Pelanggan'!$S:$S,"&lt;"&amp;DATE(2026,7,1))</f>
        <v>0</v>
      </c>
      <c r="J54" s="206">
        <f>COUNTIFS('2_Data_Pelanggan'!$H:$H,$F54,'2_Data_Pelanggan'!$I:$I,$G54,'2_Data_Pelanggan'!$J:$J,$H54,'2_Data_Pelanggan'!$S:$S,"&gt;="&amp;DATE(2026,7,1),'2_Data_Pelanggan'!$S:$S,"&lt;"&amp;DATE(2026,8,1))</f>
        <v>0</v>
      </c>
      <c r="K54" s="206">
        <f>COUNTIFS('2_Data_Pelanggan'!$H:$H,$F54,'2_Data_Pelanggan'!$I:$I,$G54,'2_Data_Pelanggan'!$J:$J,$H54,'2_Data_Pelanggan'!$S:$S,"&gt;="&amp;DATE(2026,8,1),'2_Data_Pelanggan'!$S:$S,"&lt;"&amp;DATE(2026,9,1))</f>
        <v>0</v>
      </c>
      <c r="L54" s="210">
        <f>COUNTIFS('2_Data_Pelanggan'!$H:$H,$F54,'2_Data_Pelanggan'!$I:$I,$G54,'2_Data_Pelanggan'!$J:$J,$H54,'2_Data_Pelanggan'!$S:$S,"&gt;="&amp;DATE(2026,9,1),'2_Data_Pelanggan'!$S:$S,"&lt;"&amp;DATE(2026,10,1))</f>
        <v>0</v>
      </c>
      <c r="M54" s="210">
        <f>COUNTIFS('2_Data_Pelanggan'!$H:$H,$F54,'2_Data_Pelanggan'!$I:$I,$G54,'2_Data_Pelanggan'!$J:$J,$H54,'2_Data_Pelanggan'!$S:$S,"&gt;="&amp;DATE(2026,10,1),'2_Data_Pelanggan'!$S:$S,"&lt;"&amp;DATE(2026,11,1))</f>
        <v>0</v>
      </c>
      <c r="N54" s="210">
        <f>COUNTIFS('2_Data_Pelanggan'!$H:$H,$F54,'2_Data_Pelanggan'!$I:$I,$G54,'2_Data_Pelanggan'!$J:$J,$H54,'2_Data_Pelanggan'!$S:$S,"&gt;="&amp;DATE(2026,11,1),'2_Data_Pelanggan'!$S:$S,"&lt;"&amp;DATE(2026,12,1))</f>
        <v>0</v>
      </c>
      <c r="O54" s="210">
        <f>COUNTIFS('2_Data_Pelanggan'!$H:$H,$F54,'2_Data_Pelanggan'!$I:$I,$G54,'2_Data_Pelanggan'!$J:$J,$H54,'2_Data_Pelanggan'!$S:$S,"&gt;="&amp;DATE(2026,12,1),'2_Data_Pelanggan'!$S:$S,"&lt;"&amp;DATE(2026,1,1))</f>
        <v>0</v>
      </c>
      <c r="P54" s="210">
        <f t="shared" si="1"/>
        <v>0</v>
      </c>
      <c r="Q54" s="210">
        <f t="shared" ref="Q54:V54" si="55">3000*J54</f>
        <v>0</v>
      </c>
      <c r="R54" s="210">
        <f t="shared" si="55"/>
        <v>0</v>
      </c>
      <c r="S54" s="210">
        <f t="shared" si="55"/>
        <v>0</v>
      </c>
      <c r="T54" s="210">
        <f t="shared" si="55"/>
        <v>0</v>
      </c>
      <c r="U54" s="210">
        <f t="shared" si="55"/>
        <v>0</v>
      </c>
      <c r="V54" s="210">
        <f t="shared" si="55"/>
        <v>0</v>
      </c>
      <c r="W54" s="210">
        <f t="shared" si="3"/>
        <v>0</v>
      </c>
      <c r="X54" s="204">
        <f t="shared" si="4"/>
        <v>0</v>
      </c>
      <c r="Y54" s="205">
        <f t="shared" si="5"/>
        <v>0</v>
      </c>
      <c r="Z54" s="86" t="s">
        <v>1790</v>
      </c>
      <c r="AA54" s="110"/>
      <c r="AB54" s="47"/>
      <c r="AC54" s="47"/>
      <c r="AD54" s="47"/>
      <c r="AE54" s="47"/>
      <c r="AF54" s="47"/>
    </row>
    <row r="55" ht="15.0" customHeight="1">
      <c r="A55" s="206">
        <v>53.0</v>
      </c>
      <c r="B55" s="207"/>
      <c r="C55" s="208" t="s">
        <v>1788</v>
      </c>
      <c r="D55" s="208" t="s">
        <v>1791</v>
      </c>
      <c r="E55" s="208" t="s">
        <v>1792</v>
      </c>
      <c r="F55" s="209" t="s">
        <v>327</v>
      </c>
      <c r="G55" s="206">
        <v>7.0</v>
      </c>
      <c r="H55" s="206">
        <v>4.0</v>
      </c>
      <c r="I55" s="206">
        <f>COUNTIFS('2_Data_Pelanggan'!$H:$H,$F55,'2_Data_Pelanggan'!$I:$I,$G55,'2_Data_Pelanggan'!$J:$J,$H55,'2_Data_Pelanggan'!$S:$S,"&gt;="&amp;DATE(2026,6,1),'2_Data_Pelanggan'!$S:$S,"&lt;"&amp;DATE(2026,7,1))</f>
        <v>0</v>
      </c>
      <c r="J55" s="206">
        <f>COUNTIFS('2_Data_Pelanggan'!$H:$H,$F55,'2_Data_Pelanggan'!$I:$I,$G55,'2_Data_Pelanggan'!$J:$J,$H55,'2_Data_Pelanggan'!$S:$S,"&gt;="&amp;DATE(2026,7,1),'2_Data_Pelanggan'!$S:$S,"&lt;"&amp;DATE(2026,8,1))</f>
        <v>0</v>
      </c>
      <c r="K55" s="206">
        <f>COUNTIFS('2_Data_Pelanggan'!$H:$H,$F55,'2_Data_Pelanggan'!$I:$I,$G55,'2_Data_Pelanggan'!$J:$J,$H55,'2_Data_Pelanggan'!$S:$S,"&gt;="&amp;DATE(2026,8,1),'2_Data_Pelanggan'!$S:$S,"&lt;"&amp;DATE(2026,9,1))</f>
        <v>0</v>
      </c>
      <c r="L55" s="210">
        <f>COUNTIFS('2_Data_Pelanggan'!$H:$H,$F55,'2_Data_Pelanggan'!$I:$I,$G55,'2_Data_Pelanggan'!$J:$J,$H55,'2_Data_Pelanggan'!$S:$S,"&gt;="&amp;DATE(2026,9,1),'2_Data_Pelanggan'!$S:$S,"&lt;"&amp;DATE(2026,10,1))</f>
        <v>0</v>
      </c>
      <c r="M55" s="210">
        <f>COUNTIFS('2_Data_Pelanggan'!$H:$H,$F55,'2_Data_Pelanggan'!$I:$I,$G55,'2_Data_Pelanggan'!$J:$J,$H55,'2_Data_Pelanggan'!$S:$S,"&gt;="&amp;DATE(2026,10,1),'2_Data_Pelanggan'!$S:$S,"&lt;"&amp;DATE(2026,11,1))</f>
        <v>0</v>
      </c>
      <c r="N55" s="210">
        <f>COUNTIFS('2_Data_Pelanggan'!$H:$H,$F55,'2_Data_Pelanggan'!$I:$I,$G55,'2_Data_Pelanggan'!$J:$J,$H55,'2_Data_Pelanggan'!$S:$S,"&gt;="&amp;DATE(2026,11,1),'2_Data_Pelanggan'!$S:$S,"&lt;"&amp;DATE(2026,12,1))</f>
        <v>0</v>
      </c>
      <c r="O55" s="210">
        <f>COUNTIFS('2_Data_Pelanggan'!$H:$H,$F55,'2_Data_Pelanggan'!$I:$I,$G55,'2_Data_Pelanggan'!$J:$J,$H55,'2_Data_Pelanggan'!$S:$S,"&gt;="&amp;DATE(2026,12,1),'2_Data_Pelanggan'!$S:$S,"&lt;"&amp;DATE(2026,1,1))</f>
        <v>0</v>
      </c>
      <c r="P55" s="210">
        <f t="shared" si="1"/>
        <v>0</v>
      </c>
      <c r="Q55" s="210">
        <f t="shared" ref="Q55:V55" si="56">3000*J55</f>
        <v>0</v>
      </c>
      <c r="R55" s="210">
        <f t="shared" si="56"/>
        <v>0</v>
      </c>
      <c r="S55" s="210">
        <f t="shared" si="56"/>
        <v>0</v>
      </c>
      <c r="T55" s="210">
        <f t="shared" si="56"/>
        <v>0</v>
      </c>
      <c r="U55" s="210">
        <f t="shared" si="56"/>
        <v>0</v>
      </c>
      <c r="V55" s="210">
        <f t="shared" si="56"/>
        <v>0</v>
      </c>
      <c r="W55" s="210">
        <f t="shared" si="3"/>
        <v>0</v>
      </c>
      <c r="X55" s="204">
        <f t="shared" si="4"/>
        <v>0</v>
      </c>
      <c r="Y55" s="205">
        <f t="shared" si="5"/>
        <v>0</v>
      </c>
      <c r="Z55" s="86" t="s">
        <v>1790</v>
      </c>
      <c r="AA55" s="110"/>
      <c r="AB55" s="47"/>
      <c r="AC55" s="47"/>
      <c r="AD55" s="47"/>
      <c r="AE55" s="47"/>
      <c r="AF55" s="47"/>
    </row>
    <row r="56" ht="15.0" customHeight="1">
      <c r="A56" s="206">
        <v>54.0</v>
      </c>
      <c r="B56" s="207"/>
      <c r="C56" s="208" t="s">
        <v>1788</v>
      </c>
      <c r="D56" s="208" t="s">
        <v>1791</v>
      </c>
      <c r="E56" s="208" t="s">
        <v>1792</v>
      </c>
      <c r="F56" s="209" t="s">
        <v>327</v>
      </c>
      <c r="G56" s="206">
        <v>7.0</v>
      </c>
      <c r="H56" s="206">
        <v>5.0</v>
      </c>
      <c r="I56" s="206">
        <f>COUNTIFS('2_Data_Pelanggan'!$H:$H,$F56,'2_Data_Pelanggan'!$I:$I,$G56,'2_Data_Pelanggan'!$J:$J,$H56,'2_Data_Pelanggan'!$S:$S,"&gt;="&amp;DATE(2026,6,1),'2_Data_Pelanggan'!$S:$S,"&lt;"&amp;DATE(2026,7,1))</f>
        <v>0</v>
      </c>
      <c r="J56" s="206">
        <f>COUNTIFS('2_Data_Pelanggan'!$H:$H,$F56,'2_Data_Pelanggan'!$I:$I,$G56,'2_Data_Pelanggan'!$J:$J,$H56,'2_Data_Pelanggan'!$S:$S,"&gt;="&amp;DATE(2026,7,1),'2_Data_Pelanggan'!$S:$S,"&lt;"&amp;DATE(2026,8,1))</f>
        <v>0</v>
      </c>
      <c r="K56" s="206">
        <f>COUNTIFS('2_Data_Pelanggan'!$H:$H,$F56,'2_Data_Pelanggan'!$I:$I,$G56,'2_Data_Pelanggan'!$J:$J,$H56,'2_Data_Pelanggan'!$S:$S,"&gt;="&amp;DATE(2026,8,1),'2_Data_Pelanggan'!$S:$S,"&lt;"&amp;DATE(2026,9,1))</f>
        <v>0</v>
      </c>
      <c r="L56" s="210">
        <f>COUNTIFS('2_Data_Pelanggan'!$H:$H,$F56,'2_Data_Pelanggan'!$I:$I,$G56,'2_Data_Pelanggan'!$J:$J,$H56,'2_Data_Pelanggan'!$S:$S,"&gt;="&amp;DATE(2026,9,1),'2_Data_Pelanggan'!$S:$S,"&lt;"&amp;DATE(2026,10,1))</f>
        <v>0</v>
      </c>
      <c r="M56" s="210">
        <f>COUNTIFS('2_Data_Pelanggan'!$H:$H,$F56,'2_Data_Pelanggan'!$I:$I,$G56,'2_Data_Pelanggan'!$J:$J,$H56,'2_Data_Pelanggan'!$S:$S,"&gt;="&amp;DATE(2026,10,1),'2_Data_Pelanggan'!$S:$S,"&lt;"&amp;DATE(2026,11,1))</f>
        <v>0</v>
      </c>
      <c r="N56" s="210">
        <f>COUNTIFS('2_Data_Pelanggan'!$H:$H,$F56,'2_Data_Pelanggan'!$I:$I,$G56,'2_Data_Pelanggan'!$J:$J,$H56,'2_Data_Pelanggan'!$S:$S,"&gt;="&amp;DATE(2026,11,1),'2_Data_Pelanggan'!$S:$S,"&lt;"&amp;DATE(2026,12,1))</f>
        <v>0</v>
      </c>
      <c r="O56" s="210">
        <f>COUNTIFS('2_Data_Pelanggan'!$H:$H,$F56,'2_Data_Pelanggan'!$I:$I,$G56,'2_Data_Pelanggan'!$J:$J,$H56,'2_Data_Pelanggan'!$S:$S,"&gt;="&amp;DATE(2026,12,1),'2_Data_Pelanggan'!$S:$S,"&lt;"&amp;DATE(2026,1,1))</f>
        <v>0</v>
      </c>
      <c r="P56" s="210">
        <f t="shared" si="1"/>
        <v>0</v>
      </c>
      <c r="Q56" s="210">
        <f t="shared" ref="Q56:V56" si="57">3000*J56</f>
        <v>0</v>
      </c>
      <c r="R56" s="210">
        <f t="shared" si="57"/>
        <v>0</v>
      </c>
      <c r="S56" s="210">
        <f t="shared" si="57"/>
        <v>0</v>
      </c>
      <c r="T56" s="210">
        <f t="shared" si="57"/>
        <v>0</v>
      </c>
      <c r="U56" s="210">
        <f t="shared" si="57"/>
        <v>0</v>
      </c>
      <c r="V56" s="210">
        <f t="shared" si="57"/>
        <v>0</v>
      </c>
      <c r="W56" s="210">
        <f t="shared" si="3"/>
        <v>0</v>
      </c>
      <c r="X56" s="204">
        <f t="shared" si="4"/>
        <v>0</v>
      </c>
      <c r="Y56" s="205">
        <f t="shared" si="5"/>
        <v>0</v>
      </c>
      <c r="Z56" s="86" t="s">
        <v>1790</v>
      </c>
      <c r="AA56" s="110"/>
      <c r="AB56" s="47"/>
      <c r="AC56" s="47"/>
      <c r="AD56" s="47"/>
      <c r="AE56" s="47"/>
      <c r="AF56" s="47"/>
    </row>
    <row r="57" ht="15.0" customHeight="1">
      <c r="A57" s="206">
        <v>55.0</v>
      </c>
      <c r="B57" s="207"/>
      <c r="C57" s="208" t="s">
        <v>1788</v>
      </c>
      <c r="D57" s="208" t="s">
        <v>1791</v>
      </c>
      <c r="E57" s="208" t="s">
        <v>1792</v>
      </c>
      <c r="F57" s="209" t="s">
        <v>327</v>
      </c>
      <c r="G57" s="206">
        <v>7.0</v>
      </c>
      <c r="H57" s="206">
        <v>6.0</v>
      </c>
      <c r="I57" s="206">
        <f>COUNTIFS('2_Data_Pelanggan'!$H:$H,$F57,'2_Data_Pelanggan'!$I:$I,$G57,'2_Data_Pelanggan'!$J:$J,$H57,'2_Data_Pelanggan'!$S:$S,"&gt;="&amp;DATE(2026,6,1),'2_Data_Pelanggan'!$S:$S,"&lt;"&amp;DATE(2026,7,1))</f>
        <v>0</v>
      </c>
      <c r="J57" s="206">
        <f>COUNTIFS('2_Data_Pelanggan'!$H:$H,$F57,'2_Data_Pelanggan'!$I:$I,$G57,'2_Data_Pelanggan'!$J:$J,$H57,'2_Data_Pelanggan'!$S:$S,"&gt;="&amp;DATE(2026,7,1),'2_Data_Pelanggan'!$S:$S,"&lt;"&amp;DATE(2026,8,1))</f>
        <v>0</v>
      </c>
      <c r="K57" s="206">
        <f>COUNTIFS('2_Data_Pelanggan'!$H:$H,$F57,'2_Data_Pelanggan'!$I:$I,$G57,'2_Data_Pelanggan'!$J:$J,$H57,'2_Data_Pelanggan'!$S:$S,"&gt;="&amp;DATE(2026,8,1),'2_Data_Pelanggan'!$S:$S,"&lt;"&amp;DATE(2026,9,1))</f>
        <v>0</v>
      </c>
      <c r="L57" s="210">
        <f>COUNTIFS('2_Data_Pelanggan'!$H:$H,$F57,'2_Data_Pelanggan'!$I:$I,$G57,'2_Data_Pelanggan'!$J:$J,$H57,'2_Data_Pelanggan'!$S:$S,"&gt;="&amp;DATE(2026,9,1),'2_Data_Pelanggan'!$S:$S,"&lt;"&amp;DATE(2026,10,1))</f>
        <v>0</v>
      </c>
      <c r="M57" s="210">
        <f>COUNTIFS('2_Data_Pelanggan'!$H:$H,$F57,'2_Data_Pelanggan'!$I:$I,$G57,'2_Data_Pelanggan'!$J:$J,$H57,'2_Data_Pelanggan'!$S:$S,"&gt;="&amp;DATE(2026,10,1),'2_Data_Pelanggan'!$S:$S,"&lt;"&amp;DATE(2026,11,1))</f>
        <v>0</v>
      </c>
      <c r="N57" s="210">
        <f>COUNTIFS('2_Data_Pelanggan'!$H:$H,$F57,'2_Data_Pelanggan'!$I:$I,$G57,'2_Data_Pelanggan'!$J:$J,$H57,'2_Data_Pelanggan'!$S:$S,"&gt;="&amp;DATE(2026,11,1),'2_Data_Pelanggan'!$S:$S,"&lt;"&amp;DATE(2026,12,1))</f>
        <v>0</v>
      </c>
      <c r="O57" s="210">
        <f>COUNTIFS('2_Data_Pelanggan'!$H:$H,$F57,'2_Data_Pelanggan'!$I:$I,$G57,'2_Data_Pelanggan'!$J:$J,$H57,'2_Data_Pelanggan'!$S:$S,"&gt;="&amp;DATE(2026,12,1),'2_Data_Pelanggan'!$S:$S,"&lt;"&amp;DATE(2026,1,1))</f>
        <v>0</v>
      </c>
      <c r="P57" s="210">
        <f t="shared" si="1"/>
        <v>0</v>
      </c>
      <c r="Q57" s="210">
        <f t="shared" ref="Q57:V57" si="58">3000*J57</f>
        <v>0</v>
      </c>
      <c r="R57" s="210">
        <f t="shared" si="58"/>
        <v>0</v>
      </c>
      <c r="S57" s="210">
        <f t="shared" si="58"/>
        <v>0</v>
      </c>
      <c r="T57" s="210">
        <f t="shared" si="58"/>
        <v>0</v>
      </c>
      <c r="U57" s="210">
        <f t="shared" si="58"/>
        <v>0</v>
      </c>
      <c r="V57" s="210">
        <f t="shared" si="58"/>
        <v>0</v>
      </c>
      <c r="W57" s="210">
        <f t="shared" si="3"/>
        <v>0</v>
      </c>
      <c r="X57" s="204">
        <f t="shared" si="4"/>
        <v>0</v>
      </c>
      <c r="Y57" s="205">
        <f t="shared" si="5"/>
        <v>0</v>
      </c>
      <c r="Z57" s="86" t="s">
        <v>1790</v>
      </c>
      <c r="AA57" s="110"/>
      <c r="AB57" s="47"/>
      <c r="AC57" s="47"/>
      <c r="AD57" s="47"/>
      <c r="AE57" s="47"/>
      <c r="AF57" s="47"/>
    </row>
    <row r="58" ht="15.0" customHeight="1">
      <c r="A58" s="206">
        <v>56.0</v>
      </c>
      <c r="B58" s="207"/>
      <c r="C58" s="208" t="s">
        <v>1788</v>
      </c>
      <c r="D58" s="208" t="s">
        <v>1791</v>
      </c>
      <c r="E58" s="208" t="s">
        <v>1792</v>
      </c>
      <c r="F58" s="209" t="s">
        <v>327</v>
      </c>
      <c r="G58" s="206">
        <v>7.0</v>
      </c>
      <c r="H58" s="206">
        <v>7.0</v>
      </c>
      <c r="I58" s="206">
        <f>COUNTIFS('2_Data_Pelanggan'!$H:$H,$F58,'2_Data_Pelanggan'!$I:$I,$G58,'2_Data_Pelanggan'!$J:$J,$H58,'2_Data_Pelanggan'!$S:$S,"&gt;="&amp;DATE(2026,6,1),'2_Data_Pelanggan'!$S:$S,"&lt;"&amp;DATE(2026,7,1))</f>
        <v>0</v>
      </c>
      <c r="J58" s="206">
        <f>COUNTIFS('2_Data_Pelanggan'!$H:$H,$F58,'2_Data_Pelanggan'!$I:$I,$G58,'2_Data_Pelanggan'!$J:$J,$H58,'2_Data_Pelanggan'!$S:$S,"&gt;="&amp;DATE(2026,7,1),'2_Data_Pelanggan'!$S:$S,"&lt;"&amp;DATE(2026,8,1))</f>
        <v>0</v>
      </c>
      <c r="K58" s="206">
        <f>COUNTIFS('2_Data_Pelanggan'!$H:$H,$F58,'2_Data_Pelanggan'!$I:$I,$G58,'2_Data_Pelanggan'!$J:$J,$H58,'2_Data_Pelanggan'!$S:$S,"&gt;="&amp;DATE(2026,8,1),'2_Data_Pelanggan'!$S:$S,"&lt;"&amp;DATE(2026,9,1))</f>
        <v>0</v>
      </c>
      <c r="L58" s="210">
        <f>COUNTIFS('2_Data_Pelanggan'!$H:$H,$F58,'2_Data_Pelanggan'!$I:$I,$G58,'2_Data_Pelanggan'!$J:$J,$H58,'2_Data_Pelanggan'!$S:$S,"&gt;="&amp;DATE(2026,9,1),'2_Data_Pelanggan'!$S:$S,"&lt;"&amp;DATE(2026,10,1))</f>
        <v>0</v>
      </c>
      <c r="M58" s="210">
        <f>COUNTIFS('2_Data_Pelanggan'!$H:$H,$F58,'2_Data_Pelanggan'!$I:$I,$G58,'2_Data_Pelanggan'!$J:$J,$H58,'2_Data_Pelanggan'!$S:$S,"&gt;="&amp;DATE(2026,10,1),'2_Data_Pelanggan'!$S:$S,"&lt;"&amp;DATE(2026,11,1))</f>
        <v>0</v>
      </c>
      <c r="N58" s="210">
        <f>COUNTIFS('2_Data_Pelanggan'!$H:$H,$F58,'2_Data_Pelanggan'!$I:$I,$G58,'2_Data_Pelanggan'!$J:$J,$H58,'2_Data_Pelanggan'!$S:$S,"&gt;="&amp;DATE(2026,11,1),'2_Data_Pelanggan'!$S:$S,"&lt;"&amp;DATE(2026,12,1))</f>
        <v>0</v>
      </c>
      <c r="O58" s="210">
        <f>COUNTIFS('2_Data_Pelanggan'!$H:$H,$F58,'2_Data_Pelanggan'!$I:$I,$G58,'2_Data_Pelanggan'!$J:$J,$H58,'2_Data_Pelanggan'!$S:$S,"&gt;="&amp;DATE(2026,12,1),'2_Data_Pelanggan'!$S:$S,"&lt;"&amp;DATE(2026,1,1))</f>
        <v>0</v>
      </c>
      <c r="P58" s="210">
        <f t="shared" si="1"/>
        <v>0</v>
      </c>
      <c r="Q58" s="210">
        <f t="shared" ref="Q58:V58" si="59">3000*J58</f>
        <v>0</v>
      </c>
      <c r="R58" s="210">
        <f t="shared" si="59"/>
        <v>0</v>
      </c>
      <c r="S58" s="210">
        <f t="shared" si="59"/>
        <v>0</v>
      </c>
      <c r="T58" s="210">
        <f t="shared" si="59"/>
        <v>0</v>
      </c>
      <c r="U58" s="210">
        <f t="shared" si="59"/>
        <v>0</v>
      </c>
      <c r="V58" s="210">
        <f t="shared" si="59"/>
        <v>0</v>
      </c>
      <c r="W58" s="210">
        <f t="shared" si="3"/>
        <v>0</v>
      </c>
      <c r="X58" s="204">
        <f t="shared" si="4"/>
        <v>0</v>
      </c>
      <c r="Y58" s="205">
        <f t="shared" si="5"/>
        <v>0</v>
      </c>
      <c r="Z58" s="86" t="s">
        <v>1790</v>
      </c>
      <c r="AA58" s="110"/>
      <c r="AB58" s="47"/>
      <c r="AC58" s="47"/>
      <c r="AD58" s="47"/>
      <c r="AE58" s="47"/>
      <c r="AF58" s="47"/>
    </row>
    <row r="59" ht="15.0" customHeight="1">
      <c r="A59" s="206">
        <v>57.0</v>
      </c>
      <c r="B59" s="207"/>
      <c r="C59" s="208" t="s">
        <v>1788</v>
      </c>
      <c r="D59" s="208" t="s">
        <v>1791</v>
      </c>
      <c r="E59" s="208" t="s">
        <v>1792</v>
      </c>
      <c r="F59" s="209" t="s">
        <v>327</v>
      </c>
      <c r="G59" s="206">
        <v>7.0</v>
      </c>
      <c r="H59" s="206">
        <v>8.0</v>
      </c>
      <c r="I59" s="206">
        <f>COUNTIFS('2_Data_Pelanggan'!$H:$H,$F59,'2_Data_Pelanggan'!$I:$I,$G59,'2_Data_Pelanggan'!$J:$J,$H59,'2_Data_Pelanggan'!$S:$S,"&gt;="&amp;DATE(2026,6,1),'2_Data_Pelanggan'!$S:$S,"&lt;"&amp;DATE(2026,7,1))</f>
        <v>0</v>
      </c>
      <c r="J59" s="206">
        <f>COUNTIFS('2_Data_Pelanggan'!$H:$H,$F59,'2_Data_Pelanggan'!$I:$I,$G59,'2_Data_Pelanggan'!$J:$J,$H59,'2_Data_Pelanggan'!$S:$S,"&gt;="&amp;DATE(2026,7,1),'2_Data_Pelanggan'!$S:$S,"&lt;"&amp;DATE(2026,8,1))</f>
        <v>0</v>
      </c>
      <c r="K59" s="206">
        <f>COUNTIFS('2_Data_Pelanggan'!$H:$H,$F59,'2_Data_Pelanggan'!$I:$I,$G59,'2_Data_Pelanggan'!$J:$J,$H59,'2_Data_Pelanggan'!$S:$S,"&gt;="&amp;DATE(2026,8,1),'2_Data_Pelanggan'!$S:$S,"&lt;"&amp;DATE(2026,9,1))</f>
        <v>0</v>
      </c>
      <c r="L59" s="210">
        <f>COUNTIFS('2_Data_Pelanggan'!$H:$H,$F59,'2_Data_Pelanggan'!$I:$I,$G59,'2_Data_Pelanggan'!$J:$J,$H59,'2_Data_Pelanggan'!$S:$S,"&gt;="&amp;DATE(2026,9,1),'2_Data_Pelanggan'!$S:$S,"&lt;"&amp;DATE(2026,10,1))</f>
        <v>0</v>
      </c>
      <c r="M59" s="210">
        <f>COUNTIFS('2_Data_Pelanggan'!$H:$H,$F59,'2_Data_Pelanggan'!$I:$I,$G59,'2_Data_Pelanggan'!$J:$J,$H59,'2_Data_Pelanggan'!$S:$S,"&gt;="&amp;DATE(2026,10,1),'2_Data_Pelanggan'!$S:$S,"&lt;"&amp;DATE(2026,11,1))</f>
        <v>0</v>
      </c>
      <c r="N59" s="210">
        <f>COUNTIFS('2_Data_Pelanggan'!$H:$H,$F59,'2_Data_Pelanggan'!$I:$I,$G59,'2_Data_Pelanggan'!$J:$J,$H59,'2_Data_Pelanggan'!$S:$S,"&gt;="&amp;DATE(2026,11,1),'2_Data_Pelanggan'!$S:$S,"&lt;"&amp;DATE(2026,12,1))</f>
        <v>0</v>
      </c>
      <c r="O59" s="210">
        <f>COUNTIFS('2_Data_Pelanggan'!$H:$H,$F59,'2_Data_Pelanggan'!$I:$I,$G59,'2_Data_Pelanggan'!$J:$J,$H59,'2_Data_Pelanggan'!$S:$S,"&gt;="&amp;DATE(2026,12,1),'2_Data_Pelanggan'!$S:$S,"&lt;"&amp;DATE(2026,1,1))</f>
        <v>0</v>
      </c>
      <c r="P59" s="210">
        <f t="shared" si="1"/>
        <v>0</v>
      </c>
      <c r="Q59" s="210">
        <f t="shared" ref="Q59:V59" si="60">3000*J59</f>
        <v>0</v>
      </c>
      <c r="R59" s="210">
        <f t="shared" si="60"/>
        <v>0</v>
      </c>
      <c r="S59" s="210">
        <f t="shared" si="60"/>
        <v>0</v>
      </c>
      <c r="T59" s="210">
        <f t="shared" si="60"/>
        <v>0</v>
      </c>
      <c r="U59" s="210">
        <f t="shared" si="60"/>
        <v>0</v>
      </c>
      <c r="V59" s="210">
        <f t="shared" si="60"/>
        <v>0</v>
      </c>
      <c r="W59" s="210">
        <f t="shared" si="3"/>
        <v>0</v>
      </c>
      <c r="X59" s="204">
        <f t="shared" si="4"/>
        <v>0</v>
      </c>
      <c r="Y59" s="205">
        <f t="shared" si="5"/>
        <v>0</v>
      </c>
      <c r="Z59" s="86" t="s">
        <v>1790</v>
      </c>
      <c r="AA59" s="110"/>
      <c r="AB59" s="47"/>
      <c r="AC59" s="47"/>
      <c r="AD59" s="47"/>
      <c r="AE59" s="47"/>
      <c r="AF59" s="47"/>
    </row>
    <row r="60" ht="15.0" customHeight="1">
      <c r="A60" s="206">
        <v>58.0</v>
      </c>
      <c r="B60" s="207"/>
      <c r="C60" s="208" t="s">
        <v>1788</v>
      </c>
      <c r="D60" s="208" t="s">
        <v>1791</v>
      </c>
      <c r="E60" s="208" t="s">
        <v>1792</v>
      </c>
      <c r="F60" s="209" t="s">
        <v>327</v>
      </c>
      <c r="G60" s="206">
        <v>8.0</v>
      </c>
      <c r="H60" s="206">
        <v>1.0</v>
      </c>
      <c r="I60" s="206">
        <f>COUNTIFS('2_Data_Pelanggan'!$H:$H,$F60,'2_Data_Pelanggan'!$I:$I,$G60,'2_Data_Pelanggan'!$J:$J,$H60,'2_Data_Pelanggan'!$S:$S,"&gt;="&amp;DATE(2026,6,1),'2_Data_Pelanggan'!$S:$S,"&lt;"&amp;DATE(2026,7,1))</f>
        <v>0</v>
      </c>
      <c r="J60" s="206">
        <f>COUNTIFS('2_Data_Pelanggan'!$H:$H,$F60,'2_Data_Pelanggan'!$I:$I,$G60,'2_Data_Pelanggan'!$J:$J,$H60,'2_Data_Pelanggan'!$S:$S,"&gt;="&amp;DATE(2026,7,1),'2_Data_Pelanggan'!$S:$S,"&lt;"&amp;DATE(2026,8,1))</f>
        <v>0</v>
      </c>
      <c r="K60" s="206">
        <f>COUNTIFS('2_Data_Pelanggan'!$H:$H,$F60,'2_Data_Pelanggan'!$I:$I,$G60,'2_Data_Pelanggan'!$J:$J,$H60,'2_Data_Pelanggan'!$S:$S,"&gt;="&amp;DATE(2026,8,1),'2_Data_Pelanggan'!$S:$S,"&lt;"&amp;DATE(2026,9,1))</f>
        <v>0</v>
      </c>
      <c r="L60" s="210">
        <f>COUNTIFS('2_Data_Pelanggan'!$H:$H,$F60,'2_Data_Pelanggan'!$I:$I,$G60,'2_Data_Pelanggan'!$J:$J,$H60,'2_Data_Pelanggan'!$S:$S,"&gt;="&amp;DATE(2026,9,1),'2_Data_Pelanggan'!$S:$S,"&lt;"&amp;DATE(2026,10,1))</f>
        <v>0</v>
      </c>
      <c r="M60" s="210">
        <f>COUNTIFS('2_Data_Pelanggan'!$H:$H,$F60,'2_Data_Pelanggan'!$I:$I,$G60,'2_Data_Pelanggan'!$J:$J,$H60,'2_Data_Pelanggan'!$S:$S,"&gt;="&amp;DATE(2026,10,1),'2_Data_Pelanggan'!$S:$S,"&lt;"&amp;DATE(2026,11,1))</f>
        <v>0</v>
      </c>
      <c r="N60" s="210">
        <f>COUNTIFS('2_Data_Pelanggan'!$H:$H,$F60,'2_Data_Pelanggan'!$I:$I,$G60,'2_Data_Pelanggan'!$J:$J,$H60,'2_Data_Pelanggan'!$S:$S,"&gt;="&amp;DATE(2026,11,1),'2_Data_Pelanggan'!$S:$S,"&lt;"&amp;DATE(2026,12,1))</f>
        <v>0</v>
      </c>
      <c r="O60" s="210">
        <f>COUNTIFS('2_Data_Pelanggan'!$H:$H,$F60,'2_Data_Pelanggan'!$I:$I,$G60,'2_Data_Pelanggan'!$J:$J,$H60,'2_Data_Pelanggan'!$S:$S,"&gt;="&amp;DATE(2026,12,1),'2_Data_Pelanggan'!$S:$S,"&lt;"&amp;DATE(2026,1,1))</f>
        <v>0</v>
      </c>
      <c r="P60" s="210">
        <f t="shared" si="1"/>
        <v>0</v>
      </c>
      <c r="Q60" s="210">
        <f t="shared" ref="Q60:V60" si="61">3000*J60</f>
        <v>0</v>
      </c>
      <c r="R60" s="210">
        <f t="shared" si="61"/>
        <v>0</v>
      </c>
      <c r="S60" s="210">
        <f t="shared" si="61"/>
        <v>0</v>
      </c>
      <c r="T60" s="210">
        <f t="shared" si="61"/>
        <v>0</v>
      </c>
      <c r="U60" s="210">
        <f t="shared" si="61"/>
        <v>0</v>
      </c>
      <c r="V60" s="210">
        <f t="shared" si="61"/>
        <v>0</v>
      </c>
      <c r="W60" s="210">
        <f t="shared" si="3"/>
        <v>0</v>
      </c>
      <c r="X60" s="204">
        <f t="shared" si="4"/>
        <v>0</v>
      </c>
      <c r="Y60" s="205">
        <f t="shared" si="5"/>
        <v>0</v>
      </c>
      <c r="Z60" s="86" t="s">
        <v>1790</v>
      </c>
      <c r="AA60" s="110"/>
      <c r="AB60" s="47"/>
      <c r="AC60" s="47"/>
      <c r="AD60" s="47"/>
      <c r="AE60" s="47"/>
      <c r="AF60" s="47"/>
    </row>
    <row r="61" ht="15.0" customHeight="1">
      <c r="A61" s="206">
        <v>59.0</v>
      </c>
      <c r="B61" s="207"/>
      <c r="C61" s="208" t="s">
        <v>1788</v>
      </c>
      <c r="D61" s="208" t="s">
        <v>1791</v>
      </c>
      <c r="E61" s="208" t="s">
        <v>1792</v>
      </c>
      <c r="F61" s="209" t="s">
        <v>327</v>
      </c>
      <c r="G61" s="206">
        <v>8.0</v>
      </c>
      <c r="H61" s="206">
        <v>2.0</v>
      </c>
      <c r="I61" s="206">
        <f>COUNTIFS('2_Data_Pelanggan'!$H:$H,$F61,'2_Data_Pelanggan'!$I:$I,$G61,'2_Data_Pelanggan'!$J:$J,$H61,'2_Data_Pelanggan'!$S:$S,"&gt;="&amp;DATE(2026,6,1),'2_Data_Pelanggan'!$S:$S,"&lt;"&amp;DATE(2026,7,1))</f>
        <v>0</v>
      </c>
      <c r="J61" s="206">
        <f>COUNTIFS('2_Data_Pelanggan'!$H:$H,$F61,'2_Data_Pelanggan'!$I:$I,$G61,'2_Data_Pelanggan'!$J:$J,$H61,'2_Data_Pelanggan'!$S:$S,"&gt;="&amp;DATE(2026,7,1),'2_Data_Pelanggan'!$S:$S,"&lt;"&amp;DATE(2026,8,1))</f>
        <v>0</v>
      </c>
      <c r="K61" s="206">
        <f>COUNTIFS('2_Data_Pelanggan'!$H:$H,$F61,'2_Data_Pelanggan'!$I:$I,$G61,'2_Data_Pelanggan'!$J:$J,$H61,'2_Data_Pelanggan'!$S:$S,"&gt;="&amp;DATE(2026,8,1),'2_Data_Pelanggan'!$S:$S,"&lt;"&amp;DATE(2026,9,1))</f>
        <v>0</v>
      </c>
      <c r="L61" s="210">
        <f>COUNTIFS('2_Data_Pelanggan'!$H:$H,$F61,'2_Data_Pelanggan'!$I:$I,$G61,'2_Data_Pelanggan'!$J:$J,$H61,'2_Data_Pelanggan'!$S:$S,"&gt;="&amp;DATE(2026,9,1),'2_Data_Pelanggan'!$S:$S,"&lt;"&amp;DATE(2026,10,1))</f>
        <v>0</v>
      </c>
      <c r="M61" s="210">
        <f>COUNTIFS('2_Data_Pelanggan'!$H:$H,$F61,'2_Data_Pelanggan'!$I:$I,$G61,'2_Data_Pelanggan'!$J:$J,$H61,'2_Data_Pelanggan'!$S:$S,"&gt;="&amp;DATE(2026,10,1),'2_Data_Pelanggan'!$S:$S,"&lt;"&amp;DATE(2026,11,1))</f>
        <v>0</v>
      </c>
      <c r="N61" s="210">
        <f>COUNTIFS('2_Data_Pelanggan'!$H:$H,$F61,'2_Data_Pelanggan'!$I:$I,$G61,'2_Data_Pelanggan'!$J:$J,$H61,'2_Data_Pelanggan'!$S:$S,"&gt;="&amp;DATE(2026,11,1),'2_Data_Pelanggan'!$S:$S,"&lt;"&amp;DATE(2026,12,1))</f>
        <v>0</v>
      </c>
      <c r="O61" s="210">
        <f>COUNTIFS('2_Data_Pelanggan'!$H:$H,$F61,'2_Data_Pelanggan'!$I:$I,$G61,'2_Data_Pelanggan'!$J:$J,$H61,'2_Data_Pelanggan'!$S:$S,"&gt;="&amp;DATE(2026,12,1),'2_Data_Pelanggan'!$S:$S,"&lt;"&amp;DATE(2026,1,1))</f>
        <v>0</v>
      </c>
      <c r="P61" s="210">
        <f t="shared" si="1"/>
        <v>0</v>
      </c>
      <c r="Q61" s="210">
        <f t="shared" ref="Q61:V61" si="62">3000*J61</f>
        <v>0</v>
      </c>
      <c r="R61" s="210">
        <f t="shared" si="62"/>
        <v>0</v>
      </c>
      <c r="S61" s="210">
        <f t="shared" si="62"/>
        <v>0</v>
      </c>
      <c r="T61" s="210">
        <f t="shared" si="62"/>
        <v>0</v>
      </c>
      <c r="U61" s="210">
        <f t="shared" si="62"/>
        <v>0</v>
      </c>
      <c r="V61" s="210">
        <f t="shared" si="62"/>
        <v>0</v>
      </c>
      <c r="W61" s="210">
        <f t="shared" si="3"/>
        <v>0</v>
      </c>
      <c r="X61" s="204">
        <f t="shared" si="4"/>
        <v>0</v>
      </c>
      <c r="Y61" s="205">
        <f t="shared" si="5"/>
        <v>0</v>
      </c>
      <c r="Z61" s="86" t="s">
        <v>1790</v>
      </c>
      <c r="AA61" s="110"/>
      <c r="AB61" s="47"/>
      <c r="AC61" s="47"/>
      <c r="AD61" s="47"/>
      <c r="AE61" s="47"/>
      <c r="AF61" s="47"/>
    </row>
    <row r="62" ht="15.0" customHeight="1">
      <c r="A62" s="206">
        <v>60.0</v>
      </c>
      <c r="B62" s="207"/>
      <c r="C62" s="208" t="s">
        <v>1788</v>
      </c>
      <c r="D62" s="208" t="s">
        <v>1791</v>
      </c>
      <c r="E62" s="208" t="s">
        <v>1792</v>
      </c>
      <c r="F62" s="209" t="s">
        <v>327</v>
      </c>
      <c r="G62" s="206">
        <v>8.0</v>
      </c>
      <c r="H62" s="206">
        <v>3.0</v>
      </c>
      <c r="I62" s="206">
        <f>COUNTIFS('2_Data_Pelanggan'!$H:$H,$F62,'2_Data_Pelanggan'!$I:$I,$G62,'2_Data_Pelanggan'!$J:$J,$H62,'2_Data_Pelanggan'!$S:$S,"&gt;="&amp;DATE(2026,6,1),'2_Data_Pelanggan'!$S:$S,"&lt;"&amp;DATE(2026,7,1))</f>
        <v>0</v>
      </c>
      <c r="J62" s="206">
        <f>COUNTIFS('2_Data_Pelanggan'!$H:$H,$F62,'2_Data_Pelanggan'!$I:$I,$G62,'2_Data_Pelanggan'!$J:$J,$H62,'2_Data_Pelanggan'!$S:$S,"&gt;="&amp;DATE(2026,7,1),'2_Data_Pelanggan'!$S:$S,"&lt;"&amp;DATE(2026,8,1))</f>
        <v>0</v>
      </c>
      <c r="K62" s="206">
        <f>COUNTIFS('2_Data_Pelanggan'!$H:$H,$F62,'2_Data_Pelanggan'!$I:$I,$G62,'2_Data_Pelanggan'!$J:$J,$H62,'2_Data_Pelanggan'!$S:$S,"&gt;="&amp;DATE(2026,8,1),'2_Data_Pelanggan'!$S:$S,"&lt;"&amp;DATE(2026,9,1))</f>
        <v>0</v>
      </c>
      <c r="L62" s="210">
        <f>COUNTIFS('2_Data_Pelanggan'!$H:$H,$F62,'2_Data_Pelanggan'!$I:$I,$G62,'2_Data_Pelanggan'!$J:$J,$H62,'2_Data_Pelanggan'!$S:$S,"&gt;="&amp;DATE(2026,9,1),'2_Data_Pelanggan'!$S:$S,"&lt;"&amp;DATE(2026,10,1))</f>
        <v>0</v>
      </c>
      <c r="M62" s="210">
        <f>COUNTIFS('2_Data_Pelanggan'!$H:$H,$F62,'2_Data_Pelanggan'!$I:$I,$G62,'2_Data_Pelanggan'!$J:$J,$H62,'2_Data_Pelanggan'!$S:$S,"&gt;="&amp;DATE(2026,10,1),'2_Data_Pelanggan'!$S:$S,"&lt;"&amp;DATE(2026,11,1))</f>
        <v>0</v>
      </c>
      <c r="N62" s="210">
        <f>COUNTIFS('2_Data_Pelanggan'!$H:$H,$F62,'2_Data_Pelanggan'!$I:$I,$G62,'2_Data_Pelanggan'!$J:$J,$H62,'2_Data_Pelanggan'!$S:$S,"&gt;="&amp;DATE(2026,11,1),'2_Data_Pelanggan'!$S:$S,"&lt;"&amp;DATE(2026,12,1))</f>
        <v>0</v>
      </c>
      <c r="O62" s="210">
        <f>COUNTIFS('2_Data_Pelanggan'!$H:$H,$F62,'2_Data_Pelanggan'!$I:$I,$G62,'2_Data_Pelanggan'!$J:$J,$H62,'2_Data_Pelanggan'!$S:$S,"&gt;="&amp;DATE(2026,12,1),'2_Data_Pelanggan'!$S:$S,"&lt;"&amp;DATE(2026,1,1))</f>
        <v>0</v>
      </c>
      <c r="P62" s="210">
        <f t="shared" si="1"/>
        <v>0</v>
      </c>
      <c r="Q62" s="210">
        <f t="shared" ref="Q62:V62" si="63">3000*J62</f>
        <v>0</v>
      </c>
      <c r="R62" s="210">
        <f t="shared" si="63"/>
        <v>0</v>
      </c>
      <c r="S62" s="210">
        <f t="shared" si="63"/>
        <v>0</v>
      </c>
      <c r="T62" s="210">
        <f t="shared" si="63"/>
        <v>0</v>
      </c>
      <c r="U62" s="210">
        <f t="shared" si="63"/>
        <v>0</v>
      </c>
      <c r="V62" s="210">
        <f t="shared" si="63"/>
        <v>0</v>
      </c>
      <c r="W62" s="210">
        <f t="shared" si="3"/>
        <v>0</v>
      </c>
      <c r="X62" s="204">
        <f t="shared" si="4"/>
        <v>0</v>
      </c>
      <c r="Y62" s="205">
        <f t="shared" si="5"/>
        <v>0</v>
      </c>
      <c r="Z62" s="86" t="s">
        <v>1790</v>
      </c>
      <c r="AA62" s="110"/>
      <c r="AB62" s="47"/>
      <c r="AC62" s="47"/>
      <c r="AD62" s="47"/>
      <c r="AE62" s="47"/>
      <c r="AF62" s="47"/>
    </row>
    <row r="63" ht="15.0" customHeight="1">
      <c r="A63" s="206">
        <v>61.0</v>
      </c>
      <c r="B63" s="207"/>
      <c r="C63" s="208" t="s">
        <v>1788</v>
      </c>
      <c r="D63" s="208" t="s">
        <v>1791</v>
      </c>
      <c r="E63" s="208" t="s">
        <v>1792</v>
      </c>
      <c r="F63" s="209" t="s">
        <v>327</v>
      </c>
      <c r="G63" s="206">
        <v>8.0</v>
      </c>
      <c r="H63" s="206">
        <v>4.0</v>
      </c>
      <c r="I63" s="206">
        <f>COUNTIFS('2_Data_Pelanggan'!$H:$H,$F63,'2_Data_Pelanggan'!$I:$I,$G63,'2_Data_Pelanggan'!$J:$J,$H63,'2_Data_Pelanggan'!$S:$S,"&gt;="&amp;DATE(2026,6,1),'2_Data_Pelanggan'!$S:$S,"&lt;"&amp;DATE(2026,7,1))</f>
        <v>0</v>
      </c>
      <c r="J63" s="206">
        <f>COUNTIFS('2_Data_Pelanggan'!$H:$H,$F63,'2_Data_Pelanggan'!$I:$I,$G63,'2_Data_Pelanggan'!$J:$J,$H63,'2_Data_Pelanggan'!$S:$S,"&gt;="&amp;DATE(2026,7,1),'2_Data_Pelanggan'!$S:$S,"&lt;"&amp;DATE(2026,8,1))</f>
        <v>0</v>
      </c>
      <c r="K63" s="206">
        <f>COUNTIFS('2_Data_Pelanggan'!$H:$H,$F63,'2_Data_Pelanggan'!$I:$I,$G63,'2_Data_Pelanggan'!$J:$J,$H63,'2_Data_Pelanggan'!$S:$S,"&gt;="&amp;DATE(2026,8,1),'2_Data_Pelanggan'!$S:$S,"&lt;"&amp;DATE(2026,9,1))</f>
        <v>0</v>
      </c>
      <c r="L63" s="210">
        <f>COUNTIFS('2_Data_Pelanggan'!$H:$H,$F63,'2_Data_Pelanggan'!$I:$I,$G63,'2_Data_Pelanggan'!$J:$J,$H63,'2_Data_Pelanggan'!$S:$S,"&gt;="&amp;DATE(2026,9,1),'2_Data_Pelanggan'!$S:$S,"&lt;"&amp;DATE(2026,10,1))</f>
        <v>0</v>
      </c>
      <c r="M63" s="210">
        <f>COUNTIFS('2_Data_Pelanggan'!$H:$H,$F63,'2_Data_Pelanggan'!$I:$I,$G63,'2_Data_Pelanggan'!$J:$J,$H63,'2_Data_Pelanggan'!$S:$S,"&gt;="&amp;DATE(2026,10,1),'2_Data_Pelanggan'!$S:$S,"&lt;"&amp;DATE(2026,11,1))</f>
        <v>0</v>
      </c>
      <c r="N63" s="210">
        <f>COUNTIFS('2_Data_Pelanggan'!$H:$H,$F63,'2_Data_Pelanggan'!$I:$I,$G63,'2_Data_Pelanggan'!$J:$J,$H63,'2_Data_Pelanggan'!$S:$S,"&gt;="&amp;DATE(2026,11,1),'2_Data_Pelanggan'!$S:$S,"&lt;"&amp;DATE(2026,12,1))</f>
        <v>0</v>
      </c>
      <c r="O63" s="210">
        <f>COUNTIFS('2_Data_Pelanggan'!$H:$H,$F63,'2_Data_Pelanggan'!$I:$I,$G63,'2_Data_Pelanggan'!$J:$J,$H63,'2_Data_Pelanggan'!$S:$S,"&gt;="&amp;DATE(2026,12,1),'2_Data_Pelanggan'!$S:$S,"&lt;"&amp;DATE(2026,1,1))</f>
        <v>0</v>
      </c>
      <c r="P63" s="210">
        <f t="shared" si="1"/>
        <v>0</v>
      </c>
      <c r="Q63" s="210">
        <f t="shared" ref="Q63:V63" si="64">3000*J63</f>
        <v>0</v>
      </c>
      <c r="R63" s="210">
        <f t="shared" si="64"/>
        <v>0</v>
      </c>
      <c r="S63" s="210">
        <f t="shared" si="64"/>
        <v>0</v>
      </c>
      <c r="T63" s="210">
        <f t="shared" si="64"/>
        <v>0</v>
      </c>
      <c r="U63" s="210">
        <f t="shared" si="64"/>
        <v>0</v>
      </c>
      <c r="V63" s="210">
        <f t="shared" si="64"/>
        <v>0</v>
      </c>
      <c r="W63" s="210">
        <f t="shared" si="3"/>
        <v>0</v>
      </c>
      <c r="X63" s="204">
        <f t="shared" si="4"/>
        <v>0</v>
      </c>
      <c r="Y63" s="205">
        <f t="shared" si="5"/>
        <v>0</v>
      </c>
      <c r="Z63" s="86" t="s">
        <v>1790</v>
      </c>
      <c r="AA63" s="110"/>
      <c r="AB63" s="47"/>
      <c r="AC63" s="47"/>
      <c r="AD63" s="47"/>
      <c r="AE63" s="47"/>
      <c r="AF63" s="47"/>
    </row>
    <row r="64" ht="15.0" customHeight="1">
      <c r="A64" s="206">
        <v>62.0</v>
      </c>
      <c r="B64" s="207"/>
      <c r="C64" s="208" t="s">
        <v>1788</v>
      </c>
      <c r="D64" s="208" t="s">
        <v>1791</v>
      </c>
      <c r="E64" s="208" t="s">
        <v>1792</v>
      </c>
      <c r="F64" s="209" t="s">
        <v>327</v>
      </c>
      <c r="G64" s="206">
        <v>8.0</v>
      </c>
      <c r="H64" s="206">
        <v>5.0</v>
      </c>
      <c r="I64" s="206">
        <f>COUNTIFS('2_Data_Pelanggan'!$H:$H,$F64,'2_Data_Pelanggan'!$I:$I,$G64,'2_Data_Pelanggan'!$J:$J,$H64,'2_Data_Pelanggan'!$S:$S,"&gt;="&amp;DATE(2026,6,1),'2_Data_Pelanggan'!$S:$S,"&lt;"&amp;DATE(2026,7,1))</f>
        <v>0</v>
      </c>
      <c r="J64" s="206">
        <f>COUNTIFS('2_Data_Pelanggan'!$H:$H,$F64,'2_Data_Pelanggan'!$I:$I,$G64,'2_Data_Pelanggan'!$J:$J,$H64,'2_Data_Pelanggan'!$S:$S,"&gt;="&amp;DATE(2026,7,1),'2_Data_Pelanggan'!$S:$S,"&lt;"&amp;DATE(2026,8,1))</f>
        <v>0</v>
      </c>
      <c r="K64" s="206">
        <f>COUNTIFS('2_Data_Pelanggan'!$H:$H,$F64,'2_Data_Pelanggan'!$I:$I,$G64,'2_Data_Pelanggan'!$J:$J,$H64,'2_Data_Pelanggan'!$S:$S,"&gt;="&amp;DATE(2026,8,1),'2_Data_Pelanggan'!$S:$S,"&lt;"&amp;DATE(2026,9,1))</f>
        <v>0</v>
      </c>
      <c r="L64" s="210">
        <f>COUNTIFS('2_Data_Pelanggan'!$H:$H,$F64,'2_Data_Pelanggan'!$I:$I,$G64,'2_Data_Pelanggan'!$J:$J,$H64,'2_Data_Pelanggan'!$S:$S,"&gt;="&amp;DATE(2026,9,1),'2_Data_Pelanggan'!$S:$S,"&lt;"&amp;DATE(2026,10,1))</f>
        <v>0</v>
      </c>
      <c r="M64" s="210">
        <f>COUNTIFS('2_Data_Pelanggan'!$H:$H,$F64,'2_Data_Pelanggan'!$I:$I,$G64,'2_Data_Pelanggan'!$J:$J,$H64,'2_Data_Pelanggan'!$S:$S,"&gt;="&amp;DATE(2026,10,1),'2_Data_Pelanggan'!$S:$S,"&lt;"&amp;DATE(2026,11,1))</f>
        <v>0</v>
      </c>
      <c r="N64" s="210">
        <f>COUNTIFS('2_Data_Pelanggan'!$H:$H,$F64,'2_Data_Pelanggan'!$I:$I,$G64,'2_Data_Pelanggan'!$J:$J,$H64,'2_Data_Pelanggan'!$S:$S,"&gt;="&amp;DATE(2026,11,1),'2_Data_Pelanggan'!$S:$S,"&lt;"&amp;DATE(2026,12,1))</f>
        <v>0</v>
      </c>
      <c r="O64" s="210">
        <f>COUNTIFS('2_Data_Pelanggan'!$H:$H,$F64,'2_Data_Pelanggan'!$I:$I,$G64,'2_Data_Pelanggan'!$J:$J,$H64,'2_Data_Pelanggan'!$S:$S,"&gt;="&amp;DATE(2026,12,1),'2_Data_Pelanggan'!$S:$S,"&lt;"&amp;DATE(2026,1,1))</f>
        <v>0</v>
      </c>
      <c r="P64" s="210">
        <f t="shared" si="1"/>
        <v>0</v>
      </c>
      <c r="Q64" s="210">
        <f t="shared" ref="Q64:V64" si="65">3000*J64</f>
        <v>0</v>
      </c>
      <c r="R64" s="210">
        <f t="shared" si="65"/>
        <v>0</v>
      </c>
      <c r="S64" s="210">
        <f t="shared" si="65"/>
        <v>0</v>
      </c>
      <c r="T64" s="210">
        <f t="shared" si="65"/>
        <v>0</v>
      </c>
      <c r="U64" s="210">
        <f t="shared" si="65"/>
        <v>0</v>
      </c>
      <c r="V64" s="210">
        <f t="shared" si="65"/>
        <v>0</v>
      </c>
      <c r="W64" s="210">
        <f t="shared" si="3"/>
        <v>0</v>
      </c>
      <c r="X64" s="204">
        <f t="shared" si="4"/>
        <v>0</v>
      </c>
      <c r="Y64" s="205">
        <f t="shared" si="5"/>
        <v>0</v>
      </c>
      <c r="Z64" s="86" t="s">
        <v>1790</v>
      </c>
      <c r="AA64" s="110"/>
      <c r="AB64" s="47"/>
      <c r="AC64" s="47"/>
      <c r="AD64" s="47"/>
      <c r="AE64" s="47"/>
      <c r="AF64" s="47"/>
    </row>
    <row r="65" ht="15.0" customHeight="1">
      <c r="A65" s="206">
        <v>63.0</v>
      </c>
      <c r="B65" s="207"/>
      <c r="C65" s="208" t="s">
        <v>1788</v>
      </c>
      <c r="D65" s="208" t="s">
        <v>1791</v>
      </c>
      <c r="E65" s="208" t="s">
        <v>1792</v>
      </c>
      <c r="F65" s="209" t="s">
        <v>327</v>
      </c>
      <c r="G65" s="206">
        <v>8.0</v>
      </c>
      <c r="H65" s="206">
        <v>6.0</v>
      </c>
      <c r="I65" s="206">
        <f>COUNTIFS('2_Data_Pelanggan'!$H:$H,$F65,'2_Data_Pelanggan'!$I:$I,$G65,'2_Data_Pelanggan'!$J:$J,$H65,'2_Data_Pelanggan'!$S:$S,"&gt;="&amp;DATE(2026,6,1),'2_Data_Pelanggan'!$S:$S,"&lt;"&amp;DATE(2026,7,1))</f>
        <v>0</v>
      </c>
      <c r="J65" s="206">
        <f>COUNTIFS('2_Data_Pelanggan'!$H:$H,$F65,'2_Data_Pelanggan'!$I:$I,$G65,'2_Data_Pelanggan'!$J:$J,$H65,'2_Data_Pelanggan'!$S:$S,"&gt;="&amp;DATE(2026,7,1),'2_Data_Pelanggan'!$S:$S,"&lt;"&amp;DATE(2026,8,1))</f>
        <v>0</v>
      </c>
      <c r="K65" s="206">
        <f>COUNTIFS('2_Data_Pelanggan'!$H:$H,$F65,'2_Data_Pelanggan'!$I:$I,$G65,'2_Data_Pelanggan'!$J:$J,$H65,'2_Data_Pelanggan'!$S:$S,"&gt;="&amp;DATE(2026,8,1),'2_Data_Pelanggan'!$S:$S,"&lt;"&amp;DATE(2026,9,1))</f>
        <v>0</v>
      </c>
      <c r="L65" s="210">
        <f>COUNTIFS('2_Data_Pelanggan'!$H:$H,$F65,'2_Data_Pelanggan'!$I:$I,$G65,'2_Data_Pelanggan'!$J:$J,$H65,'2_Data_Pelanggan'!$S:$S,"&gt;="&amp;DATE(2026,9,1),'2_Data_Pelanggan'!$S:$S,"&lt;"&amp;DATE(2026,10,1))</f>
        <v>0</v>
      </c>
      <c r="M65" s="210">
        <f>COUNTIFS('2_Data_Pelanggan'!$H:$H,$F65,'2_Data_Pelanggan'!$I:$I,$G65,'2_Data_Pelanggan'!$J:$J,$H65,'2_Data_Pelanggan'!$S:$S,"&gt;="&amp;DATE(2026,10,1),'2_Data_Pelanggan'!$S:$S,"&lt;"&amp;DATE(2026,11,1))</f>
        <v>0</v>
      </c>
      <c r="N65" s="210">
        <f>COUNTIFS('2_Data_Pelanggan'!$H:$H,$F65,'2_Data_Pelanggan'!$I:$I,$G65,'2_Data_Pelanggan'!$J:$J,$H65,'2_Data_Pelanggan'!$S:$S,"&gt;="&amp;DATE(2026,11,1),'2_Data_Pelanggan'!$S:$S,"&lt;"&amp;DATE(2026,12,1))</f>
        <v>0</v>
      </c>
      <c r="O65" s="210">
        <f>COUNTIFS('2_Data_Pelanggan'!$H:$H,$F65,'2_Data_Pelanggan'!$I:$I,$G65,'2_Data_Pelanggan'!$J:$J,$H65,'2_Data_Pelanggan'!$S:$S,"&gt;="&amp;DATE(2026,12,1),'2_Data_Pelanggan'!$S:$S,"&lt;"&amp;DATE(2026,1,1))</f>
        <v>0</v>
      </c>
      <c r="P65" s="210">
        <f t="shared" si="1"/>
        <v>0</v>
      </c>
      <c r="Q65" s="210">
        <f t="shared" ref="Q65:V65" si="66">3000*J65</f>
        <v>0</v>
      </c>
      <c r="R65" s="210">
        <f t="shared" si="66"/>
        <v>0</v>
      </c>
      <c r="S65" s="210">
        <f t="shared" si="66"/>
        <v>0</v>
      </c>
      <c r="T65" s="210">
        <f t="shared" si="66"/>
        <v>0</v>
      </c>
      <c r="U65" s="210">
        <f t="shared" si="66"/>
        <v>0</v>
      </c>
      <c r="V65" s="210">
        <f t="shared" si="66"/>
        <v>0</v>
      </c>
      <c r="W65" s="210">
        <f t="shared" si="3"/>
        <v>0</v>
      </c>
      <c r="X65" s="204">
        <f t="shared" si="4"/>
        <v>0</v>
      </c>
      <c r="Y65" s="205">
        <f t="shared" si="5"/>
        <v>0</v>
      </c>
      <c r="Z65" s="86" t="s">
        <v>1790</v>
      </c>
      <c r="AA65" s="110"/>
      <c r="AB65" s="47"/>
      <c r="AC65" s="47"/>
      <c r="AD65" s="47"/>
      <c r="AE65" s="47"/>
      <c r="AF65" s="47"/>
    </row>
    <row r="66" ht="15.0" customHeight="1">
      <c r="A66" s="206">
        <v>64.0</v>
      </c>
      <c r="B66" s="207"/>
      <c r="C66" s="208" t="s">
        <v>1788</v>
      </c>
      <c r="D66" s="208" t="s">
        <v>1791</v>
      </c>
      <c r="E66" s="208" t="s">
        <v>1792</v>
      </c>
      <c r="F66" s="209" t="s">
        <v>327</v>
      </c>
      <c r="G66" s="206">
        <v>8.0</v>
      </c>
      <c r="H66" s="206">
        <v>7.0</v>
      </c>
      <c r="I66" s="206">
        <f>COUNTIFS('2_Data_Pelanggan'!$H:$H,$F66,'2_Data_Pelanggan'!$I:$I,$G66,'2_Data_Pelanggan'!$J:$J,$H66,'2_Data_Pelanggan'!$S:$S,"&gt;="&amp;DATE(2026,6,1),'2_Data_Pelanggan'!$S:$S,"&lt;"&amp;DATE(2026,7,1))</f>
        <v>0</v>
      </c>
      <c r="J66" s="206">
        <f>COUNTIFS('2_Data_Pelanggan'!$H:$H,$F66,'2_Data_Pelanggan'!$I:$I,$G66,'2_Data_Pelanggan'!$J:$J,$H66,'2_Data_Pelanggan'!$S:$S,"&gt;="&amp;DATE(2026,7,1),'2_Data_Pelanggan'!$S:$S,"&lt;"&amp;DATE(2026,8,1))</f>
        <v>0</v>
      </c>
      <c r="K66" s="206">
        <f>COUNTIFS('2_Data_Pelanggan'!$H:$H,$F66,'2_Data_Pelanggan'!$I:$I,$G66,'2_Data_Pelanggan'!$J:$J,$H66,'2_Data_Pelanggan'!$S:$S,"&gt;="&amp;DATE(2026,8,1),'2_Data_Pelanggan'!$S:$S,"&lt;"&amp;DATE(2026,9,1))</f>
        <v>0</v>
      </c>
      <c r="L66" s="210">
        <f>COUNTIFS('2_Data_Pelanggan'!$H:$H,$F66,'2_Data_Pelanggan'!$I:$I,$G66,'2_Data_Pelanggan'!$J:$J,$H66,'2_Data_Pelanggan'!$S:$S,"&gt;="&amp;DATE(2026,9,1),'2_Data_Pelanggan'!$S:$S,"&lt;"&amp;DATE(2026,10,1))</f>
        <v>0</v>
      </c>
      <c r="M66" s="210">
        <f>COUNTIFS('2_Data_Pelanggan'!$H:$H,$F66,'2_Data_Pelanggan'!$I:$I,$G66,'2_Data_Pelanggan'!$J:$J,$H66,'2_Data_Pelanggan'!$S:$S,"&gt;="&amp;DATE(2026,10,1),'2_Data_Pelanggan'!$S:$S,"&lt;"&amp;DATE(2026,11,1))</f>
        <v>0</v>
      </c>
      <c r="N66" s="210">
        <f>COUNTIFS('2_Data_Pelanggan'!$H:$H,$F66,'2_Data_Pelanggan'!$I:$I,$G66,'2_Data_Pelanggan'!$J:$J,$H66,'2_Data_Pelanggan'!$S:$S,"&gt;="&amp;DATE(2026,11,1),'2_Data_Pelanggan'!$S:$S,"&lt;"&amp;DATE(2026,12,1))</f>
        <v>0</v>
      </c>
      <c r="O66" s="210">
        <f>COUNTIFS('2_Data_Pelanggan'!$H:$H,$F66,'2_Data_Pelanggan'!$I:$I,$G66,'2_Data_Pelanggan'!$J:$J,$H66,'2_Data_Pelanggan'!$S:$S,"&gt;="&amp;DATE(2026,12,1),'2_Data_Pelanggan'!$S:$S,"&lt;"&amp;DATE(2026,1,1))</f>
        <v>0</v>
      </c>
      <c r="P66" s="210">
        <f t="shared" si="1"/>
        <v>0</v>
      </c>
      <c r="Q66" s="210">
        <f t="shared" ref="Q66:V66" si="67">3000*J66</f>
        <v>0</v>
      </c>
      <c r="R66" s="210">
        <f t="shared" si="67"/>
        <v>0</v>
      </c>
      <c r="S66" s="210">
        <f t="shared" si="67"/>
        <v>0</v>
      </c>
      <c r="T66" s="210">
        <f t="shared" si="67"/>
        <v>0</v>
      </c>
      <c r="U66" s="210">
        <f t="shared" si="67"/>
        <v>0</v>
      </c>
      <c r="V66" s="210">
        <f t="shared" si="67"/>
        <v>0</v>
      </c>
      <c r="W66" s="210">
        <f t="shared" si="3"/>
        <v>0</v>
      </c>
      <c r="X66" s="204">
        <f t="shared" si="4"/>
        <v>0</v>
      </c>
      <c r="Y66" s="205">
        <f t="shared" si="5"/>
        <v>0</v>
      </c>
      <c r="Z66" s="86" t="s">
        <v>1790</v>
      </c>
      <c r="AA66" s="110"/>
      <c r="AB66" s="47"/>
      <c r="AC66" s="47"/>
      <c r="AD66" s="47"/>
      <c r="AE66" s="47"/>
      <c r="AF66" s="47"/>
    </row>
    <row r="67" ht="15.0" customHeight="1">
      <c r="A67" s="206">
        <v>65.0</v>
      </c>
      <c r="B67" s="207"/>
      <c r="C67" s="208" t="s">
        <v>1788</v>
      </c>
      <c r="D67" s="208" t="s">
        <v>1791</v>
      </c>
      <c r="E67" s="208" t="s">
        <v>1792</v>
      </c>
      <c r="F67" s="209" t="s">
        <v>327</v>
      </c>
      <c r="G67" s="206">
        <v>8.0</v>
      </c>
      <c r="H67" s="206">
        <v>8.0</v>
      </c>
      <c r="I67" s="206">
        <f>COUNTIFS('2_Data_Pelanggan'!$H:$H,$F67,'2_Data_Pelanggan'!$I:$I,$G67,'2_Data_Pelanggan'!$J:$J,$H67,'2_Data_Pelanggan'!$S:$S,"&gt;="&amp;DATE(2026,6,1),'2_Data_Pelanggan'!$S:$S,"&lt;"&amp;DATE(2026,7,1))</f>
        <v>0</v>
      </c>
      <c r="J67" s="206">
        <f>COUNTIFS('2_Data_Pelanggan'!$H:$H,$F67,'2_Data_Pelanggan'!$I:$I,$G67,'2_Data_Pelanggan'!$J:$J,$H67,'2_Data_Pelanggan'!$S:$S,"&gt;="&amp;DATE(2026,7,1),'2_Data_Pelanggan'!$S:$S,"&lt;"&amp;DATE(2026,8,1))</f>
        <v>0</v>
      </c>
      <c r="K67" s="206">
        <f>COUNTIFS('2_Data_Pelanggan'!$H:$H,$F67,'2_Data_Pelanggan'!$I:$I,$G67,'2_Data_Pelanggan'!$J:$J,$H67,'2_Data_Pelanggan'!$S:$S,"&gt;="&amp;DATE(2026,8,1),'2_Data_Pelanggan'!$S:$S,"&lt;"&amp;DATE(2026,9,1))</f>
        <v>0</v>
      </c>
      <c r="L67" s="210">
        <f>COUNTIFS('2_Data_Pelanggan'!$H:$H,$F67,'2_Data_Pelanggan'!$I:$I,$G67,'2_Data_Pelanggan'!$J:$J,$H67,'2_Data_Pelanggan'!$S:$S,"&gt;="&amp;DATE(2026,9,1),'2_Data_Pelanggan'!$S:$S,"&lt;"&amp;DATE(2026,10,1))</f>
        <v>0</v>
      </c>
      <c r="M67" s="210">
        <f>COUNTIFS('2_Data_Pelanggan'!$H:$H,$F67,'2_Data_Pelanggan'!$I:$I,$G67,'2_Data_Pelanggan'!$J:$J,$H67,'2_Data_Pelanggan'!$S:$S,"&gt;="&amp;DATE(2026,10,1),'2_Data_Pelanggan'!$S:$S,"&lt;"&amp;DATE(2026,11,1))</f>
        <v>0</v>
      </c>
      <c r="N67" s="210">
        <f>COUNTIFS('2_Data_Pelanggan'!$H:$H,$F67,'2_Data_Pelanggan'!$I:$I,$G67,'2_Data_Pelanggan'!$J:$J,$H67,'2_Data_Pelanggan'!$S:$S,"&gt;="&amp;DATE(2026,11,1),'2_Data_Pelanggan'!$S:$S,"&lt;"&amp;DATE(2026,12,1))</f>
        <v>0</v>
      </c>
      <c r="O67" s="210">
        <f>COUNTIFS('2_Data_Pelanggan'!$H:$H,$F67,'2_Data_Pelanggan'!$I:$I,$G67,'2_Data_Pelanggan'!$J:$J,$H67,'2_Data_Pelanggan'!$S:$S,"&gt;="&amp;DATE(2026,12,1),'2_Data_Pelanggan'!$S:$S,"&lt;"&amp;DATE(2026,1,1))</f>
        <v>0</v>
      </c>
      <c r="P67" s="210">
        <f t="shared" si="1"/>
        <v>0</v>
      </c>
      <c r="Q67" s="210">
        <f t="shared" ref="Q67:V67" si="68">3000*J67</f>
        <v>0</v>
      </c>
      <c r="R67" s="210">
        <f t="shared" si="68"/>
        <v>0</v>
      </c>
      <c r="S67" s="210">
        <f t="shared" si="68"/>
        <v>0</v>
      </c>
      <c r="T67" s="210">
        <f t="shared" si="68"/>
        <v>0</v>
      </c>
      <c r="U67" s="210">
        <f t="shared" si="68"/>
        <v>0</v>
      </c>
      <c r="V67" s="210">
        <f t="shared" si="68"/>
        <v>0</v>
      </c>
      <c r="W67" s="210">
        <f t="shared" si="3"/>
        <v>0</v>
      </c>
      <c r="X67" s="204">
        <f t="shared" si="4"/>
        <v>0</v>
      </c>
      <c r="Y67" s="205">
        <f t="shared" si="5"/>
        <v>0</v>
      </c>
      <c r="Z67" s="86" t="s">
        <v>1790</v>
      </c>
      <c r="AA67" s="110"/>
      <c r="AB67" s="47"/>
      <c r="AC67" s="47"/>
      <c r="AD67" s="47"/>
      <c r="AE67" s="47"/>
      <c r="AF67" s="47"/>
    </row>
    <row r="68" ht="15.0" customHeight="1">
      <c r="A68" s="206">
        <v>66.0</v>
      </c>
      <c r="B68" s="207"/>
      <c r="C68" s="208" t="s">
        <v>1788</v>
      </c>
      <c r="D68" s="208" t="s">
        <v>1791</v>
      </c>
      <c r="E68" s="208" t="s">
        <v>1792</v>
      </c>
      <c r="F68" s="209" t="s">
        <v>327</v>
      </c>
      <c r="G68" s="206">
        <v>9.0</v>
      </c>
      <c r="H68" s="206">
        <v>1.0</v>
      </c>
      <c r="I68" s="206">
        <f>COUNTIFS('2_Data_Pelanggan'!$H:$H,$F68,'2_Data_Pelanggan'!$I:$I,$G68,'2_Data_Pelanggan'!$J:$J,$H68,'2_Data_Pelanggan'!$S:$S,"&gt;="&amp;DATE(2026,6,1),'2_Data_Pelanggan'!$S:$S,"&lt;"&amp;DATE(2026,7,1))</f>
        <v>2</v>
      </c>
      <c r="J68" s="206">
        <f>COUNTIFS('2_Data_Pelanggan'!$H:$H,$F68,'2_Data_Pelanggan'!$I:$I,$G68,'2_Data_Pelanggan'!$J:$J,$H68,'2_Data_Pelanggan'!$S:$S,"&gt;="&amp;DATE(2026,7,1),'2_Data_Pelanggan'!$S:$S,"&lt;"&amp;DATE(2026,8,1))</f>
        <v>0</v>
      </c>
      <c r="K68" s="206">
        <f>COUNTIFS('2_Data_Pelanggan'!$H:$H,$F68,'2_Data_Pelanggan'!$I:$I,$G68,'2_Data_Pelanggan'!$J:$J,$H68,'2_Data_Pelanggan'!$S:$S,"&gt;="&amp;DATE(2026,8,1),'2_Data_Pelanggan'!$S:$S,"&lt;"&amp;DATE(2026,9,1))</f>
        <v>0</v>
      </c>
      <c r="L68" s="210">
        <f>COUNTIFS('2_Data_Pelanggan'!$H:$H,$F68,'2_Data_Pelanggan'!$I:$I,$G68,'2_Data_Pelanggan'!$J:$J,$H68,'2_Data_Pelanggan'!$S:$S,"&gt;="&amp;DATE(2026,9,1),'2_Data_Pelanggan'!$S:$S,"&lt;"&amp;DATE(2026,10,1))</f>
        <v>0</v>
      </c>
      <c r="M68" s="210">
        <f>COUNTIFS('2_Data_Pelanggan'!$H:$H,$F68,'2_Data_Pelanggan'!$I:$I,$G68,'2_Data_Pelanggan'!$J:$J,$H68,'2_Data_Pelanggan'!$S:$S,"&gt;="&amp;DATE(2026,10,1),'2_Data_Pelanggan'!$S:$S,"&lt;"&amp;DATE(2026,11,1))</f>
        <v>0</v>
      </c>
      <c r="N68" s="210">
        <f>COUNTIFS('2_Data_Pelanggan'!$H:$H,$F68,'2_Data_Pelanggan'!$I:$I,$G68,'2_Data_Pelanggan'!$J:$J,$H68,'2_Data_Pelanggan'!$S:$S,"&gt;="&amp;DATE(2026,11,1),'2_Data_Pelanggan'!$S:$S,"&lt;"&amp;DATE(2026,12,1))</f>
        <v>0</v>
      </c>
      <c r="O68" s="210">
        <f>COUNTIFS('2_Data_Pelanggan'!$H:$H,$F68,'2_Data_Pelanggan'!$I:$I,$G68,'2_Data_Pelanggan'!$J:$J,$H68,'2_Data_Pelanggan'!$S:$S,"&gt;="&amp;DATE(2026,12,1),'2_Data_Pelanggan'!$S:$S,"&lt;"&amp;DATE(2026,1,1))</f>
        <v>0</v>
      </c>
      <c r="P68" s="210">
        <f t="shared" si="1"/>
        <v>6000</v>
      </c>
      <c r="Q68" s="210">
        <f t="shared" ref="Q68:V68" si="69">3000*J68</f>
        <v>0</v>
      </c>
      <c r="R68" s="210">
        <f t="shared" si="69"/>
        <v>0</v>
      </c>
      <c r="S68" s="210">
        <f t="shared" si="69"/>
        <v>0</v>
      </c>
      <c r="T68" s="210">
        <f t="shared" si="69"/>
        <v>0</v>
      </c>
      <c r="U68" s="210">
        <f t="shared" si="69"/>
        <v>0</v>
      </c>
      <c r="V68" s="210">
        <f t="shared" si="69"/>
        <v>0</v>
      </c>
      <c r="W68" s="210">
        <f t="shared" si="3"/>
        <v>6000</v>
      </c>
      <c r="X68" s="204">
        <f t="shared" si="4"/>
        <v>2000</v>
      </c>
      <c r="Y68" s="205">
        <f t="shared" si="5"/>
        <v>4000</v>
      </c>
      <c r="Z68" s="86" t="s">
        <v>1790</v>
      </c>
      <c r="AA68" s="110"/>
      <c r="AB68" s="47"/>
      <c r="AC68" s="47"/>
      <c r="AD68" s="47"/>
      <c r="AE68" s="47"/>
      <c r="AF68" s="47"/>
    </row>
    <row r="69" ht="15.0" customHeight="1">
      <c r="A69" s="206">
        <v>67.0</v>
      </c>
      <c r="B69" s="207"/>
      <c r="C69" s="208" t="s">
        <v>1788</v>
      </c>
      <c r="D69" s="208" t="s">
        <v>1791</v>
      </c>
      <c r="E69" s="208" t="s">
        <v>1792</v>
      </c>
      <c r="F69" s="209" t="s">
        <v>327</v>
      </c>
      <c r="G69" s="206">
        <v>9.0</v>
      </c>
      <c r="H69" s="206">
        <v>2.0</v>
      </c>
      <c r="I69" s="206">
        <f>COUNTIFS('2_Data_Pelanggan'!$H:$H,$F69,'2_Data_Pelanggan'!$I:$I,$G69,'2_Data_Pelanggan'!$J:$J,$H69,'2_Data_Pelanggan'!$S:$S,"&gt;="&amp;DATE(2026,6,1),'2_Data_Pelanggan'!$S:$S,"&lt;"&amp;DATE(2026,7,1))</f>
        <v>2</v>
      </c>
      <c r="J69" s="206">
        <f>COUNTIFS('2_Data_Pelanggan'!$H:$H,$F69,'2_Data_Pelanggan'!$I:$I,$G69,'2_Data_Pelanggan'!$J:$J,$H69,'2_Data_Pelanggan'!$S:$S,"&gt;="&amp;DATE(2026,7,1),'2_Data_Pelanggan'!$S:$S,"&lt;"&amp;DATE(2026,8,1))</f>
        <v>1</v>
      </c>
      <c r="K69" s="206">
        <f>COUNTIFS('2_Data_Pelanggan'!$H:$H,$F69,'2_Data_Pelanggan'!$I:$I,$G69,'2_Data_Pelanggan'!$J:$J,$H69,'2_Data_Pelanggan'!$S:$S,"&gt;="&amp;DATE(2026,8,1),'2_Data_Pelanggan'!$S:$S,"&lt;"&amp;DATE(2026,9,1))</f>
        <v>0</v>
      </c>
      <c r="L69" s="210">
        <f>COUNTIFS('2_Data_Pelanggan'!$H:$H,$F69,'2_Data_Pelanggan'!$I:$I,$G69,'2_Data_Pelanggan'!$J:$J,$H69,'2_Data_Pelanggan'!$S:$S,"&gt;="&amp;DATE(2026,9,1),'2_Data_Pelanggan'!$S:$S,"&lt;"&amp;DATE(2026,10,1))</f>
        <v>0</v>
      </c>
      <c r="M69" s="210">
        <f>COUNTIFS('2_Data_Pelanggan'!$H:$H,$F69,'2_Data_Pelanggan'!$I:$I,$G69,'2_Data_Pelanggan'!$J:$J,$H69,'2_Data_Pelanggan'!$S:$S,"&gt;="&amp;DATE(2026,10,1),'2_Data_Pelanggan'!$S:$S,"&lt;"&amp;DATE(2026,11,1))</f>
        <v>0</v>
      </c>
      <c r="N69" s="210">
        <f>COUNTIFS('2_Data_Pelanggan'!$H:$H,$F69,'2_Data_Pelanggan'!$I:$I,$G69,'2_Data_Pelanggan'!$J:$J,$H69,'2_Data_Pelanggan'!$S:$S,"&gt;="&amp;DATE(2026,11,1),'2_Data_Pelanggan'!$S:$S,"&lt;"&amp;DATE(2026,12,1))</f>
        <v>0</v>
      </c>
      <c r="O69" s="210">
        <f>COUNTIFS('2_Data_Pelanggan'!$H:$H,$F69,'2_Data_Pelanggan'!$I:$I,$G69,'2_Data_Pelanggan'!$J:$J,$H69,'2_Data_Pelanggan'!$S:$S,"&gt;="&amp;DATE(2026,12,1),'2_Data_Pelanggan'!$S:$S,"&lt;"&amp;DATE(2026,1,1))</f>
        <v>0</v>
      </c>
      <c r="P69" s="210">
        <f t="shared" si="1"/>
        <v>6000</v>
      </c>
      <c r="Q69" s="210">
        <f t="shared" ref="Q69:V69" si="70">3000*J69</f>
        <v>3000</v>
      </c>
      <c r="R69" s="210">
        <f t="shared" si="70"/>
        <v>0</v>
      </c>
      <c r="S69" s="210">
        <f t="shared" si="70"/>
        <v>0</v>
      </c>
      <c r="T69" s="210">
        <f t="shared" si="70"/>
        <v>0</v>
      </c>
      <c r="U69" s="210">
        <f t="shared" si="70"/>
        <v>0</v>
      </c>
      <c r="V69" s="210">
        <f t="shared" si="70"/>
        <v>0</v>
      </c>
      <c r="W69" s="210">
        <f t="shared" si="3"/>
        <v>9000</v>
      </c>
      <c r="X69" s="204">
        <f t="shared" si="4"/>
        <v>3000</v>
      </c>
      <c r="Y69" s="205">
        <f t="shared" si="5"/>
        <v>6000</v>
      </c>
      <c r="Z69" s="86" t="s">
        <v>1790</v>
      </c>
      <c r="AA69" s="110"/>
      <c r="AB69" s="47"/>
      <c r="AC69" s="47"/>
      <c r="AD69" s="47"/>
      <c r="AE69" s="47"/>
      <c r="AF69" s="47"/>
    </row>
    <row r="70" ht="15.0" customHeight="1">
      <c r="A70" s="206">
        <v>68.0</v>
      </c>
      <c r="B70" s="207"/>
      <c r="C70" s="208" t="s">
        <v>1788</v>
      </c>
      <c r="D70" s="208" t="s">
        <v>1791</v>
      </c>
      <c r="E70" s="208" t="s">
        <v>1792</v>
      </c>
      <c r="F70" s="209" t="s">
        <v>327</v>
      </c>
      <c r="G70" s="206">
        <v>9.0</v>
      </c>
      <c r="H70" s="206">
        <v>3.0</v>
      </c>
      <c r="I70" s="206">
        <f>COUNTIFS('2_Data_Pelanggan'!$H:$H,$F70,'2_Data_Pelanggan'!$I:$I,$G70,'2_Data_Pelanggan'!$J:$J,$H70,'2_Data_Pelanggan'!$S:$S,"&gt;="&amp;DATE(2026,6,1),'2_Data_Pelanggan'!$S:$S,"&lt;"&amp;DATE(2026,7,1))</f>
        <v>2</v>
      </c>
      <c r="J70" s="206">
        <f>COUNTIFS('2_Data_Pelanggan'!$H:$H,$F70,'2_Data_Pelanggan'!$I:$I,$G70,'2_Data_Pelanggan'!$J:$J,$H70,'2_Data_Pelanggan'!$S:$S,"&gt;="&amp;DATE(2026,7,1),'2_Data_Pelanggan'!$S:$S,"&lt;"&amp;DATE(2026,8,1))</f>
        <v>0</v>
      </c>
      <c r="K70" s="206">
        <f>COUNTIFS('2_Data_Pelanggan'!$H:$H,$F70,'2_Data_Pelanggan'!$I:$I,$G70,'2_Data_Pelanggan'!$J:$J,$H70,'2_Data_Pelanggan'!$S:$S,"&gt;="&amp;DATE(2026,8,1),'2_Data_Pelanggan'!$S:$S,"&lt;"&amp;DATE(2026,9,1))</f>
        <v>0</v>
      </c>
      <c r="L70" s="210">
        <f>COUNTIFS('2_Data_Pelanggan'!$H:$H,$F70,'2_Data_Pelanggan'!$I:$I,$G70,'2_Data_Pelanggan'!$J:$J,$H70,'2_Data_Pelanggan'!$S:$S,"&gt;="&amp;DATE(2026,9,1),'2_Data_Pelanggan'!$S:$S,"&lt;"&amp;DATE(2026,10,1))</f>
        <v>0</v>
      </c>
      <c r="M70" s="210">
        <f>COUNTIFS('2_Data_Pelanggan'!$H:$H,$F70,'2_Data_Pelanggan'!$I:$I,$G70,'2_Data_Pelanggan'!$J:$J,$H70,'2_Data_Pelanggan'!$S:$S,"&gt;="&amp;DATE(2026,10,1),'2_Data_Pelanggan'!$S:$S,"&lt;"&amp;DATE(2026,11,1))</f>
        <v>0</v>
      </c>
      <c r="N70" s="210">
        <f>COUNTIFS('2_Data_Pelanggan'!$H:$H,$F70,'2_Data_Pelanggan'!$I:$I,$G70,'2_Data_Pelanggan'!$J:$J,$H70,'2_Data_Pelanggan'!$S:$S,"&gt;="&amp;DATE(2026,11,1),'2_Data_Pelanggan'!$S:$S,"&lt;"&amp;DATE(2026,12,1))</f>
        <v>0</v>
      </c>
      <c r="O70" s="210">
        <f>COUNTIFS('2_Data_Pelanggan'!$H:$H,$F70,'2_Data_Pelanggan'!$I:$I,$G70,'2_Data_Pelanggan'!$J:$J,$H70,'2_Data_Pelanggan'!$S:$S,"&gt;="&amp;DATE(2026,12,1),'2_Data_Pelanggan'!$S:$S,"&lt;"&amp;DATE(2026,1,1))</f>
        <v>0</v>
      </c>
      <c r="P70" s="210">
        <f t="shared" si="1"/>
        <v>6000</v>
      </c>
      <c r="Q70" s="210">
        <f t="shared" ref="Q70:V70" si="71">3000*J70</f>
        <v>0</v>
      </c>
      <c r="R70" s="210">
        <f t="shared" si="71"/>
        <v>0</v>
      </c>
      <c r="S70" s="210">
        <f t="shared" si="71"/>
        <v>0</v>
      </c>
      <c r="T70" s="210">
        <f t="shared" si="71"/>
        <v>0</v>
      </c>
      <c r="U70" s="210">
        <f t="shared" si="71"/>
        <v>0</v>
      </c>
      <c r="V70" s="210">
        <f t="shared" si="71"/>
        <v>0</v>
      </c>
      <c r="W70" s="210">
        <f t="shared" si="3"/>
        <v>6000</v>
      </c>
      <c r="X70" s="204">
        <f t="shared" si="4"/>
        <v>2000</v>
      </c>
      <c r="Y70" s="205">
        <f t="shared" si="5"/>
        <v>4000</v>
      </c>
      <c r="Z70" s="86" t="s">
        <v>1790</v>
      </c>
      <c r="AA70" s="110"/>
      <c r="AB70" s="47"/>
      <c r="AC70" s="47"/>
      <c r="AD70" s="47"/>
      <c r="AE70" s="47"/>
      <c r="AF70" s="47"/>
    </row>
    <row r="71" ht="15.0" customHeight="1">
      <c r="A71" s="206">
        <v>69.0</v>
      </c>
      <c r="B71" s="207"/>
      <c r="C71" s="208" t="s">
        <v>1788</v>
      </c>
      <c r="D71" s="208" t="s">
        <v>1791</v>
      </c>
      <c r="E71" s="208" t="s">
        <v>1792</v>
      </c>
      <c r="F71" s="209" t="s">
        <v>327</v>
      </c>
      <c r="G71" s="206">
        <v>9.0</v>
      </c>
      <c r="H71" s="206">
        <v>4.0</v>
      </c>
      <c r="I71" s="206">
        <f>COUNTIFS('2_Data_Pelanggan'!$H:$H,$F71,'2_Data_Pelanggan'!$I:$I,$G71,'2_Data_Pelanggan'!$J:$J,$H71,'2_Data_Pelanggan'!$S:$S,"&gt;="&amp;DATE(2026,6,1),'2_Data_Pelanggan'!$S:$S,"&lt;"&amp;DATE(2026,7,1))</f>
        <v>0</v>
      </c>
      <c r="J71" s="206">
        <f>COUNTIFS('2_Data_Pelanggan'!$H:$H,$F71,'2_Data_Pelanggan'!$I:$I,$G71,'2_Data_Pelanggan'!$J:$J,$H71,'2_Data_Pelanggan'!$S:$S,"&gt;="&amp;DATE(2026,7,1),'2_Data_Pelanggan'!$S:$S,"&lt;"&amp;DATE(2026,8,1))</f>
        <v>4</v>
      </c>
      <c r="K71" s="206">
        <f>COUNTIFS('2_Data_Pelanggan'!$H:$H,$F71,'2_Data_Pelanggan'!$I:$I,$G71,'2_Data_Pelanggan'!$J:$J,$H71,'2_Data_Pelanggan'!$S:$S,"&gt;="&amp;DATE(2026,8,1),'2_Data_Pelanggan'!$S:$S,"&lt;"&amp;DATE(2026,9,1))</f>
        <v>0</v>
      </c>
      <c r="L71" s="210">
        <f>COUNTIFS('2_Data_Pelanggan'!$H:$H,$F71,'2_Data_Pelanggan'!$I:$I,$G71,'2_Data_Pelanggan'!$J:$J,$H71,'2_Data_Pelanggan'!$S:$S,"&gt;="&amp;DATE(2026,9,1),'2_Data_Pelanggan'!$S:$S,"&lt;"&amp;DATE(2026,10,1))</f>
        <v>0</v>
      </c>
      <c r="M71" s="210">
        <f>COUNTIFS('2_Data_Pelanggan'!$H:$H,$F71,'2_Data_Pelanggan'!$I:$I,$G71,'2_Data_Pelanggan'!$J:$J,$H71,'2_Data_Pelanggan'!$S:$S,"&gt;="&amp;DATE(2026,10,1),'2_Data_Pelanggan'!$S:$S,"&lt;"&amp;DATE(2026,11,1))</f>
        <v>0</v>
      </c>
      <c r="N71" s="210">
        <f>COUNTIFS('2_Data_Pelanggan'!$H:$H,$F71,'2_Data_Pelanggan'!$I:$I,$G71,'2_Data_Pelanggan'!$J:$J,$H71,'2_Data_Pelanggan'!$S:$S,"&gt;="&amp;DATE(2026,11,1),'2_Data_Pelanggan'!$S:$S,"&lt;"&amp;DATE(2026,12,1))</f>
        <v>0</v>
      </c>
      <c r="O71" s="210">
        <f>COUNTIFS('2_Data_Pelanggan'!$H:$H,$F71,'2_Data_Pelanggan'!$I:$I,$G71,'2_Data_Pelanggan'!$J:$J,$H71,'2_Data_Pelanggan'!$S:$S,"&gt;="&amp;DATE(2026,12,1),'2_Data_Pelanggan'!$S:$S,"&lt;"&amp;DATE(2026,1,1))</f>
        <v>0</v>
      </c>
      <c r="P71" s="210">
        <f t="shared" si="1"/>
        <v>0</v>
      </c>
      <c r="Q71" s="210">
        <f t="shared" ref="Q71:V71" si="72">3000*J71</f>
        <v>12000</v>
      </c>
      <c r="R71" s="210">
        <f t="shared" si="72"/>
        <v>0</v>
      </c>
      <c r="S71" s="210">
        <f t="shared" si="72"/>
        <v>0</v>
      </c>
      <c r="T71" s="210">
        <f t="shared" si="72"/>
        <v>0</v>
      </c>
      <c r="U71" s="210">
        <f t="shared" si="72"/>
        <v>0</v>
      </c>
      <c r="V71" s="210">
        <f t="shared" si="72"/>
        <v>0</v>
      </c>
      <c r="W71" s="210">
        <f t="shared" si="3"/>
        <v>12000</v>
      </c>
      <c r="X71" s="204">
        <f t="shared" si="4"/>
        <v>4000</v>
      </c>
      <c r="Y71" s="205">
        <f t="shared" si="5"/>
        <v>8000</v>
      </c>
      <c r="Z71" s="86" t="s">
        <v>1790</v>
      </c>
      <c r="AA71" s="110"/>
      <c r="AB71" s="47"/>
      <c r="AC71" s="47"/>
      <c r="AD71" s="47"/>
      <c r="AE71" s="47"/>
      <c r="AF71" s="47"/>
    </row>
    <row r="72" ht="15.0" customHeight="1">
      <c r="A72" s="206">
        <v>70.0</v>
      </c>
      <c r="B72" s="207"/>
      <c r="C72" s="208" t="s">
        <v>1788</v>
      </c>
      <c r="D72" s="208" t="s">
        <v>1791</v>
      </c>
      <c r="E72" s="208" t="s">
        <v>1792</v>
      </c>
      <c r="F72" s="209" t="s">
        <v>327</v>
      </c>
      <c r="G72" s="206">
        <v>9.0</v>
      </c>
      <c r="H72" s="206">
        <v>5.0</v>
      </c>
      <c r="I72" s="206">
        <f>COUNTIFS('2_Data_Pelanggan'!$H:$H,$F72,'2_Data_Pelanggan'!$I:$I,$G72,'2_Data_Pelanggan'!$J:$J,$H72,'2_Data_Pelanggan'!$S:$S,"&gt;="&amp;DATE(2026,6,1),'2_Data_Pelanggan'!$S:$S,"&lt;"&amp;DATE(2026,7,1))</f>
        <v>2</v>
      </c>
      <c r="J72" s="206">
        <f>COUNTIFS('2_Data_Pelanggan'!$H:$H,$F72,'2_Data_Pelanggan'!$I:$I,$G72,'2_Data_Pelanggan'!$J:$J,$H72,'2_Data_Pelanggan'!$S:$S,"&gt;="&amp;DATE(2026,7,1),'2_Data_Pelanggan'!$S:$S,"&lt;"&amp;DATE(2026,8,1))</f>
        <v>2</v>
      </c>
      <c r="K72" s="206">
        <f>COUNTIFS('2_Data_Pelanggan'!$H:$H,$F72,'2_Data_Pelanggan'!$I:$I,$G72,'2_Data_Pelanggan'!$J:$J,$H72,'2_Data_Pelanggan'!$S:$S,"&gt;="&amp;DATE(2026,8,1),'2_Data_Pelanggan'!$S:$S,"&lt;"&amp;DATE(2026,9,1))</f>
        <v>0</v>
      </c>
      <c r="L72" s="210">
        <f>COUNTIFS('2_Data_Pelanggan'!$H:$H,$F72,'2_Data_Pelanggan'!$I:$I,$G72,'2_Data_Pelanggan'!$J:$J,$H72,'2_Data_Pelanggan'!$S:$S,"&gt;="&amp;DATE(2026,9,1),'2_Data_Pelanggan'!$S:$S,"&lt;"&amp;DATE(2026,10,1))</f>
        <v>0</v>
      </c>
      <c r="M72" s="210">
        <f>COUNTIFS('2_Data_Pelanggan'!$H:$H,$F72,'2_Data_Pelanggan'!$I:$I,$G72,'2_Data_Pelanggan'!$J:$J,$H72,'2_Data_Pelanggan'!$S:$S,"&gt;="&amp;DATE(2026,10,1),'2_Data_Pelanggan'!$S:$S,"&lt;"&amp;DATE(2026,11,1))</f>
        <v>0</v>
      </c>
      <c r="N72" s="210">
        <f>COUNTIFS('2_Data_Pelanggan'!$H:$H,$F72,'2_Data_Pelanggan'!$I:$I,$G72,'2_Data_Pelanggan'!$J:$J,$H72,'2_Data_Pelanggan'!$S:$S,"&gt;="&amp;DATE(2026,11,1),'2_Data_Pelanggan'!$S:$S,"&lt;"&amp;DATE(2026,12,1))</f>
        <v>0</v>
      </c>
      <c r="O72" s="210">
        <f>COUNTIFS('2_Data_Pelanggan'!$H:$H,$F72,'2_Data_Pelanggan'!$I:$I,$G72,'2_Data_Pelanggan'!$J:$J,$H72,'2_Data_Pelanggan'!$S:$S,"&gt;="&amp;DATE(2026,12,1),'2_Data_Pelanggan'!$S:$S,"&lt;"&amp;DATE(2026,1,1))</f>
        <v>0</v>
      </c>
      <c r="P72" s="210">
        <f t="shared" si="1"/>
        <v>6000</v>
      </c>
      <c r="Q72" s="210">
        <f t="shared" ref="Q72:V72" si="73">3000*J72</f>
        <v>6000</v>
      </c>
      <c r="R72" s="210">
        <f t="shared" si="73"/>
        <v>0</v>
      </c>
      <c r="S72" s="210">
        <f t="shared" si="73"/>
        <v>0</v>
      </c>
      <c r="T72" s="210">
        <f t="shared" si="73"/>
        <v>0</v>
      </c>
      <c r="U72" s="210">
        <f t="shared" si="73"/>
        <v>0</v>
      </c>
      <c r="V72" s="210">
        <f t="shared" si="73"/>
        <v>0</v>
      </c>
      <c r="W72" s="210">
        <f t="shared" si="3"/>
        <v>12000</v>
      </c>
      <c r="X72" s="204">
        <f t="shared" si="4"/>
        <v>4000</v>
      </c>
      <c r="Y72" s="205">
        <f t="shared" si="5"/>
        <v>8000</v>
      </c>
      <c r="Z72" s="86" t="s">
        <v>1790</v>
      </c>
      <c r="AA72" s="110"/>
      <c r="AB72" s="47"/>
      <c r="AC72" s="47"/>
      <c r="AD72" s="47"/>
      <c r="AE72" s="47"/>
      <c r="AF72" s="47"/>
    </row>
    <row r="73" ht="15.0" customHeight="1">
      <c r="A73" s="206">
        <v>71.0</v>
      </c>
      <c r="B73" s="207"/>
      <c r="C73" s="208" t="s">
        <v>1788</v>
      </c>
      <c r="D73" s="208" t="s">
        <v>1791</v>
      </c>
      <c r="E73" s="208" t="s">
        <v>1792</v>
      </c>
      <c r="F73" s="209" t="s">
        <v>327</v>
      </c>
      <c r="G73" s="206">
        <v>9.0</v>
      </c>
      <c r="H73" s="206">
        <v>6.0</v>
      </c>
      <c r="I73" s="206">
        <f>COUNTIFS('2_Data_Pelanggan'!$H:$H,$F73,'2_Data_Pelanggan'!$I:$I,$G73,'2_Data_Pelanggan'!$J:$J,$H73,'2_Data_Pelanggan'!$S:$S,"&gt;="&amp;DATE(2026,6,1),'2_Data_Pelanggan'!$S:$S,"&lt;"&amp;DATE(2026,7,1))</f>
        <v>0</v>
      </c>
      <c r="J73" s="206">
        <f>COUNTIFS('2_Data_Pelanggan'!$H:$H,$F73,'2_Data_Pelanggan'!$I:$I,$G73,'2_Data_Pelanggan'!$J:$J,$H73,'2_Data_Pelanggan'!$S:$S,"&gt;="&amp;DATE(2026,7,1),'2_Data_Pelanggan'!$S:$S,"&lt;"&amp;DATE(2026,8,1))</f>
        <v>1</v>
      </c>
      <c r="K73" s="206">
        <f>COUNTIFS('2_Data_Pelanggan'!$H:$H,$F73,'2_Data_Pelanggan'!$I:$I,$G73,'2_Data_Pelanggan'!$J:$J,$H73,'2_Data_Pelanggan'!$S:$S,"&gt;="&amp;DATE(2026,8,1),'2_Data_Pelanggan'!$S:$S,"&lt;"&amp;DATE(2026,9,1))</f>
        <v>0</v>
      </c>
      <c r="L73" s="210">
        <f>COUNTIFS('2_Data_Pelanggan'!$H:$H,$F73,'2_Data_Pelanggan'!$I:$I,$G73,'2_Data_Pelanggan'!$J:$J,$H73,'2_Data_Pelanggan'!$S:$S,"&gt;="&amp;DATE(2026,9,1),'2_Data_Pelanggan'!$S:$S,"&lt;"&amp;DATE(2026,10,1))</f>
        <v>0</v>
      </c>
      <c r="M73" s="210">
        <f>COUNTIFS('2_Data_Pelanggan'!$H:$H,$F73,'2_Data_Pelanggan'!$I:$I,$G73,'2_Data_Pelanggan'!$J:$J,$H73,'2_Data_Pelanggan'!$S:$S,"&gt;="&amp;DATE(2026,10,1),'2_Data_Pelanggan'!$S:$S,"&lt;"&amp;DATE(2026,11,1))</f>
        <v>1</v>
      </c>
      <c r="N73" s="210">
        <f>COUNTIFS('2_Data_Pelanggan'!$H:$H,$F73,'2_Data_Pelanggan'!$I:$I,$G73,'2_Data_Pelanggan'!$J:$J,$H73,'2_Data_Pelanggan'!$S:$S,"&gt;="&amp;DATE(2026,11,1),'2_Data_Pelanggan'!$S:$S,"&lt;"&amp;DATE(2026,12,1))</f>
        <v>2</v>
      </c>
      <c r="O73" s="210">
        <f>COUNTIFS('2_Data_Pelanggan'!$H:$H,$F73,'2_Data_Pelanggan'!$I:$I,$G73,'2_Data_Pelanggan'!$J:$J,$H73,'2_Data_Pelanggan'!$S:$S,"&gt;="&amp;DATE(2026,12,1),'2_Data_Pelanggan'!$S:$S,"&lt;"&amp;DATE(2026,1,1))</f>
        <v>0</v>
      </c>
      <c r="P73" s="210">
        <f t="shared" si="1"/>
        <v>0</v>
      </c>
      <c r="Q73" s="210">
        <f t="shared" ref="Q73:V73" si="74">3000*J73</f>
        <v>3000</v>
      </c>
      <c r="R73" s="210">
        <f t="shared" si="74"/>
        <v>0</v>
      </c>
      <c r="S73" s="210">
        <f t="shared" si="74"/>
        <v>0</v>
      </c>
      <c r="T73" s="210">
        <f t="shared" si="74"/>
        <v>3000</v>
      </c>
      <c r="U73" s="210">
        <f t="shared" si="74"/>
        <v>6000</v>
      </c>
      <c r="V73" s="210">
        <f t="shared" si="74"/>
        <v>0</v>
      </c>
      <c r="W73" s="210">
        <f t="shared" si="3"/>
        <v>12000</v>
      </c>
      <c r="X73" s="204">
        <f t="shared" si="4"/>
        <v>4000</v>
      </c>
      <c r="Y73" s="205">
        <f t="shared" si="5"/>
        <v>8000</v>
      </c>
      <c r="Z73" s="86" t="s">
        <v>1790</v>
      </c>
      <c r="AA73" s="110"/>
      <c r="AB73" s="47"/>
      <c r="AC73" s="47"/>
      <c r="AD73" s="47"/>
      <c r="AE73" s="47"/>
      <c r="AF73" s="47"/>
    </row>
    <row r="74" ht="15.0" customHeight="1">
      <c r="A74" s="206">
        <v>72.0</v>
      </c>
      <c r="B74" s="207"/>
      <c r="C74" s="208" t="s">
        <v>1788</v>
      </c>
      <c r="D74" s="208" t="s">
        <v>1791</v>
      </c>
      <c r="E74" s="208" t="s">
        <v>1792</v>
      </c>
      <c r="F74" s="209" t="s">
        <v>327</v>
      </c>
      <c r="G74" s="206">
        <v>9.0</v>
      </c>
      <c r="H74" s="206">
        <v>7.0</v>
      </c>
      <c r="I74" s="206">
        <f>COUNTIFS('2_Data_Pelanggan'!$H:$H,$F74,'2_Data_Pelanggan'!$I:$I,$G74,'2_Data_Pelanggan'!$J:$J,$H74,'2_Data_Pelanggan'!$S:$S,"&gt;="&amp;DATE(2026,6,1),'2_Data_Pelanggan'!$S:$S,"&lt;"&amp;DATE(2026,7,1))</f>
        <v>0</v>
      </c>
      <c r="J74" s="206">
        <f>COUNTIFS('2_Data_Pelanggan'!$H:$H,$F74,'2_Data_Pelanggan'!$I:$I,$G74,'2_Data_Pelanggan'!$J:$J,$H74,'2_Data_Pelanggan'!$S:$S,"&gt;="&amp;DATE(2026,7,1),'2_Data_Pelanggan'!$S:$S,"&lt;"&amp;DATE(2026,8,1))</f>
        <v>1</v>
      </c>
      <c r="K74" s="206">
        <f>COUNTIFS('2_Data_Pelanggan'!$H:$H,$F74,'2_Data_Pelanggan'!$I:$I,$G74,'2_Data_Pelanggan'!$J:$J,$H74,'2_Data_Pelanggan'!$S:$S,"&gt;="&amp;DATE(2026,8,1),'2_Data_Pelanggan'!$S:$S,"&lt;"&amp;DATE(2026,9,1))</f>
        <v>0</v>
      </c>
      <c r="L74" s="210">
        <f>COUNTIFS('2_Data_Pelanggan'!$H:$H,$F74,'2_Data_Pelanggan'!$I:$I,$G74,'2_Data_Pelanggan'!$J:$J,$H74,'2_Data_Pelanggan'!$S:$S,"&gt;="&amp;DATE(2026,9,1),'2_Data_Pelanggan'!$S:$S,"&lt;"&amp;DATE(2026,10,1))</f>
        <v>0</v>
      </c>
      <c r="M74" s="210">
        <f>COUNTIFS('2_Data_Pelanggan'!$H:$H,$F74,'2_Data_Pelanggan'!$I:$I,$G74,'2_Data_Pelanggan'!$J:$J,$H74,'2_Data_Pelanggan'!$S:$S,"&gt;="&amp;DATE(2026,10,1),'2_Data_Pelanggan'!$S:$S,"&lt;"&amp;DATE(2026,11,1))</f>
        <v>4</v>
      </c>
      <c r="N74" s="210">
        <f>COUNTIFS('2_Data_Pelanggan'!$H:$H,$F74,'2_Data_Pelanggan'!$I:$I,$G74,'2_Data_Pelanggan'!$J:$J,$H74,'2_Data_Pelanggan'!$S:$S,"&gt;="&amp;DATE(2026,11,1),'2_Data_Pelanggan'!$S:$S,"&lt;"&amp;DATE(2026,12,1))</f>
        <v>0</v>
      </c>
      <c r="O74" s="210">
        <f>COUNTIFS('2_Data_Pelanggan'!$H:$H,$F74,'2_Data_Pelanggan'!$I:$I,$G74,'2_Data_Pelanggan'!$J:$J,$H74,'2_Data_Pelanggan'!$S:$S,"&gt;="&amp;DATE(2026,12,1),'2_Data_Pelanggan'!$S:$S,"&lt;"&amp;DATE(2026,1,1))</f>
        <v>0</v>
      </c>
      <c r="P74" s="210">
        <f t="shared" si="1"/>
        <v>0</v>
      </c>
      <c r="Q74" s="210">
        <f t="shared" ref="Q74:V74" si="75">3000*J74</f>
        <v>3000</v>
      </c>
      <c r="R74" s="210">
        <f t="shared" si="75"/>
        <v>0</v>
      </c>
      <c r="S74" s="210">
        <f t="shared" si="75"/>
        <v>0</v>
      </c>
      <c r="T74" s="210">
        <f t="shared" si="75"/>
        <v>12000</v>
      </c>
      <c r="U74" s="210">
        <f t="shared" si="75"/>
        <v>0</v>
      </c>
      <c r="V74" s="210">
        <f t="shared" si="75"/>
        <v>0</v>
      </c>
      <c r="W74" s="210">
        <f t="shared" si="3"/>
        <v>15000</v>
      </c>
      <c r="X74" s="204">
        <f t="shared" si="4"/>
        <v>5000</v>
      </c>
      <c r="Y74" s="205">
        <f t="shared" si="5"/>
        <v>10000</v>
      </c>
      <c r="Z74" s="86" t="s">
        <v>1790</v>
      </c>
      <c r="AA74" s="110"/>
      <c r="AB74" s="47"/>
      <c r="AC74" s="47"/>
      <c r="AD74" s="47"/>
      <c r="AE74" s="47"/>
      <c r="AF74" s="47"/>
    </row>
    <row r="75" ht="15.0" customHeight="1">
      <c r="A75" s="206">
        <v>73.0</v>
      </c>
      <c r="B75" s="207"/>
      <c r="C75" s="208" t="s">
        <v>1788</v>
      </c>
      <c r="D75" s="208" t="s">
        <v>1791</v>
      </c>
      <c r="E75" s="208" t="s">
        <v>1792</v>
      </c>
      <c r="F75" s="209" t="s">
        <v>327</v>
      </c>
      <c r="G75" s="206">
        <v>9.0</v>
      </c>
      <c r="H75" s="206">
        <v>8.0</v>
      </c>
      <c r="I75" s="206">
        <f>COUNTIFS('2_Data_Pelanggan'!$H:$H,$F75,'2_Data_Pelanggan'!$I:$I,$G75,'2_Data_Pelanggan'!$J:$J,$H75,'2_Data_Pelanggan'!$S:$S,"&gt;="&amp;DATE(2026,6,1),'2_Data_Pelanggan'!$S:$S,"&lt;"&amp;DATE(2026,7,1))</f>
        <v>0</v>
      </c>
      <c r="J75" s="206">
        <f>COUNTIFS('2_Data_Pelanggan'!$H:$H,$F75,'2_Data_Pelanggan'!$I:$I,$G75,'2_Data_Pelanggan'!$J:$J,$H75,'2_Data_Pelanggan'!$S:$S,"&gt;="&amp;DATE(2026,7,1),'2_Data_Pelanggan'!$S:$S,"&lt;"&amp;DATE(2026,8,1))</f>
        <v>0</v>
      </c>
      <c r="K75" s="206">
        <f>COUNTIFS('2_Data_Pelanggan'!$H:$H,$F75,'2_Data_Pelanggan'!$I:$I,$G75,'2_Data_Pelanggan'!$J:$J,$H75,'2_Data_Pelanggan'!$S:$S,"&gt;="&amp;DATE(2026,8,1),'2_Data_Pelanggan'!$S:$S,"&lt;"&amp;DATE(2026,9,1))</f>
        <v>0</v>
      </c>
      <c r="L75" s="210">
        <f>COUNTIFS('2_Data_Pelanggan'!$H:$H,$F75,'2_Data_Pelanggan'!$I:$I,$G75,'2_Data_Pelanggan'!$J:$J,$H75,'2_Data_Pelanggan'!$S:$S,"&gt;="&amp;DATE(2026,9,1),'2_Data_Pelanggan'!$S:$S,"&lt;"&amp;DATE(2026,10,1))</f>
        <v>0</v>
      </c>
      <c r="M75" s="210">
        <f>COUNTIFS('2_Data_Pelanggan'!$H:$H,$F75,'2_Data_Pelanggan'!$I:$I,$G75,'2_Data_Pelanggan'!$J:$J,$H75,'2_Data_Pelanggan'!$S:$S,"&gt;="&amp;DATE(2026,10,1),'2_Data_Pelanggan'!$S:$S,"&lt;"&amp;DATE(2026,11,1))</f>
        <v>0</v>
      </c>
      <c r="N75" s="210">
        <f>COUNTIFS('2_Data_Pelanggan'!$H:$H,$F75,'2_Data_Pelanggan'!$I:$I,$G75,'2_Data_Pelanggan'!$J:$J,$H75,'2_Data_Pelanggan'!$S:$S,"&gt;="&amp;DATE(2026,11,1),'2_Data_Pelanggan'!$S:$S,"&lt;"&amp;DATE(2026,12,1))</f>
        <v>0</v>
      </c>
      <c r="O75" s="210">
        <f>COUNTIFS('2_Data_Pelanggan'!$H:$H,$F75,'2_Data_Pelanggan'!$I:$I,$G75,'2_Data_Pelanggan'!$J:$J,$H75,'2_Data_Pelanggan'!$S:$S,"&gt;="&amp;DATE(2026,12,1),'2_Data_Pelanggan'!$S:$S,"&lt;"&amp;DATE(2026,1,1))</f>
        <v>0</v>
      </c>
      <c r="P75" s="210">
        <f t="shared" si="1"/>
        <v>0</v>
      </c>
      <c r="Q75" s="210">
        <f t="shared" ref="Q75:V75" si="76">3000*J75</f>
        <v>0</v>
      </c>
      <c r="R75" s="210">
        <f t="shared" si="76"/>
        <v>0</v>
      </c>
      <c r="S75" s="210">
        <f t="shared" si="76"/>
        <v>0</v>
      </c>
      <c r="T75" s="210">
        <f t="shared" si="76"/>
        <v>0</v>
      </c>
      <c r="U75" s="210">
        <f t="shared" si="76"/>
        <v>0</v>
      </c>
      <c r="V75" s="210">
        <f t="shared" si="76"/>
        <v>0</v>
      </c>
      <c r="W75" s="210">
        <f t="shared" si="3"/>
        <v>0</v>
      </c>
      <c r="X75" s="204">
        <f t="shared" si="4"/>
        <v>0</v>
      </c>
      <c r="Y75" s="205">
        <f t="shared" si="5"/>
        <v>0</v>
      </c>
      <c r="Z75" s="86" t="s">
        <v>1790</v>
      </c>
      <c r="AA75" s="110"/>
      <c r="AB75" s="47"/>
      <c r="AC75" s="47"/>
      <c r="AD75" s="47"/>
      <c r="AE75" s="47"/>
      <c r="AF75" s="47"/>
    </row>
    <row r="76" ht="15.0" customHeight="1">
      <c r="A76" s="206">
        <v>74.0</v>
      </c>
      <c r="B76" s="207"/>
      <c r="C76" s="208" t="s">
        <v>1788</v>
      </c>
      <c r="D76" s="208" t="s">
        <v>1791</v>
      </c>
      <c r="E76" s="208" t="s">
        <v>1792</v>
      </c>
      <c r="F76" s="209" t="s">
        <v>327</v>
      </c>
      <c r="G76" s="206">
        <v>10.0</v>
      </c>
      <c r="H76" s="206">
        <v>1.0</v>
      </c>
      <c r="I76" s="206">
        <f>COUNTIFS('2_Data_Pelanggan'!$H:$H,$F76,'2_Data_Pelanggan'!$I:$I,$G76,'2_Data_Pelanggan'!$J:$J,$H76,'2_Data_Pelanggan'!$S:$S,"&gt;="&amp;DATE(2026,6,1),'2_Data_Pelanggan'!$S:$S,"&lt;"&amp;DATE(2026,7,1))</f>
        <v>1</v>
      </c>
      <c r="J76" s="206">
        <f>COUNTIFS('2_Data_Pelanggan'!$H:$H,$F76,'2_Data_Pelanggan'!$I:$I,$G76,'2_Data_Pelanggan'!$J:$J,$H76,'2_Data_Pelanggan'!$S:$S,"&gt;="&amp;DATE(2026,7,1),'2_Data_Pelanggan'!$S:$S,"&lt;"&amp;DATE(2026,8,1))</f>
        <v>2</v>
      </c>
      <c r="K76" s="206">
        <f>COUNTIFS('2_Data_Pelanggan'!$H:$H,$F76,'2_Data_Pelanggan'!$I:$I,$G76,'2_Data_Pelanggan'!$J:$J,$H76,'2_Data_Pelanggan'!$S:$S,"&gt;="&amp;DATE(2026,8,1),'2_Data_Pelanggan'!$S:$S,"&lt;"&amp;DATE(2026,9,1))</f>
        <v>0</v>
      </c>
      <c r="L76" s="210">
        <f>COUNTIFS('2_Data_Pelanggan'!$H:$H,$F76,'2_Data_Pelanggan'!$I:$I,$G76,'2_Data_Pelanggan'!$J:$J,$H76,'2_Data_Pelanggan'!$S:$S,"&gt;="&amp;DATE(2026,9,1),'2_Data_Pelanggan'!$S:$S,"&lt;"&amp;DATE(2026,10,1))</f>
        <v>0</v>
      </c>
      <c r="M76" s="210">
        <f>COUNTIFS('2_Data_Pelanggan'!$H:$H,$F76,'2_Data_Pelanggan'!$I:$I,$G76,'2_Data_Pelanggan'!$J:$J,$H76,'2_Data_Pelanggan'!$S:$S,"&gt;="&amp;DATE(2026,10,1),'2_Data_Pelanggan'!$S:$S,"&lt;"&amp;DATE(2026,11,1))</f>
        <v>0</v>
      </c>
      <c r="N76" s="210">
        <f>COUNTIFS('2_Data_Pelanggan'!$H:$H,$F76,'2_Data_Pelanggan'!$I:$I,$G76,'2_Data_Pelanggan'!$J:$J,$H76,'2_Data_Pelanggan'!$S:$S,"&gt;="&amp;DATE(2026,11,1),'2_Data_Pelanggan'!$S:$S,"&lt;"&amp;DATE(2026,12,1))</f>
        <v>0</v>
      </c>
      <c r="O76" s="210">
        <f>COUNTIFS('2_Data_Pelanggan'!$H:$H,$F76,'2_Data_Pelanggan'!$I:$I,$G76,'2_Data_Pelanggan'!$J:$J,$H76,'2_Data_Pelanggan'!$S:$S,"&gt;="&amp;DATE(2026,12,1),'2_Data_Pelanggan'!$S:$S,"&lt;"&amp;DATE(2026,1,1))</f>
        <v>0</v>
      </c>
      <c r="P76" s="210">
        <f t="shared" si="1"/>
        <v>3000</v>
      </c>
      <c r="Q76" s="210">
        <f t="shared" ref="Q76:V76" si="77">3000*J76</f>
        <v>6000</v>
      </c>
      <c r="R76" s="210">
        <f t="shared" si="77"/>
        <v>0</v>
      </c>
      <c r="S76" s="210">
        <f t="shared" si="77"/>
        <v>0</v>
      </c>
      <c r="T76" s="210">
        <f t="shared" si="77"/>
        <v>0</v>
      </c>
      <c r="U76" s="210">
        <f t="shared" si="77"/>
        <v>0</v>
      </c>
      <c r="V76" s="210">
        <f t="shared" si="77"/>
        <v>0</v>
      </c>
      <c r="W76" s="210">
        <f t="shared" si="3"/>
        <v>9000</v>
      </c>
      <c r="X76" s="204">
        <f t="shared" si="4"/>
        <v>3000</v>
      </c>
      <c r="Y76" s="205">
        <f t="shared" si="5"/>
        <v>6000</v>
      </c>
      <c r="Z76" s="86" t="s">
        <v>1790</v>
      </c>
      <c r="AA76" s="110"/>
      <c r="AB76" s="47"/>
      <c r="AC76" s="47"/>
      <c r="AD76" s="47"/>
      <c r="AE76" s="47"/>
      <c r="AF76" s="47"/>
    </row>
    <row r="77" ht="15.0" customHeight="1">
      <c r="A77" s="206">
        <v>75.0</v>
      </c>
      <c r="B77" s="207"/>
      <c r="C77" s="208" t="s">
        <v>1788</v>
      </c>
      <c r="D77" s="208" t="s">
        <v>1791</v>
      </c>
      <c r="E77" s="208" t="s">
        <v>1792</v>
      </c>
      <c r="F77" s="209" t="s">
        <v>327</v>
      </c>
      <c r="G77" s="206">
        <v>10.0</v>
      </c>
      <c r="H77" s="206">
        <v>2.0</v>
      </c>
      <c r="I77" s="206">
        <f>COUNTIFS('2_Data_Pelanggan'!$H:$H,$F77,'2_Data_Pelanggan'!$I:$I,$G77,'2_Data_Pelanggan'!$J:$J,$H77,'2_Data_Pelanggan'!$S:$S,"&gt;="&amp;DATE(2026,6,1),'2_Data_Pelanggan'!$S:$S,"&lt;"&amp;DATE(2026,7,1))</f>
        <v>0</v>
      </c>
      <c r="J77" s="206">
        <f>COUNTIFS('2_Data_Pelanggan'!$H:$H,$F77,'2_Data_Pelanggan'!$I:$I,$G77,'2_Data_Pelanggan'!$J:$J,$H77,'2_Data_Pelanggan'!$S:$S,"&gt;="&amp;DATE(2026,7,1),'2_Data_Pelanggan'!$S:$S,"&lt;"&amp;DATE(2026,8,1))</f>
        <v>0</v>
      </c>
      <c r="K77" s="206">
        <f>COUNTIFS('2_Data_Pelanggan'!$H:$H,$F77,'2_Data_Pelanggan'!$I:$I,$G77,'2_Data_Pelanggan'!$J:$J,$H77,'2_Data_Pelanggan'!$S:$S,"&gt;="&amp;DATE(2026,8,1),'2_Data_Pelanggan'!$S:$S,"&lt;"&amp;DATE(2026,9,1))</f>
        <v>0</v>
      </c>
      <c r="L77" s="210">
        <f>COUNTIFS('2_Data_Pelanggan'!$H:$H,$F77,'2_Data_Pelanggan'!$I:$I,$G77,'2_Data_Pelanggan'!$J:$J,$H77,'2_Data_Pelanggan'!$S:$S,"&gt;="&amp;DATE(2026,9,1),'2_Data_Pelanggan'!$S:$S,"&lt;"&amp;DATE(2026,10,1))</f>
        <v>0</v>
      </c>
      <c r="M77" s="210">
        <f>COUNTIFS('2_Data_Pelanggan'!$H:$H,$F77,'2_Data_Pelanggan'!$I:$I,$G77,'2_Data_Pelanggan'!$J:$J,$H77,'2_Data_Pelanggan'!$S:$S,"&gt;="&amp;DATE(2026,10,1),'2_Data_Pelanggan'!$S:$S,"&lt;"&amp;DATE(2026,11,1))</f>
        <v>0</v>
      </c>
      <c r="N77" s="210">
        <f>COUNTIFS('2_Data_Pelanggan'!$H:$H,$F77,'2_Data_Pelanggan'!$I:$I,$G77,'2_Data_Pelanggan'!$J:$J,$H77,'2_Data_Pelanggan'!$S:$S,"&gt;="&amp;DATE(2026,11,1),'2_Data_Pelanggan'!$S:$S,"&lt;"&amp;DATE(2026,12,1))</f>
        <v>0</v>
      </c>
      <c r="O77" s="210">
        <f>COUNTIFS('2_Data_Pelanggan'!$H:$H,$F77,'2_Data_Pelanggan'!$I:$I,$G77,'2_Data_Pelanggan'!$J:$J,$H77,'2_Data_Pelanggan'!$S:$S,"&gt;="&amp;DATE(2026,12,1),'2_Data_Pelanggan'!$S:$S,"&lt;"&amp;DATE(2026,1,1))</f>
        <v>0</v>
      </c>
      <c r="P77" s="210">
        <f t="shared" si="1"/>
        <v>0</v>
      </c>
      <c r="Q77" s="210">
        <f t="shared" ref="Q77:V77" si="78">3000*J77</f>
        <v>0</v>
      </c>
      <c r="R77" s="210">
        <f t="shared" si="78"/>
        <v>0</v>
      </c>
      <c r="S77" s="210">
        <f t="shared" si="78"/>
        <v>0</v>
      </c>
      <c r="T77" s="210">
        <f t="shared" si="78"/>
        <v>0</v>
      </c>
      <c r="U77" s="210">
        <f t="shared" si="78"/>
        <v>0</v>
      </c>
      <c r="V77" s="210">
        <f t="shared" si="78"/>
        <v>0</v>
      </c>
      <c r="W77" s="210">
        <f t="shared" si="3"/>
        <v>0</v>
      </c>
      <c r="X77" s="204">
        <f t="shared" si="4"/>
        <v>0</v>
      </c>
      <c r="Y77" s="205">
        <f t="shared" si="5"/>
        <v>0</v>
      </c>
      <c r="Z77" s="86" t="s">
        <v>1790</v>
      </c>
      <c r="AA77" s="110"/>
      <c r="AB77" s="47"/>
      <c r="AC77" s="47"/>
      <c r="AD77" s="47"/>
      <c r="AE77" s="47"/>
      <c r="AF77" s="47"/>
    </row>
    <row r="78" ht="15.0" customHeight="1">
      <c r="A78" s="206">
        <v>76.0</v>
      </c>
      <c r="B78" s="207"/>
      <c r="C78" s="208" t="s">
        <v>1788</v>
      </c>
      <c r="D78" s="208" t="s">
        <v>1791</v>
      </c>
      <c r="E78" s="208" t="s">
        <v>1792</v>
      </c>
      <c r="F78" s="209" t="s">
        <v>327</v>
      </c>
      <c r="G78" s="206">
        <v>10.0</v>
      </c>
      <c r="H78" s="206">
        <v>3.0</v>
      </c>
      <c r="I78" s="206">
        <f>COUNTIFS('2_Data_Pelanggan'!$H:$H,$F78,'2_Data_Pelanggan'!$I:$I,$G78,'2_Data_Pelanggan'!$J:$J,$H78,'2_Data_Pelanggan'!$S:$S,"&gt;="&amp;DATE(2026,6,1),'2_Data_Pelanggan'!$S:$S,"&lt;"&amp;DATE(2026,7,1))</f>
        <v>2</v>
      </c>
      <c r="J78" s="206">
        <f>COUNTIFS('2_Data_Pelanggan'!$H:$H,$F78,'2_Data_Pelanggan'!$I:$I,$G78,'2_Data_Pelanggan'!$J:$J,$H78,'2_Data_Pelanggan'!$S:$S,"&gt;="&amp;DATE(2026,7,1),'2_Data_Pelanggan'!$S:$S,"&lt;"&amp;DATE(2026,8,1))</f>
        <v>0</v>
      </c>
      <c r="K78" s="206">
        <f>COUNTIFS('2_Data_Pelanggan'!$H:$H,$F78,'2_Data_Pelanggan'!$I:$I,$G78,'2_Data_Pelanggan'!$J:$J,$H78,'2_Data_Pelanggan'!$S:$S,"&gt;="&amp;DATE(2026,8,1),'2_Data_Pelanggan'!$S:$S,"&lt;"&amp;DATE(2026,9,1))</f>
        <v>0</v>
      </c>
      <c r="L78" s="210">
        <f>COUNTIFS('2_Data_Pelanggan'!$H:$H,$F78,'2_Data_Pelanggan'!$I:$I,$G78,'2_Data_Pelanggan'!$J:$J,$H78,'2_Data_Pelanggan'!$S:$S,"&gt;="&amp;DATE(2026,9,1),'2_Data_Pelanggan'!$S:$S,"&lt;"&amp;DATE(2026,10,1))</f>
        <v>0</v>
      </c>
      <c r="M78" s="210">
        <f>COUNTIFS('2_Data_Pelanggan'!$H:$H,$F78,'2_Data_Pelanggan'!$I:$I,$G78,'2_Data_Pelanggan'!$J:$J,$H78,'2_Data_Pelanggan'!$S:$S,"&gt;="&amp;DATE(2026,10,1),'2_Data_Pelanggan'!$S:$S,"&lt;"&amp;DATE(2026,11,1))</f>
        <v>0</v>
      </c>
      <c r="N78" s="210">
        <f>COUNTIFS('2_Data_Pelanggan'!$H:$H,$F78,'2_Data_Pelanggan'!$I:$I,$G78,'2_Data_Pelanggan'!$J:$J,$H78,'2_Data_Pelanggan'!$S:$S,"&gt;="&amp;DATE(2026,11,1),'2_Data_Pelanggan'!$S:$S,"&lt;"&amp;DATE(2026,12,1))</f>
        <v>0</v>
      </c>
      <c r="O78" s="210">
        <f>COUNTIFS('2_Data_Pelanggan'!$H:$H,$F78,'2_Data_Pelanggan'!$I:$I,$G78,'2_Data_Pelanggan'!$J:$J,$H78,'2_Data_Pelanggan'!$S:$S,"&gt;="&amp;DATE(2026,12,1),'2_Data_Pelanggan'!$S:$S,"&lt;"&amp;DATE(2026,1,1))</f>
        <v>0</v>
      </c>
      <c r="P78" s="210">
        <f t="shared" si="1"/>
        <v>6000</v>
      </c>
      <c r="Q78" s="210">
        <f t="shared" ref="Q78:V78" si="79">3000*J78</f>
        <v>0</v>
      </c>
      <c r="R78" s="210">
        <f t="shared" si="79"/>
        <v>0</v>
      </c>
      <c r="S78" s="210">
        <f t="shared" si="79"/>
        <v>0</v>
      </c>
      <c r="T78" s="210">
        <f t="shared" si="79"/>
        <v>0</v>
      </c>
      <c r="U78" s="210">
        <f t="shared" si="79"/>
        <v>0</v>
      </c>
      <c r="V78" s="210">
        <f t="shared" si="79"/>
        <v>0</v>
      </c>
      <c r="W78" s="210">
        <f t="shared" si="3"/>
        <v>6000</v>
      </c>
      <c r="X78" s="204">
        <f t="shared" si="4"/>
        <v>2000</v>
      </c>
      <c r="Y78" s="205">
        <f t="shared" si="5"/>
        <v>4000</v>
      </c>
      <c r="Z78" s="86" t="s">
        <v>1790</v>
      </c>
      <c r="AA78" s="110"/>
      <c r="AB78" s="47"/>
      <c r="AC78" s="47"/>
      <c r="AD78" s="47"/>
      <c r="AE78" s="47"/>
      <c r="AF78" s="47"/>
    </row>
    <row r="79" ht="15.0" customHeight="1">
      <c r="A79" s="206">
        <v>77.0</v>
      </c>
      <c r="B79" s="207"/>
      <c r="C79" s="208" t="s">
        <v>1788</v>
      </c>
      <c r="D79" s="208" t="s">
        <v>1791</v>
      </c>
      <c r="E79" s="208" t="s">
        <v>1792</v>
      </c>
      <c r="F79" s="209" t="s">
        <v>327</v>
      </c>
      <c r="G79" s="206">
        <v>10.0</v>
      </c>
      <c r="H79" s="206">
        <v>4.0</v>
      </c>
      <c r="I79" s="206">
        <f>COUNTIFS('2_Data_Pelanggan'!$H:$H,$F79,'2_Data_Pelanggan'!$I:$I,$G79,'2_Data_Pelanggan'!$J:$J,$H79,'2_Data_Pelanggan'!$S:$S,"&gt;="&amp;DATE(2026,6,1),'2_Data_Pelanggan'!$S:$S,"&lt;"&amp;DATE(2026,7,1))</f>
        <v>4</v>
      </c>
      <c r="J79" s="206">
        <f>COUNTIFS('2_Data_Pelanggan'!$H:$H,$F79,'2_Data_Pelanggan'!$I:$I,$G79,'2_Data_Pelanggan'!$J:$J,$H79,'2_Data_Pelanggan'!$S:$S,"&gt;="&amp;DATE(2026,7,1),'2_Data_Pelanggan'!$S:$S,"&lt;"&amp;DATE(2026,8,1))</f>
        <v>0</v>
      </c>
      <c r="K79" s="206">
        <f>COUNTIFS('2_Data_Pelanggan'!$H:$H,$F79,'2_Data_Pelanggan'!$I:$I,$G79,'2_Data_Pelanggan'!$J:$J,$H79,'2_Data_Pelanggan'!$S:$S,"&gt;="&amp;DATE(2026,8,1),'2_Data_Pelanggan'!$S:$S,"&lt;"&amp;DATE(2026,9,1))</f>
        <v>0</v>
      </c>
      <c r="L79" s="210">
        <f>COUNTIFS('2_Data_Pelanggan'!$H:$H,$F79,'2_Data_Pelanggan'!$I:$I,$G79,'2_Data_Pelanggan'!$J:$J,$H79,'2_Data_Pelanggan'!$S:$S,"&gt;="&amp;DATE(2026,9,1),'2_Data_Pelanggan'!$S:$S,"&lt;"&amp;DATE(2026,10,1))</f>
        <v>0</v>
      </c>
      <c r="M79" s="210">
        <f>COUNTIFS('2_Data_Pelanggan'!$H:$H,$F79,'2_Data_Pelanggan'!$I:$I,$G79,'2_Data_Pelanggan'!$J:$J,$H79,'2_Data_Pelanggan'!$S:$S,"&gt;="&amp;DATE(2026,10,1),'2_Data_Pelanggan'!$S:$S,"&lt;"&amp;DATE(2026,11,1))</f>
        <v>0</v>
      </c>
      <c r="N79" s="210">
        <f>COUNTIFS('2_Data_Pelanggan'!$H:$H,$F79,'2_Data_Pelanggan'!$I:$I,$G79,'2_Data_Pelanggan'!$J:$J,$H79,'2_Data_Pelanggan'!$S:$S,"&gt;="&amp;DATE(2026,11,1),'2_Data_Pelanggan'!$S:$S,"&lt;"&amp;DATE(2026,12,1))</f>
        <v>0</v>
      </c>
      <c r="O79" s="210">
        <f>COUNTIFS('2_Data_Pelanggan'!$H:$H,$F79,'2_Data_Pelanggan'!$I:$I,$G79,'2_Data_Pelanggan'!$J:$J,$H79,'2_Data_Pelanggan'!$S:$S,"&gt;="&amp;DATE(2026,12,1),'2_Data_Pelanggan'!$S:$S,"&lt;"&amp;DATE(2026,1,1))</f>
        <v>0</v>
      </c>
      <c r="P79" s="210">
        <f t="shared" si="1"/>
        <v>12000</v>
      </c>
      <c r="Q79" s="210">
        <f t="shared" ref="Q79:V79" si="80">3000*J79</f>
        <v>0</v>
      </c>
      <c r="R79" s="210">
        <f t="shared" si="80"/>
        <v>0</v>
      </c>
      <c r="S79" s="210">
        <f t="shared" si="80"/>
        <v>0</v>
      </c>
      <c r="T79" s="210">
        <f t="shared" si="80"/>
        <v>0</v>
      </c>
      <c r="U79" s="210">
        <f t="shared" si="80"/>
        <v>0</v>
      </c>
      <c r="V79" s="210">
        <f t="shared" si="80"/>
        <v>0</v>
      </c>
      <c r="W79" s="210">
        <f t="shared" si="3"/>
        <v>12000</v>
      </c>
      <c r="X79" s="204">
        <f t="shared" si="4"/>
        <v>4000</v>
      </c>
      <c r="Y79" s="205">
        <f t="shared" si="5"/>
        <v>8000</v>
      </c>
      <c r="Z79" s="86" t="s">
        <v>1790</v>
      </c>
      <c r="AA79" s="110"/>
      <c r="AB79" s="47"/>
      <c r="AC79" s="47"/>
      <c r="AD79" s="47"/>
      <c r="AE79" s="47"/>
      <c r="AF79" s="47"/>
    </row>
    <row r="80" ht="15.0" customHeight="1">
      <c r="A80" s="206">
        <v>78.0</v>
      </c>
      <c r="B80" s="207"/>
      <c r="C80" s="208" t="s">
        <v>1788</v>
      </c>
      <c r="D80" s="208" t="s">
        <v>1791</v>
      </c>
      <c r="E80" s="208" t="s">
        <v>1792</v>
      </c>
      <c r="F80" s="209" t="s">
        <v>327</v>
      </c>
      <c r="G80" s="206">
        <v>10.0</v>
      </c>
      <c r="H80" s="206">
        <v>5.0</v>
      </c>
      <c r="I80" s="206">
        <f>COUNTIFS('2_Data_Pelanggan'!$H:$H,$F80,'2_Data_Pelanggan'!$I:$I,$G80,'2_Data_Pelanggan'!$J:$J,$H80,'2_Data_Pelanggan'!$S:$S,"&gt;="&amp;DATE(2026,6,1),'2_Data_Pelanggan'!$S:$S,"&lt;"&amp;DATE(2026,7,1))</f>
        <v>0</v>
      </c>
      <c r="J80" s="206">
        <f>COUNTIFS('2_Data_Pelanggan'!$H:$H,$F80,'2_Data_Pelanggan'!$I:$I,$G80,'2_Data_Pelanggan'!$J:$J,$H80,'2_Data_Pelanggan'!$S:$S,"&gt;="&amp;DATE(2026,7,1),'2_Data_Pelanggan'!$S:$S,"&lt;"&amp;DATE(2026,8,1))</f>
        <v>0</v>
      </c>
      <c r="K80" s="206">
        <f>COUNTIFS('2_Data_Pelanggan'!$H:$H,$F80,'2_Data_Pelanggan'!$I:$I,$G80,'2_Data_Pelanggan'!$J:$J,$H80,'2_Data_Pelanggan'!$S:$S,"&gt;="&amp;DATE(2026,8,1),'2_Data_Pelanggan'!$S:$S,"&lt;"&amp;DATE(2026,9,1))</f>
        <v>0</v>
      </c>
      <c r="L80" s="210">
        <f>COUNTIFS('2_Data_Pelanggan'!$H:$H,$F80,'2_Data_Pelanggan'!$I:$I,$G80,'2_Data_Pelanggan'!$J:$J,$H80,'2_Data_Pelanggan'!$S:$S,"&gt;="&amp;DATE(2026,9,1),'2_Data_Pelanggan'!$S:$S,"&lt;"&amp;DATE(2026,10,1))</f>
        <v>0</v>
      </c>
      <c r="M80" s="210">
        <f>COUNTIFS('2_Data_Pelanggan'!$H:$H,$F80,'2_Data_Pelanggan'!$I:$I,$G80,'2_Data_Pelanggan'!$J:$J,$H80,'2_Data_Pelanggan'!$S:$S,"&gt;="&amp;DATE(2026,10,1),'2_Data_Pelanggan'!$S:$S,"&lt;"&amp;DATE(2026,11,1))</f>
        <v>0</v>
      </c>
      <c r="N80" s="210">
        <f>COUNTIFS('2_Data_Pelanggan'!$H:$H,$F80,'2_Data_Pelanggan'!$I:$I,$G80,'2_Data_Pelanggan'!$J:$J,$H80,'2_Data_Pelanggan'!$S:$S,"&gt;="&amp;DATE(2026,11,1),'2_Data_Pelanggan'!$S:$S,"&lt;"&amp;DATE(2026,12,1))</f>
        <v>0</v>
      </c>
      <c r="O80" s="210">
        <f>COUNTIFS('2_Data_Pelanggan'!$H:$H,$F80,'2_Data_Pelanggan'!$I:$I,$G80,'2_Data_Pelanggan'!$J:$J,$H80,'2_Data_Pelanggan'!$S:$S,"&gt;="&amp;DATE(2026,12,1),'2_Data_Pelanggan'!$S:$S,"&lt;"&amp;DATE(2026,1,1))</f>
        <v>0</v>
      </c>
      <c r="P80" s="210">
        <f t="shared" si="1"/>
        <v>0</v>
      </c>
      <c r="Q80" s="210">
        <f t="shared" ref="Q80:V80" si="81">3000*J80</f>
        <v>0</v>
      </c>
      <c r="R80" s="210">
        <f t="shared" si="81"/>
        <v>0</v>
      </c>
      <c r="S80" s="210">
        <f t="shared" si="81"/>
        <v>0</v>
      </c>
      <c r="T80" s="210">
        <f t="shared" si="81"/>
        <v>0</v>
      </c>
      <c r="U80" s="210">
        <f t="shared" si="81"/>
        <v>0</v>
      </c>
      <c r="V80" s="210">
        <f t="shared" si="81"/>
        <v>0</v>
      </c>
      <c r="W80" s="210">
        <f t="shared" si="3"/>
        <v>0</v>
      </c>
      <c r="X80" s="204">
        <f t="shared" si="4"/>
        <v>0</v>
      </c>
      <c r="Y80" s="205">
        <f t="shared" si="5"/>
        <v>0</v>
      </c>
      <c r="Z80" s="86" t="s">
        <v>1790</v>
      </c>
      <c r="AA80" s="110"/>
      <c r="AB80" s="47"/>
      <c r="AC80" s="47"/>
      <c r="AD80" s="47"/>
      <c r="AE80" s="47"/>
      <c r="AF80" s="47"/>
    </row>
    <row r="81" ht="15.0" customHeight="1">
      <c r="A81" s="206">
        <v>79.0</v>
      </c>
      <c r="B81" s="207"/>
      <c r="C81" s="208" t="s">
        <v>1788</v>
      </c>
      <c r="D81" s="208" t="s">
        <v>1791</v>
      </c>
      <c r="E81" s="208" t="s">
        <v>1792</v>
      </c>
      <c r="F81" s="209" t="s">
        <v>327</v>
      </c>
      <c r="G81" s="206">
        <v>10.0</v>
      </c>
      <c r="H81" s="206">
        <v>6.0</v>
      </c>
      <c r="I81" s="206">
        <f>COUNTIFS('2_Data_Pelanggan'!$H:$H,$F81,'2_Data_Pelanggan'!$I:$I,$G81,'2_Data_Pelanggan'!$J:$J,$H81,'2_Data_Pelanggan'!$S:$S,"&gt;="&amp;DATE(2026,6,1),'2_Data_Pelanggan'!$S:$S,"&lt;"&amp;DATE(2026,7,1))</f>
        <v>0</v>
      </c>
      <c r="J81" s="206">
        <f>COUNTIFS('2_Data_Pelanggan'!$H:$H,$F81,'2_Data_Pelanggan'!$I:$I,$G81,'2_Data_Pelanggan'!$J:$J,$H81,'2_Data_Pelanggan'!$S:$S,"&gt;="&amp;DATE(2026,7,1),'2_Data_Pelanggan'!$S:$S,"&lt;"&amp;DATE(2026,8,1))</f>
        <v>1</v>
      </c>
      <c r="K81" s="206">
        <f>COUNTIFS('2_Data_Pelanggan'!$H:$H,$F81,'2_Data_Pelanggan'!$I:$I,$G81,'2_Data_Pelanggan'!$J:$J,$H81,'2_Data_Pelanggan'!$S:$S,"&gt;="&amp;DATE(2026,8,1),'2_Data_Pelanggan'!$S:$S,"&lt;"&amp;DATE(2026,9,1))</f>
        <v>0</v>
      </c>
      <c r="L81" s="210">
        <f>COUNTIFS('2_Data_Pelanggan'!$H:$H,$F81,'2_Data_Pelanggan'!$I:$I,$G81,'2_Data_Pelanggan'!$J:$J,$H81,'2_Data_Pelanggan'!$S:$S,"&gt;="&amp;DATE(2026,9,1),'2_Data_Pelanggan'!$S:$S,"&lt;"&amp;DATE(2026,10,1))</f>
        <v>0</v>
      </c>
      <c r="M81" s="210">
        <f>COUNTIFS('2_Data_Pelanggan'!$H:$H,$F81,'2_Data_Pelanggan'!$I:$I,$G81,'2_Data_Pelanggan'!$J:$J,$H81,'2_Data_Pelanggan'!$S:$S,"&gt;="&amp;DATE(2026,10,1),'2_Data_Pelanggan'!$S:$S,"&lt;"&amp;DATE(2026,11,1))</f>
        <v>0</v>
      </c>
      <c r="N81" s="210">
        <f>COUNTIFS('2_Data_Pelanggan'!$H:$H,$F81,'2_Data_Pelanggan'!$I:$I,$G81,'2_Data_Pelanggan'!$J:$J,$H81,'2_Data_Pelanggan'!$S:$S,"&gt;="&amp;DATE(2026,11,1),'2_Data_Pelanggan'!$S:$S,"&lt;"&amp;DATE(2026,12,1))</f>
        <v>0</v>
      </c>
      <c r="O81" s="210">
        <f>COUNTIFS('2_Data_Pelanggan'!$H:$H,$F81,'2_Data_Pelanggan'!$I:$I,$G81,'2_Data_Pelanggan'!$J:$J,$H81,'2_Data_Pelanggan'!$S:$S,"&gt;="&amp;DATE(2026,12,1),'2_Data_Pelanggan'!$S:$S,"&lt;"&amp;DATE(2026,1,1))</f>
        <v>0</v>
      </c>
      <c r="P81" s="210">
        <f t="shared" si="1"/>
        <v>0</v>
      </c>
      <c r="Q81" s="210">
        <f t="shared" ref="Q81:V81" si="82">3000*J81</f>
        <v>3000</v>
      </c>
      <c r="R81" s="210">
        <f t="shared" si="82"/>
        <v>0</v>
      </c>
      <c r="S81" s="210">
        <f t="shared" si="82"/>
        <v>0</v>
      </c>
      <c r="T81" s="210">
        <f t="shared" si="82"/>
        <v>0</v>
      </c>
      <c r="U81" s="210">
        <f t="shared" si="82"/>
        <v>0</v>
      </c>
      <c r="V81" s="210">
        <f t="shared" si="82"/>
        <v>0</v>
      </c>
      <c r="W81" s="210">
        <f t="shared" si="3"/>
        <v>3000</v>
      </c>
      <c r="X81" s="204">
        <f t="shared" si="4"/>
        <v>1000</v>
      </c>
      <c r="Y81" s="205">
        <f t="shared" si="5"/>
        <v>2000</v>
      </c>
      <c r="Z81" s="86" t="s">
        <v>1790</v>
      </c>
      <c r="AA81" s="110"/>
      <c r="AB81" s="47"/>
      <c r="AC81" s="47"/>
      <c r="AD81" s="47"/>
      <c r="AE81" s="47"/>
      <c r="AF81" s="47"/>
    </row>
    <row r="82" ht="15.0" customHeight="1">
      <c r="A82" s="206">
        <v>80.0</v>
      </c>
      <c r="B82" s="207"/>
      <c r="C82" s="208" t="s">
        <v>1788</v>
      </c>
      <c r="D82" s="208" t="s">
        <v>1791</v>
      </c>
      <c r="E82" s="208" t="s">
        <v>1792</v>
      </c>
      <c r="F82" s="209" t="s">
        <v>327</v>
      </c>
      <c r="G82" s="206">
        <v>10.0</v>
      </c>
      <c r="H82" s="206">
        <v>7.0</v>
      </c>
      <c r="I82" s="206">
        <f>COUNTIFS('2_Data_Pelanggan'!$H:$H,$F82,'2_Data_Pelanggan'!$I:$I,$G82,'2_Data_Pelanggan'!$J:$J,$H82,'2_Data_Pelanggan'!$S:$S,"&gt;="&amp;DATE(2026,6,1),'2_Data_Pelanggan'!$S:$S,"&lt;"&amp;DATE(2026,7,1))</f>
        <v>0</v>
      </c>
      <c r="J82" s="206">
        <f>COUNTIFS('2_Data_Pelanggan'!$H:$H,$F82,'2_Data_Pelanggan'!$I:$I,$G82,'2_Data_Pelanggan'!$J:$J,$H82,'2_Data_Pelanggan'!$S:$S,"&gt;="&amp;DATE(2026,7,1),'2_Data_Pelanggan'!$S:$S,"&lt;"&amp;DATE(2026,8,1))</f>
        <v>0</v>
      </c>
      <c r="K82" s="206">
        <f>COUNTIFS('2_Data_Pelanggan'!$H:$H,$F82,'2_Data_Pelanggan'!$I:$I,$G82,'2_Data_Pelanggan'!$J:$J,$H82,'2_Data_Pelanggan'!$S:$S,"&gt;="&amp;DATE(2026,8,1),'2_Data_Pelanggan'!$S:$S,"&lt;"&amp;DATE(2026,9,1))</f>
        <v>0</v>
      </c>
      <c r="L82" s="210">
        <f>COUNTIFS('2_Data_Pelanggan'!$H:$H,$F82,'2_Data_Pelanggan'!$I:$I,$G82,'2_Data_Pelanggan'!$J:$J,$H82,'2_Data_Pelanggan'!$S:$S,"&gt;="&amp;DATE(2026,9,1),'2_Data_Pelanggan'!$S:$S,"&lt;"&amp;DATE(2026,10,1))</f>
        <v>0</v>
      </c>
      <c r="M82" s="210">
        <f>COUNTIFS('2_Data_Pelanggan'!$H:$H,$F82,'2_Data_Pelanggan'!$I:$I,$G82,'2_Data_Pelanggan'!$J:$J,$H82,'2_Data_Pelanggan'!$S:$S,"&gt;="&amp;DATE(2026,10,1),'2_Data_Pelanggan'!$S:$S,"&lt;"&amp;DATE(2026,11,1))</f>
        <v>0</v>
      </c>
      <c r="N82" s="210">
        <f>COUNTIFS('2_Data_Pelanggan'!$H:$H,$F82,'2_Data_Pelanggan'!$I:$I,$G82,'2_Data_Pelanggan'!$J:$J,$H82,'2_Data_Pelanggan'!$S:$S,"&gt;="&amp;DATE(2026,11,1),'2_Data_Pelanggan'!$S:$S,"&lt;"&amp;DATE(2026,12,1))</f>
        <v>0</v>
      </c>
      <c r="O82" s="210">
        <f>COUNTIFS('2_Data_Pelanggan'!$H:$H,$F82,'2_Data_Pelanggan'!$I:$I,$G82,'2_Data_Pelanggan'!$J:$J,$H82,'2_Data_Pelanggan'!$S:$S,"&gt;="&amp;DATE(2026,12,1),'2_Data_Pelanggan'!$S:$S,"&lt;"&amp;DATE(2026,1,1))</f>
        <v>0</v>
      </c>
      <c r="P82" s="210">
        <f t="shared" si="1"/>
        <v>0</v>
      </c>
      <c r="Q82" s="210">
        <f t="shared" ref="Q82:V82" si="83">3000*J82</f>
        <v>0</v>
      </c>
      <c r="R82" s="210">
        <f t="shared" si="83"/>
        <v>0</v>
      </c>
      <c r="S82" s="210">
        <f t="shared" si="83"/>
        <v>0</v>
      </c>
      <c r="T82" s="210">
        <f t="shared" si="83"/>
        <v>0</v>
      </c>
      <c r="U82" s="210">
        <f t="shared" si="83"/>
        <v>0</v>
      </c>
      <c r="V82" s="210">
        <f t="shared" si="83"/>
        <v>0</v>
      </c>
      <c r="W82" s="210">
        <f t="shared" si="3"/>
        <v>0</v>
      </c>
      <c r="X82" s="204">
        <f t="shared" si="4"/>
        <v>0</v>
      </c>
      <c r="Y82" s="205">
        <f t="shared" si="5"/>
        <v>0</v>
      </c>
      <c r="Z82" s="86" t="s">
        <v>1790</v>
      </c>
      <c r="AA82" s="110"/>
      <c r="AB82" s="47"/>
      <c r="AC82" s="47"/>
      <c r="AD82" s="47"/>
      <c r="AE82" s="47"/>
      <c r="AF82" s="47"/>
    </row>
    <row r="83" ht="15.0" customHeight="1">
      <c r="A83" s="206">
        <v>81.0</v>
      </c>
      <c r="B83" s="207"/>
      <c r="C83" s="208" t="s">
        <v>1788</v>
      </c>
      <c r="D83" s="208" t="s">
        <v>1791</v>
      </c>
      <c r="E83" s="208" t="s">
        <v>1792</v>
      </c>
      <c r="F83" s="209" t="s">
        <v>327</v>
      </c>
      <c r="G83" s="206">
        <v>10.0</v>
      </c>
      <c r="H83" s="206">
        <v>8.0</v>
      </c>
      <c r="I83" s="206">
        <f>COUNTIFS('2_Data_Pelanggan'!$H:$H,$F83,'2_Data_Pelanggan'!$I:$I,$G83,'2_Data_Pelanggan'!$J:$J,$H83,'2_Data_Pelanggan'!$S:$S,"&gt;="&amp;DATE(2026,6,1),'2_Data_Pelanggan'!$S:$S,"&lt;"&amp;DATE(2026,7,1))</f>
        <v>0</v>
      </c>
      <c r="J83" s="206">
        <f>COUNTIFS('2_Data_Pelanggan'!$H:$H,$F83,'2_Data_Pelanggan'!$I:$I,$G83,'2_Data_Pelanggan'!$J:$J,$H83,'2_Data_Pelanggan'!$S:$S,"&gt;="&amp;DATE(2026,7,1),'2_Data_Pelanggan'!$S:$S,"&lt;"&amp;DATE(2026,8,1))</f>
        <v>0</v>
      </c>
      <c r="K83" s="206">
        <f>COUNTIFS('2_Data_Pelanggan'!$H:$H,$F83,'2_Data_Pelanggan'!$I:$I,$G83,'2_Data_Pelanggan'!$J:$J,$H83,'2_Data_Pelanggan'!$S:$S,"&gt;="&amp;DATE(2026,8,1),'2_Data_Pelanggan'!$S:$S,"&lt;"&amp;DATE(2026,9,1))</f>
        <v>0</v>
      </c>
      <c r="L83" s="210">
        <f>COUNTIFS('2_Data_Pelanggan'!$H:$H,$F83,'2_Data_Pelanggan'!$I:$I,$G83,'2_Data_Pelanggan'!$J:$J,$H83,'2_Data_Pelanggan'!$S:$S,"&gt;="&amp;DATE(2026,9,1),'2_Data_Pelanggan'!$S:$S,"&lt;"&amp;DATE(2026,10,1))</f>
        <v>0</v>
      </c>
      <c r="M83" s="210">
        <f>COUNTIFS('2_Data_Pelanggan'!$H:$H,$F83,'2_Data_Pelanggan'!$I:$I,$G83,'2_Data_Pelanggan'!$J:$J,$H83,'2_Data_Pelanggan'!$S:$S,"&gt;="&amp;DATE(2026,10,1),'2_Data_Pelanggan'!$S:$S,"&lt;"&amp;DATE(2026,11,1))</f>
        <v>0</v>
      </c>
      <c r="N83" s="210">
        <f>COUNTIFS('2_Data_Pelanggan'!$H:$H,$F83,'2_Data_Pelanggan'!$I:$I,$G83,'2_Data_Pelanggan'!$J:$J,$H83,'2_Data_Pelanggan'!$S:$S,"&gt;="&amp;DATE(2026,11,1),'2_Data_Pelanggan'!$S:$S,"&lt;"&amp;DATE(2026,12,1))</f>
        <v>0</v>
      </c>
      <c r="O83" s="210">
        <f>COUNTIFS('2_Data_Pelanggan'!$H:$H,$F83,'2_Data_Pelanggan'!$I:$I,$G83,'2_Data_Pelanggan'!$J:$J,$H83,'2_Data_Pelanggan'!$S:$S,"&gt;="&amp;DATE(2026,12,1),'2_Data_Pelanggan'!$S:$S,"&lt;"&amp;DATE(2026,1,1))</f>
        <v>0</v>
      </c>
      <c r="P83" s="210">
        <f t="shared" si="1"/>
        <v>0</v>
      </c>
      <c r="Q83" s="210">
        <f t="shared" ref="Q83:V83" si="84">3000*J83</f>
        <v>0</v>
      </c>
      <c r="R83" s="210">
        <f t="shared" si="84"/>
        <v>0</v>
      </c>
      <c r="S83" s="210">
        <f t="shared" si="84"/>
        <v>0</v>
      </c>
      <c r="T83" s="210">
        <f t="shared" si="84"/>
        <v>0</v>
      </c>
      <c r="U83" s="210">
        <f t="shared" si="84"/>
        <v>0</v>
      </c>
      <c r="V83" s="210">
        <f t="shared" si="84"/>
        <v>0</v>
      </c>
      <c r="W83" s="210">
        <f t="shared" si="3"/>
        <v>0</v>
      </c>
      <c r="X83" s="204">
        <f t="shared" si="4"/>
        <v>0</v>
      </c>
      <c r="Y83" s="205">
        <f t="shared" si="5"/>
        <v>0</v>
      </c>
      <c r="Z83" s="86" t="s">
        <v>1790</v>
      </c>
      <c r="AA83" s="110"/>
      <c r="AB83" s="47"/>
      <c r="AC83" s="47"/>
      <c r="AD83" s="47"/>
      <c r="AE83" s="47"/>
      <c r="AF83" s="47"/>
    </row>
    <row r="84" ht="15.0" customHeight="1">
      <c r="A84" s="206">
        <v>82.0</v>
      </c>
      <c r="B84" s="207"/>
      <c r="C84" s="208" t="s">
        <v>1788</v>
      </c>
      <c r="D84" s="208" t="s">
        <v>1791</v>
      </c>
      <c r="E84" s="208" t="s">
        <v>1792</v>
      </c>
      <c r="F84" s="209" t="s">
        <v>327</v>
      </c>
      <c r="G84" s="206">
        <v>11.0</v>
      </c>
      <c r="H84" s="206">
        <v>1.0</v>
      </c>
      <c r="I84" s="206">
        <f>COUNTIFS('2_Data_Pelanggan'!$H:$H,$F84,'2_Data_Pelanggan'!$I:$I,$G84,'2_Data_Pelanggan'!$J:$J,$H84,'2_Data_Pelanggan'!$S:$S,"&gt;="&amp;DATE(2026,6,1),'2_Data_Pelanggan'!$S:$S,"&lt;"&amp;DATE(2026,7,1))</f>
        <v>0</v>
      </c>
      <c r="J84" s="206">
        <f>COUNTIFS('2_Data_Pelanggan'!$H:$H,$F84,'2_Data_Pelanggan'!$I:$I,$G84,'2_Data_Pelanggan'!$J:$J,$H84,'2_Data_Pelanggan'!$S:$S,"&gt;="&amp;DATE(2026,7,1),'2_Data_Pelanggan'!$S:$S,"&lt;"&amp;DATE(2026,8,1))</f>
        <v>0</v>
      </c>
      <c r="K84" s="206">
        <f>COUNTIFS('2_Data_Pelanggan'!$H:$H,$F84,'2_Data_Pelanggan'!$I:$I,$G84,'2_Data_Pelanggan'!$J:$J,$H84,'2_Data_Pelanggan'!$S:$S,"&gt;="&amp;DATE(2026,8,1),'2_Data_Pelanggan'!$S:$S,"&lt;"&amp;DATE(2026,9,1))</f>
        <v>0</v>
      </c>
      <c r="L84" s="210">
        <f>COUNTIFS('2_Data_Pelanggan'!$H:$H,$F84,'2_Data_Pelanggan'!$I:$I,$G84,'2_Data_Pelanggan'!$J:$J,$H84,'2_Data_Pelanggan'!$S:$S,"&gt;="&amp;DATE(2026,9,1),'2_Data_Pelanggan'!$S:$S,"&lt;"&amp;DATE(2026,10,1))</f>
        <v>0</v>
      </c>
      <c r="M84" s="210">
        <f>COUNTIFS('2_Data_Pelanggan'!$H:$H,$F84,'2_Data_Pelanggan'!$I:$I,$G84,'2_Data_Pelanggan'!$J:$J,$H84,'2_Data_Pelanggan'!$S:$S,"&gt;="&amp;DATE(2026,10,1),'2_Data_Pelanggan'!$S:$S,"&lt;"&amp;DATE(2026,11,1))</f>
        <v>0</v>
      </c>
      <c r="N84" s="210">
        <f>COUNTIFS('2_Data_Pelanggan'!$H:$H,$F84,'2_Data_Pelanggan'!$I:$I,$G84,'2_Data_Pelanggan'!$J:$J,$H84,'2_Data_Pelanggan'!$S:$S,"&gt;="&amp;DATE(2026,11,1),'2_Data_Pelanggan'!$S:$S,"&lt;"&amp;DATE(2026,12,1))</f>
        <v>0</v>
      </c>
      <c r="O84" s="210">
        <f>COUNTIFS('2_Data_Pelanggan'!$H:$H,$F84,'2_Data_Pelanggan'!$I:$I,$G84,'2_Data_Pelanggan'!$J:$J,$H84,'2_Data_Pelanggan'!$S:$S,"&gt;="&amp;DATE(2026,12,1),'2_Data_Pelanggan'!$S:$S,"&lt;"&amp;DATE(2026,1,1))</f>
        <v>0</v>
      </c>
      <c r="P84" s="210">
        <f t="shared" si="1"/>
        <v>0</v>
      </c>
      <c r="Q84" s="210">
        <f t="shared" ref="Q84:V84" si="85">3000*J84</f>
        <v>0</v>
      </c>
      <c r="R84" s="210">
        <f t="shared" si="85"/>
        <v>0</v>
      </c>
      <c r="S84" s="210">
        <f t="shared" si="85"/>
        <v>0</v>
      </c>
      <c r="T84" s="210">
        <f t="shared" si="85"/>
        <v>0</v>
      </c>
      <c r="U84" s="210">
        <f t="shared" si="85"/>
        <v>0</v>
      </c>
      <c r="V84" s="210">
        <f t="shared" si="85"/>
        <v>0</v>
      </c>
      <c r="W84" s="210">
        <f t="shared" si="3"/>
        <v>0</v>
      </c>
      <c r="X84" s="204">
        <f t="shared" si="4"/>
        <v>0</v>
      </c>
      <c r="Y84" s="205">
        <f t="shared" si="5"/>
        <v>0</v>
      </c>
      <c r="Z84" s="86" t="s">
        <v>1790</v>
      </c>
      <c r="AA84" s="110"/>
      <c r="AB84" s="47"/>
      <c r="AC84" s="47"/>
      <c r="AD84" s="47"/>
      <c r="AE84" s="47"/>
      <c r="AF84" s="47"/>
    </row>
    <row r="85" ht="15.0" customHeight="1">
      <c r="A85" s="206">
        <v>83.0</v>
      </c>
      <c r="B85" s="207"/>
      <c r="C85" s="208" t="s">
        <v>1788</v>
      </c>
      <c r="D85" s="208" t="s">
        <v>1791</v>
      </c>
      <c r="E85" s="208" t="s">
        <v>1792</v>
      </c>
      <c r="F85" s="209" t="s">
        <v>327</v>
      </c>
      <c r="G85" s="206">
        <v>11.0</v>
      </c>
      <c r="H85" s="206">
        <v>2.0</v>
      </c>
      <c r="I85" s="206">
        <f>COUNTIFS('2_Data_Pelanggan'!$H:$H,$F85,'2_Data_Pelanggan'!$I:$I,$G85,'2_Data_Pelanggan'!$J:$J,$H85,'2_Data_Pelanggan'!$S:$S,"&gt;="&amp;DATE(2026,6,1),'2_Data_Pelanggan'!$S:$S,"&lt;"&amp;DATE(2026,7,1))</f>
        <v>2</v>
      </c>
      <c r="J85" s="206">
        <f>COUNTIFS('2_Data_Pelanggan'!$H:$H,$F85,'2_Data_Pelanggan'!$I:$I,$G85,'2_Data_Pelanggan'!$J:$J,$H85,'2_Data_Pelanggan'!$S:$S,"&gt;="&amp;DATE(2026,7,1),'2_Data_Pelanggan'!$S:$S,"&lt;"&amp;DATE(2026,8,1))</f>
        <v>0</v>
      </c>
      <c r="K85" s="206">
        <f>COUNTIFS('2_Data_Pelanggan'!$H:$H,$F85,'2_Data_Pelanggan'!$I:$I,$G85,'2_Data_Pelanggan'!$J:$J,$H85,'2_Data_Pelanggan'!$S:$S,"&gt;="&amp;DATE(2026,8,1),'2_Data_Pelanggan'!$S:$S,"&lt;"&amp;DATE(2026,9,1))</f>
        <v>0</v>
      </c>
      <c r="L85" s="210">
        <f>COUNTIFS('2_Data_Pelanggan'!$H:$H,$F85,'2_Data_Pelanggan'!$I:$I,$G85,'2_Data_Pelanggan'!$J:$J,$H85,'2_Data_Pelanggan'!$S:$S,"&gt;="&amp;DATE(2026,9,1),'2_Data_Pelanggan'!$S:$S,"&lt;"&amp;DATE(2026,10,1))</f>
        <v>0</v>
      </c>
      <c r="M85" s="210">
        <f>COUNTIFS('2_Data_Pelanggan'!$H:$H,$F85,'2_Data_Pelanggan'!$I:$I,$G85,'2_Data_Pelanggan'!$J:$J,$H85,'2_Data_Pelanggan'!$S:$S,"&gt;="&amp;DATE(2026,10,1),'2_Data_Pelanggan'!$S:$S,"&lt;"&amp;DATE(2026,11,1))</f>
        <v>0</v>
      </c>
      <c r="N85" s="210">
        <f>COUNTIFS('2_Data_Pelanggan'!$H:$H,$F85,'2_Data_Pelanggan'!$I:$I,$G85,'2_Data_Pelanggan'!$J:$J,$H85,'2_Data_Pelanggan'!$S:$S,"&gt;="&amp;DATE(2026,11,1),'2_Data_Pelanggan'!$S:$S,"&lt;"&amp;DATE(2026,12,1))</f>
        <v>0</v>
      </c>
      <c r="O85" s="210">
        <f>COUNTIFS('2_Data_Pelanggan'!$H:$H,$F85,'2_Data_Pelanggan'!$I:$I,$G85,'2_Data_Pelanggan'!$J:$J,$H85,'2_Data_Pelanggan'!$S:$S,"&gt;="&amp;DATE(2026,12,1),'2_Data_Pelanggan'!$S:$S,"&lt;"&amp;DATE(2026,1,1))</f>
        <v>0</v>
      </c>
      <c r="P85" s="210">
        <f t="shared" si="1"/>
        <v>6000</v>
      </c>
      <c r="Q85" s="210">
        <f t="shared" ref="Q85:V85" si="86">3000*J85</f>
        <v>0</v>
      </c>
      <c r="R85" s="210">
        <f t="shared" si="86"/>
        <v>0</v>
      </c>
      <c r="S85" s="210">
        <f t="shared" si="86"/>
        <v>0</v>
      </c>
      <c r="T85" s="210">
        <f t="shared" si="86"/>
        <v>0</v>
      </c>
      <c r="U85" s="210">
        <f t="shared" si="86"/>
        <v>0</v>
      </c>
      <c r="V85" s="210">
        <f t="shared" si="86"/>
        <v>0</v>
      </c>
      <c r="W85" s="210">
        <f t="shared" si="3"/>
        <v>6000</v>
      </c>
      <c r="X85" s="204">
        <f t="shared" si="4"/>
        <v>2000</v>
      </c>
      <c r="Y85" s="205">
        <f t="shared" si="5"/>
        <v>4000</v>
      </c>
      <c r="Z85" s="86" t="s">
        <v>1790</v>
      </c>
      <c r="AA85" s="110"/>
      <c r="AB85" s="47"/>
      <c r="AC85" s="47"/>
      <c r="AD85" s="47"/>
      <c r="AE85" s="47"/>
      <c r="AF85" s="47"/>
    </row>
    <row r="86" ht="15.0" customHeight="1">
      <c r="A86" s="206">
        <v>84.0</v>
      </c>
      <c r="B86" s="207"/>
      <c r="C86" s="208" t="s">
        <v>1788</v>
      </c>
      <c r="D86" s="208" t="s">
        <v>1791</v>
      </c>
      <c r="E86" s="208" t="s">
        <v>1792</v>
      </c>
      <c r="F86" s="209" t="s">
        <v>327</v>
      </c>
      <c r="G86" s="206">
        <v>11.0</v>
      </c>
      <c r="H86" s="206">
        <v>3.0</v>
      </c>
      <c r="I86" s="206">
        <f>COUNTIFS('2_Data_Pelanggan'!$H:$H,$F86,'2_Data_Pelanggan'!$I:$I,$G86,'2_Data_Pelanggan'!$J:$J,$H86,'2_Data_Pelanggan'!$S:$S,"&gt;="&amp;DATE(2026,6,1),'2_Data_Pelanggan'!$S:$S,"&lt;"&amp;DATE(2026,7,1))</f>
        <v>2</v>
      </c>
      <c r="J86" s="206">
        <f>COUNTIFS('2_Data_Pelanggan'!$H:$H,$F86,'2_Data_Pelanggan'!$I:$I,$G86,'2_Data_Pelanggan'!$J:$J,$H86,'2_Data_Pelanggan'!$S:$S,"&gt;="&amp;DATE(2026,7,1),'2_Data_Pelanggan'!$S:$S,"&lt;"&amp;DATE(2026,8,1))</f>
        <v>0</v>
      </c>
      <c r="K86" s="206">
        <f>COUNTIFS('2_Data_Pelanggan'!$H:$H,$F86,'2_Data_Pelanggan'!$I:$I,$G86,'2_Data_Pelanggan'!$J:$J,$H86,'2_Data_Pelanggan'!$S:$S,"&gt;="&amp;DATE(2026,8,1),'2_Data_Pelanggan'!$S:$S,"&lt;"&amp;DATE(2026,9,1))</f>
        <v>0</v>
      </c>
      <c r="L86" s="210">
        <f>COUNTIFS('2_Data_Pelanggan'!$H:$H,$F86,'2_Data_Pelanggan'!$I:$I,$G86,'2_Data_Pelanggan'!$J:$J,$H86,'2_Data_Pelanggan'!$S:$S,"&gt;="&amp;DATE(2026,9,1),'2_Data_Pelanggan'!$S:$S,"&lt;"&amp;DATE(2026,10,1))</f>
        <v>0</v>
      </c>
      <c r="M86" s="210">
        <f>COUNTIFS('2_Data_Pelanggan'!$H:$H,$F86,'2_Data_Pelanggan'!$I:$I,$G86,'2_Data_Pelanggan'!$J:$J,$H86,'2_Data_Pelanggan'!$S:$S,"&gt;="&amp;DATE(2026,10,1),'2_Data_Pelanggan'!$S:$S,"&lt;"&amp;DATE(2026,11,1))</f>
        <v>0</v>
      </c>
      <c r="N86" s="210">
        <f>COUNTIFS('2_Data_Pelanggan'!$H:$H,$F86,'2_Data_Pelanggan'!$I:$I,$G86,'2_Data_Pelanggan'!$J:$J,$H86,'2_Data_Pelanggan'!$S:$S,"&gt;="&amp;DATE(2026,11,1),'2_Data_Pelanggan'!$S:$S,"&lt;"&amp;DATE(2026,12,1))</f>
        <v>0</v>
      </c>
      <c r="O86" s="210">
        <f>COUNTIFS('2_Data_Pelanggan'!$H:$H,$F86,'2_Data_Pelanggan'!$I:$I,$G86,'2_Data_Pelanggan'!$J:$J,$H86,'2_Data_Pelanggan'!$S:$S,"&gt;="&amp;DATE(2026,12,1),'2_Data_Pelanggan'!$S:$S,"&lt;"&amp;DATE(2026,1,1))</f>
        <v>0</v>
      </c>
      <c r="P86" s="210">
        <f t="shared" si="1"/>
        <v>6000</v>
      </c>
      <c r="Q86" s="210">
        <f t="shared" ref="Q86:V86" si="87">3000*J86</f>
        <v>0</v>
      </c>
      <c r="R86" s="210">
        <f t="shared" si="87"/>
        <v>0</v>
      </c>
      <c r="S86" s="210">
        <f t="shared" si="87"/>
        <v>0</v>
      </c>
      <c r="T86" s="210">
        <f t="shared" si="87"/>
        <v>0</v>
      </c>
      <c r="U86" s="210">
        <f t="shared" si="87"/>
        <v>0</v>
      </c>
      <c r="V86" s="210">
        <f t="shared" si="87"/>
        <v>0</v>
      </c>
      <c r="W86" s="210">
        <f t="shared" si="3"/>
        <v>6000</v>
      </c>
      <c r="X86" s="204">
        <f t="shared" si="4"/>
        <v>2000</v>
      </c>
      <c r="Y86" s="205">
        <f t="shared" si="5"/>
        <v>4000</v>
      </c>
      <c r="Z86" s="86" t="s">
        <v>1790</v>
      </c>
      <c r="AA86" s="110"/>
      <c r="AB86" s="47"/>
      <c r="AC86" s="47"/>
      <c r="AD86" s="47"/>
      <c r="AE86" s="47"/>
      <c r="AF86" s="47"/>
    </row>
    <row r="87" ht="15.0" customHeight="1">
      <c r="A87" s="206">
        <v>85.0</v>
      </c>
      <c r="B87" s="207"/>
      <c r="C87" s="208" t="s">
        <v>1788</v>
      </c>
      <c r="D87" s="208" t="s">
        <v>1791</v>
      </c>
      <c r="E87" s="208" t="s">
        <v>1792</v>
      </c>
      <c r="F87" s="209" t="s">
        <v>327</v>
      </c>
      <c r="G87" s="206">
        <v>11.0</v>
      </c>
      <c r="H87" s="206">
        <v>4.0</v>
      </c>
      <c r="I87" s="206">
        <f>COUNTIFS('2_Data_Pelanggan'!$H:$H,$F87,'2_Data_Pelanggan'!$I:$I,$G87,'2_Data_Pelanggan'!$J:$J,$H87,'2_Data_Pelanggan'!$S:$S,"&gt;="&amp;DATE(2026,6,1),'2_Data_Pelanggan'!$S:$S,"&lt;"&amp;DATE(2026,7,1))</f>
        <v>0</v>
      </c>
      <c r="J87" s="206">
        <f>COUNTIFS('2_Data_Pelanggan'!$H:$H,$F87,'2_Data_Pelanggan'!$I:$I,$G87,'2_Data_Pelanggan'!$J:$J,$H87,'2_Data_Pelanggan'!$S:$S,"&gt;="&amp;DATE(2026,7,1),'2_Data_Pelanggan'!$S:$S,"&lt;"&amp;DATE(2026,8,1))</f>
        <v>0</v>
      </c>
      <c r="K87" s="206">
        <f>COUNTIFS('2_Data_Pelanggan'!$H:$H,$F87,'2_Data_Pelanggan'!$I:$I,$G87,'2_Data_Pelanggan'!$J:$J,$H87,'2_Data_Pelanggan'!$S:$S,"&gt;="&amp;DATE(2026,8,1),'2_Data_Pelanggan'!$S:$S,"&lt;"&amp;DATE(2026,9,1))</f>
        <v>0</v>
      </c>
      <c r="L87" s="210">
        <f>COUNTIFS('2_Data_Pelanggan'!$H:$H,$F87,'2_Data_Pelanggan'!$I:$I,$G87,'2_Data_Pelanggan'!$J:$J,$H87,'2_Data_Pelanggan'!$S:$S,"&gt;="&amp;DATE(2026,9,1),'2_Data_Pelanggan'!$S:$S,"&lt;"&amp;DATE(2026,10,1))</f>
        <v>0</v>
      </c>
      <c r="M87" s="210">
        <f>COUNTIFS('2_Data_Pelanggan'!$H:$H,$F87,'2_Data_Pelanggan'!$I:$I,$G87,'2_Data_Pelanggan'!$J:$J,$H87,'2_Data_Pelanggan'!$S:$S,"&gt;="&amp;DATE(2026,10,1),'2_Data_Pelanggan'!$S:$S,"&lt;"&amp;DATE(2026,11,1))</f>
        <v>0</v>
      </c>
      <c r="N87" s="210">
        <f>COUNTIFS('2_Data_Pelanggan'!$H:$H,$F87,'2_Data_Pelanggan'!$I:$I,$G87,'2_Data_Pelanggan'!$J:$J,$H87,'2_Data_Pelanggan'!$S:$S,"&gt;="&amp;DATE(2026,11,1),'2_Data_Pelanggan'!$S:$S,"&lt;"&amp;DATE(2026,12,1))</f>
        <v>0</v>
      </c>
      <c r="O87" s="210">
        <f>COUNTIFS('2_Data_Pelanggan'!$H:$H,$F87,'2_Data_Pelanggan'!$I:$I,$G87,'2_Data_Pelanggan'!$J:$J,$H87,'2_Data_Pelanggan'!$S:$S,"&gt;="&amp;DATE(2026,12,1),'2_Data_Pelanggan'!$S:$S,"&lt;"&amp;DATE(2026,1,1))</f>
        <v>0</v>
      </c>
      <c r="P87" s="210">
        <f t="shared" si="1"/>
        <v>0</v>
      </c>
      <c r="Q87" s="210">
        <f t="shared" ref="Q87:V87" si="88">3000*J87</f>
        <v>0</v>
      </c>
      <c r="R87" s="210">
        <f t="shared" si="88"/>
        <v>0</v>
      </c>
      <c r="S87" s="210">
        <f t="shared" si="88"/>
        <v>0</v>
      </c>
      <c r="T87" s="210">
        <f t="shared" si="88"/>
        <v>0</v>
      </c>
      <c r="U87" s="210">
        <f t="shared" si="88"/>
        <v>0</v>
      </c>
      <c r="V87" s="210">
        <f t="shared" si="88"/>
        <v>0</v>
      </c>
      <c r="W87" s="210">
        <f t="shared" si="3"/>
        <v>0</v>
      </c>
      <c r="X87" s="204">
        <f t="shared" si="4"/>
        <v>0</v>
      </c>
      <c r="Y87" s="205">
        <f t="shared" si="5"/>
        <v>0</v>
      </c>
      <c r="Z87" s="86" t="s">
        <v>1790</v>
      </c>
      <c r="AA87" s="110"/>
      <c r="AB87" s="47"/>
      <c r="AC87" s="47"/>
      <c r="AD87" s="47"/>
      <c r="AE87" s="47"/>
      <c r="AF87" s="47"/>
    </row>
    <row r="88" ht="15.0" customHeight="1">
      <c r="A88" s="206">
        <v>86.0</v>
      </c>
      <c r="B88" s="207"/>
      <c r="C88" s="208" t="s">
        <v>1788</v>
      </c>
      <c r="D88" s="208" t="s">
        <v>1791</v>
      </c>
      <c r="E88" s="208" t="s">
        <v>1792</v>
      </c>
      <c r="F88" s="209" t="s">
        <v>327</v>
      </c>
      <c r="G88" s="206">
        <v>11.0</v>
      </c>
      <c r="H88" s="206">
        <v>5.0</v>
      </c>
      <c r="I88" s="206">
        <f>COUNTIFS('2_Data_Pelanggan'!$H:$H,$F88,'2_Data_Pelanggan'!$I:$I,$G88,'2_Data_Pelanggan'!$J:$J,$H88,'2_Data_Pelanggan'!$S:$S,"&gt;="&amp;DATE(2026,6,1),'2_Data_Pelanggan'!$S:$S,"&lt;"&amp;DATE(2026,7,1))</f>
        <v>0</v>
      </c>
      <c r="J88" s="206">
        <f>COUNTIFS('2_Data_Pelanggan'!$H:$H,$F88,'2_Data_Pelanggan'!$I:$I,$G88,'2_Data_Pelanggan'!$J:$J,$H88,'2_Data_Pelanggan'!$S:$S,"&gt;="&amp;DATE(2026,7,1),'2_Data_Pelanggan'!$S:$S,"&lt;"&amp;DATE(2026,8,1))</f>
        <v>2</v>
      </c>
      <c r="K88" s="206">
        <f>COUNTIFS('2_Data_Pelanggan'!$H:$H,$F88,'2_Data_Pelanggan'!$I:$I,$G88,'2_Data_Pelanggan'!$J:$J,$H88,'2_Data_Pelanggan'!$S:$S,"&gt;="&amp;DATE(2026,8,1),'2_Data_Pelanggan'!$S:$S,"&lt;"&amp;DATE(2026,9,1))</f>
        <v>0</v>
      </c>
      <c r="L88" s="210">
        <f>COUNTIFS('2_Data_Pelanggan'!$H:$H,$F88,'2_Data_Pelanggan'!$I:$I,$G88,'2_Data_Pelanggan'!$J:$J,$H88,'2_Data_Pelanggan'!$S:$S,"&gt;="&amp;DATE(2026,9,1),'2_Data_Pelanggan'!$S:$S,"&lt;"&amp;DATE(2026,10,1))</f>
        <v>0</v>
      </c>
      <c r="M88" s="210">
        <f>COUNTIFS('2_Data_Pelanggan'!$H:$H,$F88,'2_Data_Pelanggan'!$I:$I,$G88,'2_Data_Pelanggan'!$J:$J,$H88,'2_Data_Pelanggan'!$S:$S,"&gt;="&amp;DATE(2026,10,1),'2_Data_Pelanggan'!$S:$S,"&lt;"&amp;DATE(2026,11,1))</f>
        <v>0</v>
      </c>
      <c r="N88" s="210">
        <f>COUNTIFS('2_Data_Pelanggan'!$H:$H,$F88,'2_Data_Pelanggan'!$I:$I,$G88,'2_Data_Pelanggan'!$J:$J,$H88,'2_Data_Pelanggan'!$S:$S,"&gt;="&amp;DATE(2026,11,1),'2_Data_Pelanggan'!$S:$S,"&lt;"&amp;DATE(2026,12,1))</f>
        <v>0</v>
      </c>
      <c r="O88" s="210">
        <f>COUNTIFS('2_Data_Pelanggan'!$H:$H,$F88,'2_Data_Pelanggan'!$I:$I,$G88,'2_Data_Pelanggan'!$J:$J,$H88,'2_Data_Pelanggan'!$S:$S,"&gt;="&amp;DATE(2026,12,1),'2_Data_Pelanggan'!$S:$S,"&lt;"&amp;DATE(2026,1,1))</f>
        <v>0</v>
      </c>
      <c r="P88" s="210">
        <f t="shared" si="1"/>
        <v>0</v>
      </c>
      <c r="Q88" s="210">
        <f t="shared" ref="Q88:V88" si="89">3000*J88</f>
        <v>6000</v>
      </c>
      <c r="R88" s="210">
        <f t="shared" si="89"/>
        <v>0</v>
      </c>
      <c r="S88" s="210">
        <f t="shared" si="89"/>
        <v>0</v>
      </c>
      <c r="T88" s="210">
        <f t="shared" si="89"/>
        <v>0</v>
      </c>
      <c r="U88" s="210">
        <f t="shared" si="89"/>
        <v>0</v>
      </c>
      <c r="V88" s="210">
        <f t="shared" si="89"/>
        <v>0</v>
      </c>
      <c r="W88" s="210">
        <f t="shared" si="3"/>
        <v>6000</v>
      </c>
      <c r="X88" s="204">
        <f t="shared" si="4"/>
        <v>2000</v>
      </c>
      <c r="Y88" s="205">
        <f t="shared" si="5"/>
        <v>4000</v>
      </c>
      <c r="Z88" s="86" t="s">
        <v>1790</v>
      </c>
      <c r="AA88" s="110"/>
      <c r="AB88" s="47"/>
      <c r="AC88" s="47"/>
      <c r="AD88" s="47"/>
      <c r="AE88" s="47"/>
      <c r="AF88" s="47"/>
    </row>
    <row r="89" ht="15.0" customHeight="1">
      <c r="A89" s="206">
        <v>87.0</v>
      </c>
      <c r="B89" s="207"/>
      <c r="C89" s="208" t="s">
        <v>1788</v>
      </c>
      <c r="D89" s="208" t="s">
        <v>1791</v>
      </c>
      <c r="E89" s="208" t="s">
        <v>1792</v>
      </c>
      <c r="F89" s="209" t="s">
        <v>327</v>
      </c>
      <c r="G89" s="206">
        <v>11.0</v>
      </c>
      <c r="H89" s="206">
        <v>6.0</v>
      </c>
      <c r="I89" s="206">
        <f>COUNTIFS('2_Data_Pelanggan'!$H:$H,$F89,'2_Data_Pelanggan'!$I:$I,$G89,'2_Data_Pelanggan'!$J:$J,$H89,'2_Data_Pelanggan'!$S:$S,"&gt;="&amp;DATE(2026,6,1),'2_Data_Pelanggan'!$S:$S,"&lt;"&amp;DATE(2026,7,1))</f>
        <v>0</v>
      </c>
      <c r="J89" s="206">
        <f>COUNTIFS('2_Data_Pelanggan'!$H:$H,$F89,'2_Data_Pelanggan'!$I:$I,$G89,'2_Data_Pelanggan'!$J:$J,$H89,'2_Data_Pelanggan'!$S:$S,"&gt;="&amp;DATE(2026,7,1),'2_Data_Pelanggan'!$S:$S,"&lt;"&amp;DATE(2026,8,1))</f>
        <v>0</v>
      </c>
      <c r="K89" s="206">
        <f>COUNTIFS('2_Data_Pelanggan'!$H:$H,$F89,'2_Data_Pelanggan'!$I:$I,$G89,'2_Data_Pelanggan'!$J:$J,$H89,'2_Data_Pelanggan'!$S:$S,"&gt;="&amp;DATE(2026,8,1),'2_Data_Pelanggan'!$S:$S,"&lt;"&amp;DATE(2026,9,1))</f>
        <v>0</v>
      </c>
      <c r="L89" s="210">
        <f>COUNTIFS('2_Data_Pelanggan'!$H:$H,$F89,'2_Data_Pelanggan'!$I:$I,$G89,'2_Data_Pelanggan'!$J:$J,$H89,'2_Data_Pelanggan'!$S:$S,"&gt;="&amp;DATE(2026,9,1),'2_Data_Pelanggan'!$S:$S,"&lt;"&amp;DATE(2026,10,1))</f>
        <v>0</v>
      </c>
      <c r="M89" s="210">
        <f>COUNTIFS('2_Data_Pelanggan'!$H:$H,$F89,'2_Data_Pelanggan'!$I:$I,$G89,'2_Data_Pelanggan'!$J:$J,$H89,'2_Data_Pelanggan'!$S:$S,"&gt;="&amp;DATE(2026,10,1),'2_Data_Pelanggan'!$S:$S,"&lt;"&amp;DATE(2026,11,1))</f>
        <v>0</v>
      </c>
      <c r="N89" s="210">
        <f>COUNTIFS('2_Data_Pelanggan'!$H:$H,$F89,'2_Data_Pelanggan'!$I:$I,$G89,'2_Data_Pelanggan'!$J:$J,$H89,'2_Data_Pelanggan'!$S:$S,"&gt;="&amp;DATE(2026,11,1),'2_Data_Pelanggan'!$S:$S,"&lt;"&amp;DATE(2026,12,1))</f>
        <v>0</v>
      </c>
      <c r="O89" s="210">
        <f>COUNTIFS('2_Data_Pelanggan'!$H:$H,$F89,'2_Data_Pelanggan'!$I:$I,$G89,'2_Data_Pelanggan'!$J:$J,$H89,'2_Data_Pelanggan'!$S:$S,"&gt;="&amp;DATE(2026,12,1),'2_Data_Pelanggan'!$S:$S,"&lt;"&amp;DATE(2026,1,1))</f>
        <v>0</v>
      </c>
      <c r="P89" s="210">
        <f t="shared" si="1"/>
        <v>0</v>
      </c>
      <c r="Q89" s="210">
        <f t="shared" ref="Q89:V89" si="90">3000*J89</f>
        <v>0</v>
      </c>
      <c r="R89" s="210">
        <f t="shared" si="90"/>
        <v>0</v>
      </c>
      <c r="S89" s="210">
        <f t="shared" si="90"/>
        <v>0</v>
      </c>
      <c r="T89" s="210">
        <f t="shared" si="90"/>
        <v>0</v>
      </c>
      <c r="U89" s="210">
        <f t="shared" si="90"/>
        <v>0</v>
      </c>
      <c r="V89" s="210">
        <f t="shared" si="90"/>
        <v>0</v>
      </c>
      <c r="W89" s="210">
        <f t="shared" si="3"/>
        <v>0</v>
      </c>
      <c r="X89" s="204">
        <f t="shared" si="4"/>
        <v>0</v>
      </c>
      <c r="Y89" s="205">
        <f t="shared" si="5"/>
        <v>0</v>
      </c>
      <c r="Z89" s="86" t="s">
        <v>1790</v>
      </c>
      <c r="AA89" s="110"/>
      <c r="AB89" s="47"/>
      <c r="AC89" s="47"/>
      <c r="AD89" s="47"/>
      <c r="AE89" s="47"/>
      <c r="AF89" s="47"/>
    </row>
    <row r="90" ht="15.0" customHeight="1">
      <c r="A90" s="206">
        <v>88.0</v>
      </c>
      <c r="B90" s="207"/>
      <c r="C90" s="208" t="s">
        <v>1788</v>
      </c>
      <c r="D90" s="208" t="s">
        <v>1791</v>
      </c>
      <c r="E90" s="208" t="s">
        <v>1792</v>
      </c>
      <c r="F90" s="209" t="s">
        <v>327</v>
      </c>
      <c r="G90" s="206">
        <v>11.0</v>
      </c>
      <c r="H90" s="206">
        <v>7.0</v>
      </c>
      <c r="I90" s="206">
        <f>COUNTIFS('2_Data_Pelanggan'!$H:$H,$F90,'2_Data_Pelanggan'!$I:$I,$G90,'2_Data_Pelanggan'!$J:$J,$H90,'2_Data_Pelanggan'!$S:$S,"&gt;="&amp;DATE(2026,6,1),'2_Data_Pelanggan'!$S:$S,"&lt;"&amp;DATE(2026,7,1))</f>
        <v>0</v>
      </c>
      <c r="J90" s="206">
        <f>COUNTIFS('2_Data_Pelanggan'!$H:$H,$F90,'2_Data_Pelanggan'!$I:$I,$G90,'2_Data_Pelanggan'!$J:$J,$H90,'2_Data_Pelanggan'!$S:$S,"&gt;="&amp;DATE(2026,7,1),'2_Data_Pelanggan'!$S:$S,"&lt;"&amp;DATE(2026,8,1))</f>
        <v>0</v>
      </c>
      <c r="K90" s="206">
        <f>COUNTIFS('2_Data_Pelanggan'!$H:$H,$F90,'2_Data_Pelanggan'!$I:$I,$G90,'2_Data_Pelanggan'!$J:$J,$H90,'2_Data_Pelanggan'!$S:$S,"&gt;="&amp;DATE(2026,8,1),'2_Data_Pelanggan'!$S:$S,"&lt;"&amp;DATE(2026,9,1))</f>
        <v>0</v>
      </c>
      <c r="L90" s="210">
        <f>COUNTIFS('2_Data_Pelanggan'!$H:$H,$F90,'2_Data_Pelanggan'!$I:$I,$G90,'2_Data_Pelanggan'!$J:$J,$H90,'2_Data_Pelanggan'!$S:$S,"&gt;="&amp;DATE(2026,9,1),'2_Data_Pelanggan'!$S:$S,"&lt;"&amp;DATE(2026,10,1))</f>
        <v>0</v>
      </c>
      <c r="M90" s="210">
        <f>COUNTIFS('2_Data_Pelanggan'!$H:$H,$F90,'2_Data_Pelanggan'!$I:$I,$G90,'2_Data_Pelanggan'!$J:$J,$H90,'2_Data_Pelanggan'!$S:$S,"&gt;="&amp;DATE(2026,10,1),'2_Data_Pelanggan'!$S:$S,"&lt;"&amp;DATE(2026,11,1))</f>
        <v>0</v>
      </c>
      <c r="N90" s="210">
        <f>COUNTIFS('2_Data_Pelanggan'!$H:$H,$F90,'2_Data_Pelanggan'!$I:$I,$G90,'2_Data_Pelanggan'!$J:$J,$H90,'2_Data_Pelanggan'!$S:$S,"&gt;="&amp;DATE(2026,11,1),'2_Data_Pelanggan'!$S:$S,"&lt;"&amp;DATE(2026,12,1))</f>
        <v>0</v>
      </c>
      <c r="O90" s="210">
        <f>COUNTIFS('2_Data_Pelanggan'!$H:$H,$F90,'2_Data_Pelanggan'!$I:$I,$G90,'2_Data_Pelanggan'!$J:$J,$H90,'2_Data_Pelanggan'!$S:$S,"&gt;="&amp;DATE(2026,12,1),'2_Data_Pelanggan'!$S:$S,"&lt;"&amp;DATE(2026,1,1))</f>
        <v>0</v>
      </c>
      <c r="P90" s="210">
        <f t="shared" si="1"/>
        <v>0</v>
      </c>
      <c r="Q90" s="210">
        <f t="shared" ref="Q90:V90" si="91">3000*J90</f>
        <v>0</v>
      </c>
      <c r="R90" s="210">
        <f t="shared" si="91"/>
        <v>0</v>
      </c>
      <c r="S90" s="210">
        <f t="shared" si="91"/>
        <v>0</v>
      </c>
      <c r="T90" s="210">
        <f t="shared" si="91"/>
        <v>0</v>
      </c>
      <c r="U90" s="210">
        <f t="shared" si="91"/>
        <v>0</v>
      </c>
      <c r="V90" s="210">
        <f t="shared" si="91"/>
        <v>0</v>
      </c>
      <c r="W90" s="210">
        <f t="shared" si="3"/>
        <v>0</v>
      </c>
      <c r="X90" s="204">
        <f t="shared" si="4"/>
        <v>0</v>
      </c>
      <c r="Y90" s="205">
        <f t="shared" si="5"/>
        <v>0</v>
      </c>
      <c r="Z90" s="86" t="s">
        <v>1790</v>
      </c>
      <c r="AA90" s="110"/>
      <c r="AB90" s="47"/>
      <c r="AC90" s="47"/>
      <c r="AD90" s="47"/>
      <c r="AE90" s="47"/>
      <c r="AF90" s="47"/>
    </row>
    <row r="91" ht="15.0" customHeight="1">
      <c r="A91" s="206">
        <v>89.0</v>
      </c>
      <c r="B91" s="207"/>
      <c r="C91" s="208" t="s">
        <v>1788</v>
      </c>
      <c r="D91" s="208" t="s">
        <v>1791</v>
      </c>
      <c r="E91" s="208" t="s">
        <v>1792</v>
      </c>
      <c r="F91" s="209" t="s">
        <v>327</v>
      </c>
      <c r="G91" s="206">
        <v>11.0</v>
      </c>
      <c r="H91" s="206">
        <v>8.0</v>
      </c>
      <c r="I91" s="206">
        <f>COUNTIFS('2_Data_Pelanggan'!$H:$H,$F91,'2_Data_Pelanggan'!$I:$I,$G91,'2_Data_Pelanggan'!$J:$J,$H91,'2_Data_Pelanggan'!$S:$S,"&gt;="&amp;DATE(2026,6,1),'2_Data_Pelanggan'!$S:$S,"&lt;"&amp;DATE(2026,7,1))</f>
        <v>0</v>
      </c>
      <c r="J91" s="206">
        <f>COUNTIFS('2_Data_Pelanggan'!$H:$H,$F91,'2_Data_Pelanggan'!$I:$I,$G91,'2_Data_Pelanggan'!$J:$J,$H91,'2_Data_Pelanggan'!$S:$S,"&gt;="&amp;DATE(2026,7,1),'2_Data_Pelanggan'!$S:$S,"&lt;"&amp;DATE(2026,8,1))</f>
        <v>0</v>
      </c>
      <c r="K91" s="206">
        <f>COUNTIFS('2_Data_Pelanggan'!$H:$H,$F91,'2_Data_Pelanggan'!$I:$I,$G91,'2_Data_Pelanggan'!$J:$J,$H91,'2_Data_Pelanggan'!$S:$S,"&gt;="&amp;DATE(2026,8,1),'2_Data_Pelanggan'!$S:$S,"&lt;"&amp;DATE(2026,9,1))</f>
        <v>0</v>
      </c>
      <c r="L91" s="210">
        <f>COUNTIFS('2_Data_Pelanggan'!$H:$H,$F91,'2_Data_Pelanggan'!$I:$I,$G91,'2_Data_Pelanggan'!$J:$J,$H91,'2_Data_Pelanggan'!$S:$S,"&gt;="&amp;DATE(2026,9,1),'2_Data_Pelanggan'!$S:$S,"&lt;"&amp;DATE(2026,10,1))</f>
        <v>0</v>
      </c>
      <c r="M91" s="210">
        <f>COUNTIFS('2_Data_Pelanggan'!$H:$H,$F91,'2_Data_Pelanggan'!$I:$I,$G91,'2_Data_Pelanggan'!$J:$J,$H91,'2_Data_Pelanggan'!$S:$S,"&gt;="&amp;DATE(2026,10,1),'2_Data_Pelanggan'!$S:$S,"&lt;"&amp;DATE(2026,11,1))</f>
        <v>0</v>
      </c>
      <c r="N91" s="210">
        <f>COUNTIFS('2_Data_Pelanggan'!$H:$H,$F91,'2_Data_Pelanggan'!$I:$I,$G91,'2_Data_Pelanggan'!$J:$J,$H91,'2_Data_Pelanggan'!$S:$S,"&gt;="&amp;DATE(2026,11,1),'2_Data_Pelanggan'!$S:$S,"&lt;"&amp;DATE(2026,12,1))</f>
        <v>0</v>
      </c>
      <c r="O91" s="210">
        <f>COUNTIFS('2_Data_Pelanggan'!$H:$H,$F91,'2_Data_Pelanggan'!$I:$I,$G91,'2_Data_Pelanggan'!$J:$J,$H91,'2_Data_Pelanggan'!$S:$S,"&gt;="&amp;DATE(2026,12,1),'2_Data_Pelanggan'!$S:$S,"&lt;"&amp;DATE(2026,1,1))</f>
        <v>0</v>
      </c>
      <c r="P91" s="210">
        <f t="shared" si="1"/>
        <v>0</v>
      </c>
      <c r="Q91" s="210">
        <f t="shared" ref="Q91:V91" si="92">3000*J91</f>
        <v>0</v>
      </c>
      <c r="R91" s="210">
        <f t="shared" si="92"/>
        <v>0</v>
      </c>
      <c r="S91" s="210">
        <f t="shared" si="92"/>
        <v>0</v>
      </c>
      <c r="T91" s="210">
        <f t="shared" si="92"/>
        <v>0</v>
      </c>
      <c r="U91" s="210">
        <f t="shared" si="92"/>
        <v>0</v>
      </c>
      <c r="V91" s="210">
        <f t="shared" si="92"/>
        <v>0</v>
      </c>
      <c r="W91" s="210">
        <f t="shared" si="3"/>
        <v>0</v>
      </c>
      <c r="X91" s="204">
        <f t="shared" si="4"/>
        <v>0</v>
      </c>
      <c r="Y91" s="205">
        <f t="shared" si="5"/>
        <v>0</v>
      </c>
      <c r="Z91" s="86" t="s">
        <v>1790</v>
      </c>
      <c r="AA91" s="110"/>
      <c r="AB91" s="47"/>
      <c r="AC91" s="47"/>
      <c r="AD91" s="47"/>
      <c r="AE91" s="47"/>
      <c r="AF91" s="47"/>
    </row>
    <row r="92" ht="15.0" customHeight="1">
      <c r="A92" s="211">
        <v>92.0</v>
      </c>
      <c r="B92" s="212"/>
      <c r="C92" s="213" t="s">
        <v>1788</v>
      </c>
      <c r="D92" s="213" t="s">
        <v>1791</v>
      </c>
      <c r="E92" s="213" t="s">
        <v>1792</v>
      </c>
      <c r="F92" s="214" t="s">
        <v>211</v>
      </c>
      <c r="G92" s="211">
        <v>2.0</v>
      </c>
      <c r="H92" s="211">
        <v>4.0</v>
      </c>
      <c r="I92" s="211">
        <f>COUNTIFS('2_Data_Pelanggan'!$H:$H,$F92,'2_Data_Pelanggan'!$I:$I,$G92,'2_Data_Pelanggan'!$J:$J,$H92,'2_Data_Pelanggan'!$S:$S,"&gt;="&amp;DATE(2026,6,1),'2_Data_Pelanggan'!$S:$S,"&lt;"&amp;DATE(2026,7,1))</f>
        <v>0</v>
      </c>
      <c r="J92" s="211">
        <f>COUNTIFS('2_Data_Pelanggan'!$H:$H,$F92,'2_Data_Pelanggan'!$I:$I,$G92,'2_Data_Pelanggan'!$J:$J,$H92,'2_Data_Pelanggan'!$S:$S,"&gt;="&amp;DATE(2026,7,1),'2_Data_Pelanggan'!$S:$S,"&lt;"&amp;DATE(2026,8,1))</f>
        <v>0</v>
      </c>
      <c r="K92" s="211">
        <f>COUNTIFS('2_Data_Pelanggan'!$H:$H,$F92,'2_Data_Pelanggan'!$I:$I,$G92,'2_Data_Pelanggan'!$J:$J,$H92,'2_Data_Pelanggan'!$S:$S,"&gt;="&amp;DATE(2026,8,1),'2_Data_Pelanggan'!$S:$S,"&lt;"&amp;DATE(2026,9,1))</f>
        <v>0</v>
      </c>
      <c r="L92" s="215">
        <f>COUNTIFS('2_Data_Pelanggan'!$H:$H,$F92,'2_Data_Pelanggan'!$I:$I,$G92,'2_Data_Pelanggan'!$J:$J,$H92,'2_Data_Pelanggan'!$S:$S,"&gt;="&amp;DATE(2026,9,1),'2_Data_Pelanggan'!$S:$S,"&lt;"&amp;DATE(2026,10,1))</f>
        <v>0</v>
      </c>
      <c r="M92" s="215">
        <f>COUNTIFS('2_Data_Pelanggan'!$H:$H,$F92,'2_Data_Pelanggan'!$I:$I,$G92,'2_Data_Pelanggan'!$J:$J,$H92,'2_Data_Pelanggan'!$S:$S,"&gt;="&amp;DATE(2026,10,1),'2_Data_Pelanggan'!$S:$S,"&lt;"&amp;DATE(2026,11,1))</f>
        <v>0</v>
      </c>
      <c r="N92" s="215">
        <f>COUNTIFS('2_Data_Pelanggan'!$H:$H,$F92,'2_Data_Pelanggan'!$I:$I,$G92,'2_Data_Pelanggan'!$J:$J,$H92,'2_Data_Pelanggan'!$S:$S,"&gt;="&amp;DATE(2026,11,1),'2_Data_Pelanggan'!$S:$S,"&lt;"&amp;DATE(2026,12,1))</f>
        <v>0</v>
      </c>
      <c r="O92" s="215">
        <f>COUNTIFS('2_Data_Pelanggan'!$H:$H,$F92,'2_Data_Pelanggan'!$I:$I,$G92,'2_Data_Pelanggan'!$J:$J,$H92,'2_Data_Pelanggan'!$S:$S,"&gt;="&amp;DATE(2026,12,1),'2_Data_Pelanggan'!$S:$S,"&lt;"&amp;DATE(2026,1,1))</f>
        <v>0</v>
      </c>
      <c r="P92" s="215">
        <f t="shared" si="1"/>
        <v>0</v>
      </c>
      <c r="Q92" s="215">
        <f t="shared" ref="Q92:V92" si="93">3000*J92</f>
        <v>0</v>
      </c>
      <c r="R92" s="215">
        <f t="shared" si="93"/>
        <v>0</v>
      </c>
      <c r="S92" s="215">
        <f t="shared" si="93"/>
        <v>0</v>
      </c>
      <c r="T92" s="215">
        <f t="shared" si="93"/>
        <v>0</v>
      </c>
      <c r="U92" s="215">
        <f t="shared" si="93"/>
        <v>0</v>
      </c>
      <c r="V92" s="215">
        <f t="shared" si="93"/>
        <v>0</v>
      </c>
      <c r="W92" s="215">
        <f t="shared" si="3"/>
        <v>0</v>
      </c>
      <c r="X92" s="204">
        <f t="shared" si="4"/>
        <v>0</v>
      </c>
      <c r="Y92" s="205">
        <f t="shared" si="5"/>
        <v>0</v>
      </c>
      <c r="Z92" s="86" t="s">
        <v>1790</v>
      </c>
      <c r="AA92" s="110"/>
      <c r="AB92" s="47"/>
      <c r="AC92" s="47"/>
      <c r="AD92" s="47"/>
      <c r="AE92" s="47"/>
      <c r="AF92" s="47"/>
    </row>
    <row r="93" ht="15.0" customHeight="1">
      <c r="A93" s="211">
        <v>93.0</v>
      </c>
      <c r="B93" s="212"/>
      <c r="C93" s="213" t="s">
        <v>1788</v>
      </c>
      <c r="D93" s="213" t="s">
        <v>1791</v>
      </c>
      <c r="E93" s="213" t="s">
        <v>1792</v>
      </c>
      <c r="F93" s="214" t="s">
        <v>211</v>
      </c>
      <c r="G93" s="211">
        <v>3.0</v>
      </c>
      <c r="H93" s="211">
        <v>1.0</v>
      </c>
      <c r="I93" s="211">
        <f>COUNTIFS('2_Data_Pelanggan'!$H:$H,$F93,'2_Data_Pelanggan'!$I:$I,$G93,'2_Data_Pelanggan'!$J:$J,$H93,'2_Data_Pelanggan'!$S:$S,"&gt;="&amp;DATE(2026,6,1),'2_Data_Pelanggan'!$S:$S,"&lt;"&amp;DATE(2026,7,1))</f>
        <v>1</v>
      </c>
      <c r="J93" s="211">
        <f>COUNTIFS('2_Data_Pelanggan'!$H:$H,$F93,'2_Data_Pelanggan'!$I:$I,$G93,'2_Data_Pelanggan'!$J:$J,$H93,'2_Data_Pelanggan'!$S:$S,"&gt;="&amp;DATE(2026,7,1),'2_Data_Pelanggan'!$S:$S,"&lt;"&amp;DATE(2026,8,1))</f>
        <v>0</v>
      </c>
      <c r="K93" s="211">
        <f>COUNTIFS('2_Data_Pelanggan'!$H:$H,$F93,'2_Data_Pelanggan'!$I:$I,$G93,'2_Data_Pelanggan'!$J:$J,$H93,'2_Data_Pelanggan'!$S:$S,"&gt;="&amp;DATE(2026,8,1),'2_Data_Pelanggan'!$S:$S,"&lt;"&amp;DATE(2026,9,1))</f>
        <v>0</v>
      </c>
      <c r="L93" s="215">
        <f>COUNTIFS('2_Data_Pelanggan'!$H:$H,$F93,'2_Data_Pelanggan'!$I:$I,$G93,'2_Data_Pelanggan'!$J:$J,$H93,'2_Data_Pelanggan'!$S:$S,"&gt;="&amp;DATE(2026,9,1),'2_Data_Pelanggan'!$S:$S,"&lt;"&amp;DATE(2026,10,1))</f>
        <v>0</v>
      </c>
      <c r="M93" s="215">
        <f>COUNTIFS('2_Data_Pelanggan'!$H:$H,$F93,'2_Data_Pelanggan'!$I:$I,$G93,'2_Data_Pelanggan'!$J:$J,$H93,'2_Data_Pelanggan'!$S:$S,"&gt;="&amp;DATE(2026,10,1),'2_Data_Pelanggan'!$S:$S,"&lt;"&amp;DATE(2026,11,1))</f>
        <v>0</v>
      </c>
      <c r="N93" s="215">
        <f>COUNTIFS('2_Data_Pelanggan'!$H:$H,$F93,'2_Data_Pelanggan'!$I:$I,$G93,'2_Data_Pelanggan'!$J:$J,$H93,'2_Data_Pelanggan'!$S:$S,"&gt;="&amp;DATE(2026,11,1),'2_Data_Pelanggan'!$S:$S,"&lt;"&amp;DATE(2026,12,1))</f>
        <v>0</v>
      </c>
      <c r="O93" s="215">
        <f>COUNTIFS('2_Data_Pelanggan'!$H:$H,$F93,'2_Data_Pelanggan'!$I:$I,$G93,'2_Data_Pelanggan'!$J:$J,$H93,'2_Data_Pelanggan'!$S:$S,"&gt;="&amp;DATE(2026,12,1),'2_Data_Pelanggan'!$S:$S,"&lt;"&amp;DATE(2026,1,1))</f>
        <v>0</v>
      </c>
      <c r="P93" s="215">
        <f t="shared" si="1"/>
        <v>3000</v>
      </c>
      <c r="Q93" s="215">
        <f t="shared" ref="Q93:V93" si="94">3000*J93</f>
        <v>0</v>
      </c>
      <c r="R93" s="215">
        <f t="shared" si="94"/>
        <v>0</v>
      </c>
      <c r="S93" s="215">
        <f t="shared" si="94"/>
        <v>0</v>
      </c>
      <c r="T93" s="215">
        <f t="shared" si="94"/>
        <v>0</v>
      </c>
      <c r="U93" s="215">
        <f t="shared" si="94"/>
        <v>0</v>
      </c>
      <c r="V93" s="215">
        <f t="shared" si="94"/>
        <v>0</v>
      </c>
      <c r="W93" s="215">
        <f t="shared" si="3"/>
        <v>3000</v>
      </c>
      <c r="X93" s="204">
        <f t="shared" si="4"/>
        <v>1000</v>
      </c>
      <c r="Y93" s="205">
        <f t="shared" si="5"/>
        <v>2000</v>
      </c>
      <c r="Z93" s="86" t="s">
        <v>1790</v>
      </c>
      <c r="AA93" s="110"/>
      <c r="AB93" s="47"/>
      <c r="AC93" s="47"/>
      <c r="AD93" s="47"/>
      <c r="AE93" s="47"/>
      <c r="AF93" s="47"/>
    </row>
    <row r="94" ht="15.0" customHeight="1">
      <c r="A94" s="211">
        <v>94.0</v>
      </c>
      <c r="B94" s="212"/>
      <c r="C94" s="213" t="s">
        <v>1788</v>
      </c>
      <c r="D94" s="213" t="s">
        <v>1791</v>
      </c>
      <c r="E94" s="213" t="s">
        <v>1792</v>
      </c>
      <c r="F94" s="214" t="s">
        <v>211</v>
      </c>
      <c r="G94" s="211">
        <v>3.0</v>
      </c>
      <c r="H94" s="211">
        <v>2.0</v>
      </c>
      <c r="I94" s="211">
        <f>COUNTIFS('2_Data_Pelanggan'!$H:$H,$F94,'2_Data_Pelanggan'!$I:$I,$G94,'2_Data_Pelanggan'!$J:$J,$H94,'2_Data_Pelanggan'!$S:$S,"&gt;="&amp;DATE(2026,6,1),'2_Data_Pelanggan'!$S:$S,"&lt;"&amp;DATE(2026,7,1))</f>
        <v>0</v>
      </c>
      <c r="J94" s="211">
        <f>COUNTIFS('2_Data_Pelanggan'!$H:$H,$F94,'2_Data_Pelanggan'!$I:$I,$G94,'2_Data_Pelanggan'!$J:$J,$H94,'2_Data_Pelanggan'!$S:$S,"&gt;="&amp;DATE(2026,7,1),'2_Data_Pelanggan'!$S:$S,"&lt;"&amp;DATE(2026,8,1))</f>
        <v>0</v>
      </c>
      <c r="K94" s="211">
        <f>COUNTIFS('2_Data_Pelanggan'!$H:$H,$F94,'2_Data_Pelanggan'!$I:$I,$G94,'2_Data_Pelanggan'!$J:$J,$H94,'2_Data_Pelanggan'!$S:$S,"&gt;="&amp;DATE(2026,8,1),'2_Data_Pelanggan'!$S:$S,"&lt;"&amp;DATE(2026,9,1))</f>
        <v>0</v>
      </c>
      <c r="L94" s="215">
        <f>COUNTIFS('2_Data_Pelanggan'!$H:$H,$F94,'2_Data_Pelanggan'!$I:$I,$G94,'2_Data_Pelanggan'!$J:$J,$H94,'2_Data_Pelanggan'!$S:$S,"&gt;="&amp;DATE(2026,9,1),'2_Data_Pelanggan'!$S:$S,"&lt;"&amp;DATE(2026,10,1))</f>
        <v>0</v>
      </c>
      <c r="M94" s="215">
        <f>COUNTIFS('2_Data_Pelanggan'!$H:$H,$F94,'2_Data_Pelanggan'!$I:$I,$G94,'2_Data_Pelanggan'!$J:$J,$H94,'2_Data_Pelanggan'!$S:$S,"&gt;="&amp;DATE(2026,10,1),'2_Data_Pelanggan'!$S:$S,"&lt;"&amp;DATE(2026,11,1))</f>
        <v>0</v>
      </c>
      <c r="N94" s="215">
        <f>COUNTIFS('2_Data_Pelanggan'!$H:$H,$F94,'2_Data_Pelanggan'!$I:$I,$G94,'2_Data_Pelanggan'!$J:$J,$H94,'2_Data_Pelanggan'!$S:$S,"&gt;="&amp;DATE(2026,11,1),'2_Data_Pelanggan'!$S:$S,"&lt;"&amp;DATE(2026,12,1))</f>
        <v>0</v>
      </c>
      <c r="O94" s="215">
        <f>COUNTIFS('2_Data_Pelanggan'!$H:$H,$F94,'2_Data_Pelanggan'!$I:$I,$G94,'2_Data_Pelanggan'!$J:$J,$H94,'2_Data_Pelanggan'!$S:$S,"&gt;="&amp;DATE(2026,12,1),'2_Data_Pelanggan'!$S:$S,"&lt;"&amp;DATE(2026,1,1))</f>
        <v>0</v>
      </c>
      <c r="P94" s="215">
        <f t="shared" si="1"/>
        <v>0</v>
      </c>
      <c r="Q94" s="215">
        <f t="shared" ref="Q94:V94" si="95">3000*J94</f>
        <v>0</v>
      </c>
      <c r="R94" s="215">
        <f t="shared" si="95"/>
        <v>0</v>
      </c>
      <c r="S94" s="215">
        <f t="shared" si="95"/>
        <v>0</v>
      </c>
      <c r="T94" s="215">
        <f t="shared" si="95"/>
        <v>0</v>
      </c>
      <c r="U94" s="215">
        <f t="shared" si="95"/>
        <v>0</v>
      </c>
      <c r="V94" s="215">
        <f t="shared" si="95"/>
        <v>0</v>
      </c>
      <c r="W94" s="215">
        <f t="shared" si="3"/>
        <v>0</v>
      </c>
      <c r="X94" s="204">
        <f t="shared" si="4"/>
        <v>0</v>
      </c>
      <c r="Y94" s="205">
        <f t="shared" si="5"/>
        <v>0</v>
      </c>
      <c r="Z94" s="86" t="s">
        <v>1790</v>
      </c>
      <c r="AA94" s="110"/>
      <c r="AB94" s="47"/>
      <c r="AC94" s="47"/>
      <c r="AD94" s="47"/>
      <c r="AE94" s="47"/>
      <c r="AF94" s="47"/>
    </row>
    <row r="95" ht="15.0" customHeight="1">
      <c r="A95" s="211">
        <v>95.0</v>
      </c>
      <c r="B95" s="212"/>
      <c r="C95" s="213" t="s">
        <v>1788</v>
      </c>
      <c r="D95" s="213" t="s">
        <v>1791</v>
      </c>
      <c r="E95" s="213" t="s">
        <v>1792</v>
      </c>
      <c r="F95" s="214" t="s">
        <v>211</v>
      </c>
      <c r="G95" s="211">
        <v>3.0</v>
      </c>
      <c r="H95" s="211">
        <v>3.0</v>
      </c>
      <c r="I95" s="211">
        <f>COUNTIFS('2_Data_Pelanggan'!$H:$H,$F95,'2_Data_Pelanggan'!$I:$I,$G95,'2_Data_Pelanggan'!$J:$J,$H95,'2_Data_Pelanggan'!$S:$S,"&gt;="&amp;DATE(2026,6,1),'2_Data_Pelanggan'!$S:$S,"&lt;"&amp;DATE(2026,7,1))</f>
        <v>0</v>
      </c>
      <c r="J95" s="211">
        <f>COUNTIFS('2_Data_Pelanggan'!$H:$H,$F95,'2_Data_Pelanggan'!$I:$I,$G95,'2_Data_Pelanggan'!$J:$J,$H95,'2_Data_Pelanggan'!$S:$S,"&gt;="&amp;DATE(2026,7,1),'2_Data_Pelanggan'!$S:$S,"&lt;"&amp;DATE(2026,8,1))</f>
        <v>1</v>
      </c>
      <c r="K95" s="211">
        <f>COUNTIFS('2_Data_Pelanggan'!$H:$H,$F95,'2_Data_Pelanggan'!$I:$I,$G95,'2_Data_Pelanggan'!$J:$J,$H95,'2_Data_Pelanggan'!$S:$S,"&gt;="&amp;DATE(2026,8,1),'2_Data_Pelanggan'!$S:$S,"&lt;"&amp;DATE(2026,9,1))</f>
        <v>0</v>
      </c>
      <c r="L95" s="215">
        <f>COUNTIFS('2_Data_Pelanggan'!$H:$H,$F95,'2_Data_Pelanggan'!$I:$I,$G95,'2_Data_Pelanggan'!$J:$J,$H95,'2_Data_Pelanggan'!$S:$S,"&gt;="&amp;DATE(2026,9,1),'2_Data_Pelanggan'!$S:$S,"&lt;"&amp;DATE(2026,10,1))</f>
        <v>0</v>
      </c>
      <c r="M95" s="215">
        <f>COUNTIFS('2_Data_Pelanggan'!$H:$H,$F95,'2_Data_Pelanggan'!$I:$I,$G95,'2_Data_Pelanggan'!$J:$J,$H95,'2_Data_Pelanggan'!$S:$S,"&gt;="&amp;DATE(2026,10,1),'2_Data_Pelanggan'!$S:$S,"&lt;"&amp;DATE(2026,11,1))</f>
        <v>0</v>
      </c>
      <c r="N95" s="215">
        <f>COUNTIFS('2_Data_Pelanggan'!$H:$H,$F95,'2_Data_Pelanggan'!$I:$I,$G95,'2_Data_Pelanggan'!$J:$J,$H95,'2_Data_Pelanggan'!$S:$S,"&gt;="&amp;DATE(2026,11,1),'2_Data_Pelanggan'!$S:$S,"&lt;"&amp;DATE(2026,12,1))</f>
        <v>0</v>
      </c>
      <c r="O95" s="215">
        <f>COUNTIFS('2_Data_Pelanggan'!$H:$H,$F95,'2_Data_Pelanggan'!$I:$I,$G95,'2_Data_Pelanggan'!$J:$J,$H95,'2_Data_Pelanggan'!$S:$S,"&gt;="&amp;DATE(2026,12,1),'2_Data_Pelanggan'!$S:$S,"&lt;"&amp;DATE(2026,1,1))</f>
        <v>0</v>
      </c>
      <c r="P95" s="215">
        <f t="shared" si="1"/>
        <v>0</v>
      </c>
      <c r="Q95" s="215">
        <f t="shared" ref="Q95:V95" si="96">3000*J95</f>
        <v>3000</v>
      </c>
      <c r="R95" s="215">
        <f t="shared" si="96"/>
        <v>0</v>
      </c>
      <c r="S95" s="215">
        <f t="shared" si="96"/>
        <v>0</v>
      </c>
      <c r="T95" s="215">
        <f t="shared" si="96"/>
        <v>0</v>
      </c>
      <c r="U95" s="215">
        <f t="shared" si="96"/>
        <v>0</v>
      </c>
      <c r="V95" s="215">
        <f t="shared" si="96"/>
        <v>0</v>
      </c>
      <c r="W95" s="215">
        <f t="shared" si="3"/>
        <v>3000</v>
      </c>
      <c r="X95" s="204">
        <f t="shared" si="4"/>
        <v>1000</v>
      </c>
      <c r="Y95" s="205">
        <f t="shared" si="5"/>
        <v>2000</v>
      </c>
      <c r="Z95" s="86" t="s">
        <v>1790</v>
      </c>
      <c r="AA95" s="110"/>
      <c r="AB95" s="47"/>
      <c r="AC95" s="47"/>
      <c r="AD95" s="47"/>
      <c r="AE95" s="47"/>
      <c r="AF95" s="47"/>
    </row>
    <row r="96" ht="15.0" customHeight="1">
      <c r="A96" s="211">
        <v>96.0</v>
      </c>
      <c r="B96" s="212"/>
      <c r="C96" s="213" t="s">
        <v>1788</v>
      </c>
      <c r="D96" s="213" t="s">
        <v>1791</v>
      </c>
      <c r="E96" s="213" t="s">
        <v>1792</v>
      </c>
      <c r="F96" s="214" t="s">
        <v>211</v>
      </c>
      <c r="G96" s="211">
        <v>4.0</v>
      </c>
      <c r="H96" s="211">
        <v>2.0</v>
      </c>
      <c r="I96" s="211">
        <f>COUNTIFS('2_Data_Pelanggan'!$H:$H,$F96,'2_Data_Pelanggan'!$I:$I,$G96,'2_Data_Pelanggan'!$J:$J,$H96,'2_Data_Pelanggan'!$S:$S,"&gt;="&amp;DATE(2026,6,1),'2_Data_Pelanggan'!$S:$S,"&lt;"&amp;DATE(2026,7,1))</f>
        <v>0</v>
      </c>
      <c r="J96" s="211">
        <f>COUNTIFS('2_Data_Pelanggan'!$H:$H,$F96,'2_Data_Pelanggan'!$I:$I,$G96,'2_Data_Pelanggan'!$J:$J,$H96,'2_Data_Pelanggan'!$S:$S,"&gt;="&amp;DATE(2026,7,1),'2_Data_Pelanggan'!$S:$S,"&lt;"&amp;DATE(2026,8,1))</f>
        <v>0</v>
      </c>
      <c r="K96" s="211">
        <f>COUNTIFS('2_Data_Pelanggan'!$H:$H,$F96,'2_Data_Pelanggan'!$I:$I,$G96,'2_Data_Pelanggan'!$J:$J,$H96,'2_Data_Pelanggan'!$S:$S,"&gt;="&amp;DATE(2026,8,1),'2_Data_Pelanggan'!$S:$S,"&lt;"&amp;DATE(2026,9,1))</f>
        <v>0</v>
      </c>
      <c r="L96" s="215">
        <f>COUNTIFS('2_Data_Pelanggan'!$H:$H,$F96,'2_Data_Pelanggan'!$I:$I,$G96,'2_Data_Pelanggan'!$J:$J,$H96,'2_Data_Pelanggan'!$S:$S,"&gt;="&amp;DATE(2026,9,1),'2_Data_Pelanggan'!$S:$S,"&lt;"&amp;DATE(2026,10,1))</f>
        <v>0</v>
      </c>
      <c r="M96" s="215">
        <f>COUNTIFS('2_Data_Pelanggan'!$H:$H,$F96,'2_Data_Pelanggan'!$I:$I,$G96,'2_Data_Pelanggan'!$J:$J,$H96,'2_Data_Pelanggan'!$S:$S,"&gt;="&amp;DATE(2026,10,1),'2_Data_Pelanggan'!$S:$S,"&lt;"&amp;DATE(2026,11,1))</f>
        <v>0</v>
      </c>
      <c r="N96" s="215">
        <f>COUNTIFS('2_Data_Pelanggan'!$H:$H,$F96,'2_Data_Pelanggan'!$I:$I,$G96,'2_Data_Pelanggan'!$J:$J,$H96,'2_Data_Pelanggan'!$S:$S,"&gt;="&amp;DATE(2026,11,1),'2_Data_Pelanggan'!$S:$S,"&lt;"&amp;DATE(2026,12,1))</f>
        <v>0</v>
      </c>
      <c r="O96" s="215">
        <f>COUNTIFS('2_Data_Pelanggan'!$H:$H,$F96,'2_Data_Pelanggan'!$I:$I,$G96,'2_Data_Pelanggan'!$J:$J,$H96,'2_Data_Pelanggan'!$S:$S,"&gt;="&amp;DATE(2026,12,1),'2_Data_Pelanggan'!$S:$S,"&lt;"&amp;DATE(2026,1,1))</f>
        <v>0</v>
      </c>
      <c r="P96" s="215">
        <f t="shared" si="1"/>
        <v>0</v>
      </c>
      <c r="Q96" s="215">
        <f t="shared" ref="Q96:V96" si="97">3000*J96</f>
        <v>0</v>
      </c>
      <c r="R96" s="215">
        <f t="shared" si="97"/>
        <v>0</v>
      </c>
      <c r="S96" s="215">
        <f t="shared" si="97"/>
        <v>0</v>
      </c>
      <c r="T96" s="215">
        <f t="shared" si="97"/>
        <v>0</v>
      </c>
      <c r="U96" s="215">
        <f t="shared" si="97"/>
        <v>0</v>
      </c>
      <c r="V96" s="215">
        <f t="shared" si="97"/>
        <v>0</v>
      </c>
      <c r="W96" s="215">
        <f t="shared" si="3"/>
        <v>0</v>
      </c>
      <c r="X96" s="204">
        <f t="shared" si="4"/>
        <v>0</v>
      </c>
      <c r="Y96" s="205">
        <f t="shared" si="5"/>
        <v>0</v>
      </c>
      <c r="Z96" s="86" t="s">
        <v>1790</v>
      </c>
      <c r="AA96" s="110"/>
      <c r="AB96" s="47"/>
      <c r="AC96" s="47"/>
      <c r="AD96" s="47"/>
      <c r="AE96" s="47"/>
      <c r="AF96" s="47"/>
    </row>
    <row r="97" ht="15.0" customHeight="1">
      <c r="A97" s="211">
        <v>97.0</v>
      </c>
      <c r="B97" s="212"/>
      <c r="C97" s="213" t="s">
        <v>1788</v>
      </c>
      <c r="D97" s="213" t="s">
        <v>1791</v>
      </c>
      <c r="E97" s="213" t="s">
        <v>1792</v>
      </c>
      <c r="F97" s="214" t="s">
        <v>211</v>
      </c>
      <c r="G97" s="211">
        <v>4.0</v>
      </c>
      <c r="H97" s="211">
        <v>3.0</v>
      </c>
      <c r="I97" s="211">
        <f>COUNTIFS('2_Data_Pelanggan'!$H:$H,$F97,'2_Data_Pelanggan'!$I:$I,$G97,'2_Data_Pelanggan'!$J:$J,$H97,'2_Data_Pelanggan'!$S:$S,"&gt;="&amp;DATE(2026,6,1),'2_Data_Pelanggan'!$S:$S,"&lt;"&amp;DATE(2026,7,1))</f>
        <v>0</v>
      </c>
      <c r="J97" s="211">
        <f>COUNTIFS('2_Data_Pelanggan'!$H:$H,$F97,'2_Data_Pelanggan'!$I:$I,$G97,'2_Data_Pelanggan'!$J:$J,$H97,'2_Data_Pelanggan'!$S:$S,"&gt;="&amp;DATE(2026,7,1),'2_Data_Pelanggan'!$S:$S,"&lt;"&amp;DATE(2026,8,1))</f>
        <v>0</v>
      </c>
      <c r="K97" s="211">
        <f>COUNTIFS('2_Data_Pelanggan'!$H:$H,$F97,'2_Data_Pelanggan'!$I:$I,$G97,'2_Data_Pelanggan'!$J:$J,$H97,'2_Data_Pelanggan'!$S:$S,"&gt;="&amp;DATE(2026,8,1),'2_Data_Pelanggan'!$S:$S,"&lt;"&amp;DATE(2026,9,1))</f>
        <v>0</v>
      </c>
      <c r="L97" s="215">
        <f>COUNTIFS('2_Data_Pelanggan'!$H:$H,$F97,'2_Data_Pelanggan'!$I:$I,$G97,'2_Data_Pelanggan'!$J:$J,$H97,'2_Data_Pelanggan'!$S:$S,"&gt;="&amp;DATE(2026,9,1),'2_Data_Pelanggan'!$S:$S,"&lt;"&amp;DATE(2026,10,1))</f>
        <v>0</v>
      </c>
      <c r="M97" s="215">
        <f>COUNTIFS('2_Data_Pelanggan'!$H:$H,$F97,'2_Data_Pelanggan'!$I:$I,$G97,'2_Data_Pelanggan'!$J:$J,$H97,'2_Data_Pelanggan'!$S:$S,"&gt;="&amp;DATE(2026,10,1),'2_Data_Pelanggan'!$S:$S,"&lt;"&amp;DATE(2026,11,1))</f>
        <v>0</v>
      </c>
      <c r="N97" s="215">
        <f>COUNTIFS('2_Data_Pelanggan'!$H:$H,$F97,'2_Data_Pelanggan'!$I:$I,$G97,'2_Data_Pelanggan'!$J:$J,$H97,'2_Data_Pelanggan'!$S:$S,"&gt;="&amp;DATE(2026,11,1),'2_Data_Pelanggan'!$S:$S,"&lt;"&amp;DATE(2026,12,1))</f>
        <v>0</v>
      </c>
      <c r="O97" s="215">
        <f>COUNTIFS('2_Data_Pelanggan'!$H:$H,$F97,'2_Data_Pelanggan'!$I:$I,$G97,'2_Data_Pelanggan'!$J:$J,$H97,'2_Data_Pelanggan'!$S:$S,"&gt;="&amp;DATE(2026,12,1),'2_Data_Pelanggan'!$S:$S,"&lt;"&amp;DATE(2026,1,1))</f>
        <v>0</v>
      </c>
      <c r="P97" s="215">
        <f t="shared" si="1"/>
        <v>0</v>
      </c>
      <c r="Q97" s="215">
        <f t="shared" ref="Q97:V97" si="98">3000*J97</f>
        <v>0</v>
      </c>
      <c r="R97" s="215">
        <f t="shared" si="98"/>
        <v>0</v>
      </c>
      <c r="S97" s="215">
        <f t="shared" si="98"/>
        <v>0</v>
      </c>
      <c r="T97" s="215">
        <f t="shared" si="98"/>
        <v>0</v>
      </c>
      <c r="U97" s="215">
        <f t="shared" si="98"/>
        <v>0</v>
      </c>
      <c r="V97" s="215">
        <f t="shared" si="98"/>
        <v>0</v>
      </c>
      <c r="W97" s="215">
        <f t="shared" si="3"/>
        <v>0</v>
      </c>
      <c r="X97" s="204">
        <f t="shared" si="4"/>
        <v>0</v>
      </c>
      <c r="Y97" s="205">
        <f t="shared" si="5"/>
        <v>0</v>
      </c>
      <c r="Z97" s="86" t="s">
        <v>1790</v>
      </c>
      <c r="AA97" s="110"/>
      <c r="AB97" s="47"/>
      <c r="AC97" s="47"/>
      <c r="AD97" s="47"/>
      <c r="AE97" s="47"/>
      <c r="AF97" s="47"/>
    </row>
    <row r="98" ht="15.0" customHeight="1">
      <c r="A98" s="211">
        <v>98.0</v>
      </c>
      <c r="B98" s="212"/>
      <c r="C98" s="213" t="s">
        <v>1788</v>
      </c>
      <c r="D98" s="213" t="s">
        <v>1791</v>
      </c>
      <c r="E98" s="213" t="s">
        <v>1792</v>
      </c>
      <c r="F98" s="214" t="s">
        <v>211</v>
      </c>
      <c r="G98" s="211">
        <v>5.0</v>
      </c>
      <c r="H98" s="211">
        <v>1.0</v>
      </c>
      <c r="I98" s="211">
        <f>COUNTIFS('2_Data_Pelanggan'!$H:$H,$F98,'2_Data_Pelanggan'!$I:$I,$G98,'2_Data_Pelanggan'!$J:$J,$H98,'2_Data_Pelanggan'!$S:$S,"&gt;="&amp;DATE(2026,6,1),'2_Data_Pelanggan'!$S:$S,"&lt;"&amp;DATE(2026,7,1))</f>
        <v>1</v>
      </c>
      <c r="J98" s="211">
        <f>COUNTIFS('2_Data_Pelanggan'!$H:$H,$F98,'2_Data_Pelanggan'!$I:$I,$G98,'2_Data_Pelanggan'!$J:$J,$H98,'2_Data_Pelanggan'!$S:$S,"&gt;="&amp;DATE(2026,7,1),'2_Data_Pelanggan'!$S:$S,"&lt;"&amp;DATE(2026,8,1))</f>
        <v>0</v>
      </c>
      <c r="K98" s="211">
        <f>COUNTIFS('2_Data_Pelanggan'!$H:$H,$F98,'2_Data_Pelanggan'!$I:$I,$G98,'2_Data_Pelanggan'!$J:$J,$H98,'2_Data_Pelanggan'!$S:$S,"&gt;="&amp;DATE(2026,8,1),'2_Data_Pelanggan'!$S:$S,"&lt;"&amp;DATE(2026,9,1))</f>
        <v>0</v>
      </c>
      <c r="L98" s="215">
        <f>COUNTIFS('2_Data_Pelanggan'!$H:$H,$F98,'2_Data_Pelanggan'!$I:$I,$G98,'2_Data_Pelanggan'!$J:$J,$H98,'2_Data_Pelanggan'!$S:$S,"&gt;="&amp;DATE(2026,9,1),'2_Data_Pelanggan'!$S:$S,"&lt;"&amp;DATE(2026,10,1))</f>
        <v>0</v>
      </c>
      <c r="M98" s="215">
        <f>COUNTIFS('2_Data_Pelanggan'!$H:$H,$F98,'2_Data_Pelanggan'!$I:$I,$G98,'2_Data_Pelanggan'!$J:$J,$H98,'2_Data_Pelanggan'!$S:$S,"&gt;="&amp;DATE(2026,10,1),'2_Data_Pelanggan'!$S:$S,"&lt;"&amp;DATE(2026,11,1))</f>
        <v>0</v>
      </c>
      <c r="N98" s="215">
        <f>COUNTIFS('2_Data_Pelanggan'!$H:$H,$F98,'2_Data_Pelanggan'!$I:$I,$G98,'2_Data_Pelanggan'!$J:$J,$H98,'2_Data_Pelanggan'!$S:$S,"&gt;="&amp;DATE(2026,11,1),'2_Data_Pelanggan'!$S:$S,"&lt;"&amp;DATE(2026,12,1))</f>
        <v>0</v>
      </c>
      <c r="O98" s="215">
        <f>COUNTIFS('2_Data_Pelanggan'!$H:$H,$F98,'2_Data_Pelanggan'!$I:$I,$G98,'2_Data_Pelanggan'!$J:$J,$H98,'2_Data_Pelanggan'!$S:$S,"&gt;="&amp;DATE(2026,12,1),'2_Data_Pelanggan'!$S:$S,"&lt;"&amp;DATE(2026,1,1))</f>
        <v>0</v>
      </c>
      <c r="P98" s="215">
        <f t="shared" si="1"/>
        <v>3000</v>
      </c>
      <c r="Q98" s="215">
        <f t="shared" ref="Q98:V98" si="99">3000*J98</f>
        <v>0</v>
      </c>
      <c r="R98" s="215">
        <f t="shared" si="99"/>
        <v>0</v>
      </c>
      <c r="S98" s="215">
        <f t="shared" si="99"/>
        <v>0</v>
      </c>
      <c r="T98" s="215">
        <f t="shared" si="99"/>
        <v>0</v>
      </c>
      <c r="U98" s="215">
        <f t="shared" si="99"/>
        <v>0</v>
      </c>
      <c r="V98" s="215">
        <f t="shared" si="99"/>
        <v>0</v>
      </c>
      <c r="W98" s="215">
        <f t="shared" si="3"/>
        <v>3000</v>
      </c>
      <c r="X98" s="204">
        <f t="shared" si="4"/>
        <v>1000</v>
      </c>
      <c r="Y98" s="205">
        <f t="shared" si="5"/>
        <v>2000</v>
      </c>
      <c r="Z98" s="86" t="s">
        <v>1790</v>
      </c>
      <c r="AA98" s="110"/>
      <c r="AB98" s="47"/>
      <c r="AC98" s="47"/>
      <c r="AD98" s="47"/>
      <c r="AE98" s="47"/>
      <c r="AF98" s="47"/>
    </row>
    <row r="99" ht="15.0" customHeight="1">
      <c r="A99" s="211">
        <v>99.0</v>
      </c>
      <c r="B99" s="212"/>
      <c r="C99" s="213" t="s">
        <v>1788</v>
      </c>
      <c r="D99" s="213" t="s">
        <v>1791</v>
      </c>
      <c r="E99" s="213" t="s">
        <v>1792</v>
      </c>
      <c r="F99" s="214" t="s">
        <v>211</v>
      </c>
      <c r="G99" s="211">
        <v>5.0</v>
      </c>
      <c r="H99" s="211">
        <v>2.0</v>
      </c>
      <c r="I99" s="211">
        <f>COUNTIFS('2_Data_Pelanggan'!$H:$H,$F99,'2_Data_Pelanggan'!$I:$I,$G99,'2_Data_Pelanggan'!$J:$J,$H99,'2_Data_Pelanggan'!$S:$S,"&gt;="&amp;DATE(2026,6,1),'2_Data_Pelanggan'!$S:$S,"&lt;"&amp;DATE(2026,7,1))</f>
        <v>1</v>
      </c>
      <c r="J99" s="211">
        <f>COUNTIFS('2_Data_Pelanggan'!$H:$H,$F99,'2_Data_Pelanggan'!$I:$I,$G99,'2_Data_Pelanggan'!$J:$J,$H99,'2_Data_Pelanggan'!$S:$S,"&gt;="&amp;DATE(2026,7,1),'2_Data_Pelanggan'!$S:$S,"&lt;"&amp;DATE(2026,8,1))</f>
        <v>0</v>
      </c>
      <c r="K99" s="211">
        <f>COUNTIFS('2_Data_Pelanggan'!$H:$H,$F99,'2_Data_Pelanggan'!$I:$I,$G99,'2_Data_Pelanggan'!$J:$J,$H99,'2_Data_Pelanggan'!$S:$S,"&gt;="&amp;DATE(2026,8,1),'2_Data_Pelanggan'!$S:$S,"&lt;"&amp;DATE(2026,9,1))</f>
        <v>0</v>
      </c>
      <c r="L99" s="215">
        <f>COUNTIFS('2_Data_Pelanggan'!$H:$H,$F99,'2_Data_Pelanggan'!$I:$I,$G99,'2_Data_Pelanggan'!$J:$J,$H99,'2_Data_Pelanggan'!$S:$S,"&gt;="&amp;DATE(2026,9,1),'2_Data_Pelanggan'!$S:$S,"&lt;"&amp;DATE(2026,10,1))</f>
        <v>0</v>
      </c>
      <c r="M99" s="215">
        <f>COUNTIFS('2_Data_Pelanggan'!$H:$H,$F99,'2_Data_Pelanggan'!$I:$I,$G99,'2_Data_Pelanggan'!$J:$J,$H99,'2_Data_Pelanggan'!$S:$S,"&gt;="&amp;DATE(2026,10,1),'2_Data_Pelanggan'!$S:$S,"&lt;"&amp;DATE(2026,11,1))</f>
        <v>0</v>
      </c>
      <c r="N99" s="215">
        <f>COUNTIFS('2_Data_Pelanggan'!$H:$H,$F99,'2_Data_Pelanggan'!$I:$I,$G99,'2_Data_Pelanggan'!$J:$J,$H99,'2_Data_Pelanggan'!$S:$S,"&gt;="&amp;DATE(2026,11,1),'2_Data_Pelanggan'!$S:$S,"&lt;"&amp;DATE(2026,12,1))</f>
        <v>0</v>
      </c>
      <c r="O99" s="215">
        <f>COUNTIFS('2_Data_Pelanggan'!$H:$H,$F99,'2_Data_Pelanggan'!$I:$I,$G99,'2_Data_Pelanggan'!$J:$J,$H99,'2_Data_Pelanggan'!$S:$S,"&gt;="&amp;DATE(2026,12,1),'2_Data_Pelanggan'!$S:$S,"&lt;"&amp;DATE(2026,1,1))</f>
        <v>0</v>
      </c>
      <c r="P99" s="215">
        <f t="shared" si="1"/>
        <v>3000</v>
      </c>
      <c r="Q99" s="215">
        <f t="shared" ref="Q99:V99" si="100">3000*J99</f>
        <v>0</v>
      </c>
      <c r="R99" s="215">
        <f t="shared" si="100"/>
        <v>0</v>
      </c>
      <c r="S99" s="215">
        <f t="shared" si="100"/>
        <v>0</v>
      </c>
      <c r="T99" s="215">
        <f t="shared" si="100"/>
        <v>0</v>
      </c>
      <c r="U99" s="215">
        <f t="shared" si="100"/>
        <v>0</v>
      </c>
      <c r="V99" s="215">
        <f t="shared" si="100"/>
        <v>0</v>
      </c>
      <c r="W99" s="215">
        <f t="shared" si="3"/>
        <v>3000</v>
      </c>
      <c r="X99" s="204">
        <f t="shared" si="4"/>
        <v>1000</v>
      </c>
      <c r="Y99" s="205">
        <f t="shared" si="5"/>
        <v>2000</v>
      </c>
      <c r="Z99" s="86" t="s">
        <v>1790</v>
      </c>
      <c r="AA99" s="110"/>
      <c r="AB99" s="47"/>
      <c r="AC99" s="47"/>
      <c r="AD99" s="47"/>
      <c r="AE99" s="47"/>
      <c r="AF99" s="47"/>
    </row>
    <row r="100" ht="15.0" customHeight="1">
      <c r="A100" s="211">
        <v>100.0</v>
      </c>
      <c r="B100" s="212"/>
      <c r="C100" s="213" t="s">
        <v>1788</v>
      </c>
      <c r="D100" s="213" t="s">
        <v>1791</v>
      </c>
      <c r="E100" s="213" t="s">
        <v>1792</v>
      </c>
      <c r="F100" s="214" t="s">
        <v>211</v>
      </c>
      <c r="G100" s="211">
        <v>8.0</v>
      </c>
      <c r="H100" s="211">
        <v>2.0</v>
      </c>
      <c r="I100" s="211">
        <f>COUNTIFS('2_Data_Pelanggan'!$H:$H,$F100,'2_Data_Pelanggan'!$I:$I,$G100,'2_Data_Pelanggan'!$J:$J,$H100,'2_Data_Pelanggan'!$S:$S,"&gt;="&amp;DATE(2026,6,1),'2_Data_Pelanggan'!$S:$S,"&lt;"&amp;DATE(2026,7,1))</f>
        <v>0</v>
      </c>
      <c r="J100" s="211">
        <f>COUNTIFS('2_Data_Pelanggan'!$H:$H,$F100,'2_Data_Pelanggan'!$I:$I,$G100,'2_Data_Pelanggan'!$J:$J,$H100,'2_Data_Pelanggan'!$S:$S,"&gt;="&amp;DATE(2026,7,1),'2_Data_Pelanggan'!$S:$S,"&lt;"&amp;DATE(2026,8,1))</f>
        <v>0</v>
      </c>
      <c r="K100" s="211">
        <f>COUNTIFS('2_Data_Pelanggan'!$H:$H,$F100,'2_Data_Pelanggan'!$I:$I,$G100,'2_Data_Pelanggan'!$J:$J,$H100,'2_Data_Pelanggan'!$S:$S,"&gt;="&amp;DATE(2026,8,1),'2_Data_Pelanggan'!$S:$S,"&lt;"&amp;DATE(2026,9,1))</f>
        <v>0</v>
      </c>
      <c r="L100" s="215">
        <f>COUNTIFS('2_Data_Pelanggan'!$H:$H,$F100,'2_Data_Pelanggan'!$I:$I,$G100,'2_Data_Pelanggan'!$J:$J,$H100,'2_Data_Pelanggan'!$S:$S,"&gt;="&amp;DATE(2026,9,1),'2_Data_Pelanggan'!$S:$S,"&lt;"&amp;DATE(2026,10,1))</f>
        <v>0</v>
      </c>
      <c r="M100" s="215">
        <f>COUNTIFS('2_Data_Pelanggan'!$H:$H,$F100,'2_Data_Pelanggan'!$I:$I,$G100,'2_Data_Pelanggan'!$J:$J,$H100,'2_Data_Pelanggan'!$S:$S,"&gt;="&amp;DATE(2026,10,1),'2_Data_Pelanggan'!$S:$S,"&lt;"&amp;DATE(2026,11,1))</f>
        <v>0</v>
      </c>
      <c r="N100" s="215">
        <f>COUNTIFS('2_Data_Pelanggan'!$H:$H,$F100,'2_Data_Pelanggan'!$I:$I,$G100,'2_Data_Pelanggan'!$J:$J,$H100,'2_Data_Pelanggan'!$S:$S,"&gt;="&amp;DATE(2026,11,1),'2_Data_Pelanggan'!$S:$S,"&lt;"&amp;DATE(2026,12,1))</f>
        <v>0</v>
      </c>
      <c r="O100" s="215">
        <f>COUNTIFS('2_Data_Pelanggan'!$H:$H,$F100,'2_Data_Pelanggan'!$I:$I,$G100,'2_Data_Pelanggan'!$J:$J,$H100,'2_Data_Pelanggan'!$S:$S,"&gt;="&amp;DATE(2026,12,1),'2_Data_Pelanggan'!$S:$S,"&lt;"&amp;DATE(2026,1,1))</f>
        <v>0</v>
      </c>
      <c r="P100" s="215">
        <f t="shared" si="1"/>
        <v>0</v>
      </c>
      <c r="Q100" s="215">
        <f t="shared" ref="Q100:V100" si="101">3000*J100</f>
        <v>0</v>
      </c>
      <c r="R100" s="215">
        <f t="shared" si="101"/>
        <v>0</v>
      </c>
      <c r="S100" s="215">
        <f t="shared" si="101"/>
        <v>0</v>
      </c>
      <c r="T100" s="215">
        <f t="shared" si="101"/>
        <v>0</v>
      </c>
      <c r="U100" s="215">
        <f t="shared" si="101"/>
        <v>0</v>
      </c>
      <c r="V100" s="215">
        <f t="shared" si="101"/>
        <v>0</v>
      </c>
      <c r="W100" s="215">
        <f t="shared" si="3"/>
        <v>0</v>
      </c>
      <c r="X100" s="204">
        <f t="shared" si="4"/>
        <v>0</v>
      </c>
      <c r="Y100" s="205">
        <f t="shared" si="5"/>
        <v>0</v>
      </c>
      <c r="Z100" s="86" t="s">
        <v>1790</v>
      </c>
      <c r="AA100" s="110"/>
      <c r="AB100" s="47"/>
      <c r="AC100" s="47"/>
      <c r="AD100" s="47"/>
      <c r="AE100" s="47"/>
      <c r="AF100" s="47"/>
    </row>
    <row r="101" ht="15.0" customHeight="1">
      <c r="A101" s="211">
        <v>101.0</v>
      </c>
      <c r="B101" s="212"/>
      <c r="C101" s="213" t="s">
        <v>1788</v>
      </c>
      <c r="D101" s="213" t="s">
        <v>1791</v>
      </c>
      <c r="E101" s="213" t="s">
        <v>1792</v>
      </c>
      <c r="F101" s="214" t="s">
        <v>211</v>
      </c>
      <c r="G101" s="211">
        <v>15.0</v>
      </c>
      <c r="H101" s="211">
        <v>3.0</v>
      </c>
      <c r="I101" s="211">
        <f>COUNTIFS('2_Data_Pelanggan'!$H:$H,$F101,'2_Data_Pelanggan'!$I:$I,$G101,'2_Data_Pelanggan'!$J:$J,$H101,'2_Data_Pelanggan'!$S:$S,"&gt;="&amp;DATE(2026,6,1),'2_Data_Pelanggan'!$S:$S,"&lt;"&amp;DATE(2026,7,1))</f>
        <v>0</v>
      </c>
      <c r="J101" s="211">
        <f>COUNTIFS('2_Data_Pelanggan'!$H:$H,$F101,'2_Data_Pelanggan'!$I:$I,$G101,'2_Data_Pelanggan'!$J:$J,$H101,'2_Data_Pelanggan'!$S:$S,"&gt;="&amp;DATE(2026,7,1),'2_Data_Pelanggan'!$S:$S,"&lt;"&amp;DATE(2026,8,1))</f>
        <v>0</v>
      </c>
      <c r="K101" s="211">
        <f>COUNTIFS('2_Data_Pelanggan'!$H:$H,$F101,'2_Data_Pelanggan'!$I:$I,$G101,'2_Data_Pelanggan'!$J:$J,$H101,'2_Data_Pelanggan'!$S:$S,"&gt;="&amp;DATE(2026,8,1),'2_Data_Pelanggan'!$S:$S,"&lt;"&amp;DATE(2026,9,1))</f>
        <v>0</v>
      </c>
      <c r="L101" s="215">
        <f>COUNTIFS('2_Data_Pelanggan'!$H:$H,$F101,'2_Data_Pelanggan'!$I:$I,$G101,'2_Data_Pelanggan'!$J:$J,$H101,'2_Data_Pelanggan'!$S:$S,"&gt;="&amp;DATE(2026,9,1),'2_Data_Pelanggan'!$S:$S,"&lt;"&amp;DATE(2026,10,1))</f>
        <v>0</v>
      </c>
      <c r="M101" s="215">
        <f>COUNTIFS('2_Data_Pelanggan'!$H:$H,$F101,'2_Data_Pelanggan'!$I:$I,$G101,'2_Data_Pelanggan'!$J:$J,$H101,'2_Data_Pelanggan'!$S:$S,"&gt;="&amp;DATE(2026,10,1),'2_Data_Pelanggan'!$S:$S,"&lt;"&amp;DATE(2026,11,1))</f>
        <v>0</v>
      </c>
      <c r="N101" s="215">
        <f>COUNTIFS('2_Data_Pelanggan'!$H:$H,$F101,'2_Data_Pelanggan'!$I:$I,$G101,'2_Data_Pelanggan'!$J:$J,$H101,'2_Data_Pelanggan'!$S:$S,"&gt;="&amp;DATE(2026,11,1),'2_Data_Pelanggan'!$S:$S,"&lt;"&amp;DATE(2026,12,1))</f>
        <v>0</v>
      </c>
      <c r="O101" s="215">
        <f>COUNTIFS('2_Data_Pelanggan'!$H:$H,$F101,'2_Data_Pelanggan'!$I:$I,$G101,'2_Data_Pelanggan'!$J:$J,$H101,'2_Data_Pelanggan'!$S:$S,"&gt;="&amp;DATE(2026,12,1),'2_Data_Pelanggan'!$S:$S,"&lt;"&amp;DATE(2026,1,1))</f>
        <v>0</v>
      </c>
      <c r="P101" s="215">
        <f t="shared" si="1"/>
        <v>0</v>
      </c>
      <c r="Q101" s="215">
        <f t="shared" ref="Q101:V101" si="102">3000*J101</f>
        <v>0</v>
      </c>
      <c r="R101" s="215">
        <f t="shared" si="102"/>
        <v>0</v>
      </c>
      <c r="S101" s="215">
        <f t="shared" si="102"/>
        <v>0</v>
      </c>
      <c r="T101" s="215">
        <f t="shared" si="102"/>
        <v>0</v>
      </c>
      <c r="U101" s="215">
        <f t="shared" si="102"/>
        <v>0</v>
      </c>
      <c r="V101" s="215">
        <f t="shared" si="102"/>
        <v>0</v>
      </c>
      <c r="W101" s="215">
        <f t="shared" si="3"/>
        <v>0</v>
      </c>
      <c r="X101" s="204">
        <f t="shared" si="4"/>
        <v>0</v>
      </c>
      <c r="Y101" s="205">
        <f t="shared" si="5"/>
        <v>0</v>
      </c>
      <c r="Z101" s="86" t="s">
        <v>1790</v>
      </c>
      <c r="AA101" s="110"/>
      <c r="AB101" s="47"/>
      <c r="AC101" s="47"/>
      <c r="AD101" s="47"/>
      <c r="AE101" s="47"/>
      <c r="AF101" s="47"/>
    </row>
    <row r="102" ht="15.0" customHeight="1">
      <c r="A102" s="216">
        <v>102.0</v>
      </c>
      <c r="B102" s="217"/>
      <c r="C102" s="218" t="s">
        <v>1788</v>
      </c>
      <c r="D102" s="218" t="s">
        <v>1791</v>
      </c>
      <c r="E102" s="218" t="s">
        <v>1792</v>
      </c>
      <c r="F102" s="219" t="s">
        <v>541</v>
      </c>
      <c r="G102" s="216">
        <v>1.0</v>
      </c>
      <c r="H102" s="216">
        <v>4.0</v>
      </c>
      <c r="I102" s="216">
        <f>COUNTIFS('2_Data_Pelanggan'!$H:$H,$F102,'2_Data_Pelanggan'!$I:$I,$G102,'2_Data_Pelanggan'!$J:$J,$H102,'2_Data_Pelanggan'!$S:$S,"&gt;="&amp;DATE(2026,6,1),'2_Data_Pelanggan'!$S:$S,"&lt;"&amp;DATE(2026,7,1))</f>
        <v>0</v>
      </c>
      <c r="J102" s="216">
        <f>COUNTIFS('2_Data_Pelanggan'!$H:$H,$F102,'2_Data_Pelanggan'!$I:$I,$G102,'2_Data_Pelanggan'!$J:$J,$H102,'2_Data_Pelanggan'!$S:$S,"&gt;="&amp;DATE(2026,7,1),'2_Data_Pelanggan'!$S:$S,"&lt;"&amp;DATE(2026,8,1))</f>
        <v>0</v>
      </c>
      <c r="K102" s="216">
        <f>COUNTIFS('2_Data_Pelanggan'!$H:$H,$F102,'2_Data_Pelanggan'!$I:$I,$G102,'2_Data_Pelanggan'!$J:$J,$H102,'2_Data_Pelanggan'!$S:$S,"&gt;="&amp;DATE(2026,8,1),'2_Data_Pelanggan'!$S:$S,"&lt;"&amp;DATE(2026,9,1))</f>
        <v>0</v>
      </c>
      <c r="L102" s="220">
        <f>COUNTIFS('2_Data_Pelanggan'!$H:$H,$F102,'2_Data_Pelanggan'!$I:$I,$G102,'2_Data_Pelanggan'!$J:$J,$H102,'2_Data_Pelanggan'!$S:$S,"&gt;="&amp;DATE(2026,9,1),'2_Data_Pelanggan'!$S:$S,"&lt;"&amp;DATE(2026,10,1))</f>
        <v>1</v>
      </c>
      <c r="M102" s="220">
        <f>COUNTIFS('2_Data_Pelanggan'!$H:$H,$F102,'2_Data_Pelanggan'!$I:$I,$G102,'2_Data_Pelanggan'!$J:$J,$H102,'2_Data_Pelanggan'!$S:$S,"&gt;="&amp;DATE(2026,10,1),'2_Data_Pelanggan'!$S:$S,"&lt;"&amp;DATE(2026,11,1))</f>
        <v>0</v>
      </c>
      <c r="N102" s="220">
        <f>COUNTIFS('2_Data_Pelanggan'!$H:$H,$F102,'2_Data_Pelanggan'!$I:$I,$G102,'2_Data_Pelanggan'!$J:$J,$H102,'2_Data_Pelanggan'!$S:$S,"&gt;="&amp;DATE(2026,11,1),'2_Data_Pelanggan'!$S:$S,"&lt;"&amp;DATE(2026,12,1))</f>
        <v>0</v>
      </c>
      <c r="O102" s="220">
        <f>COUNTIFS('2_Data_Pelanggan'!$H:$H,$F102,'2_Data_Pelanggan'!$I:$I,$G102,'2_Data_Pelanggan'!$J:$J,$H102,'2_Data_Pelanggan'!$S:$S,"&gt;="&amp;DATE(2026,12,1),'2_Data_Pelanggan'!$S:$S,"&lt;"&amp;DATE(2026,1,1))</f>
        <v>0</v>
      </c>
      <c r="P102" s="220">
        <f t="shared" si="1"/>
        <v>0</v>
      </c>
      <c r="Q102" s="220">
        <f t="shared" ref="Q102:V102" si="103">3000*J102</f>
        <v>0</v>
      </c>
      <c r="R102" s="220">
        <f t="shared" si="103"/>
        <v>0</v>
      </c>
      <c r="S102" s="220">
        <f t="shared" si="103"/>
        <v>3000</v>
      </c>
      <c r="T102" s="220">
        <f t="shared" si="103"/>
        <v>0</v>
      </c>
      <c r="U102" s="220">
        <f t="shared" si="103"/>
        <v>0</v>
      </c>
      <c r="V102" s="220">
        <f t="shared" si="103"/>
        <v>0</v>
      </c>
      <c r="W102" s="220">
        <f t="shared" si="3"/>
        <v>3000</v>
      </c>
      <c r="X102" s="204">
        <f t="shared" si="4"/>
        <v>1000</v>
      </c>
      <c r="Y102" s="205">
        <f t="shared" si="5"/>
        <v>2000</v>
      </c>
      <c r="Z102" s="86" t="s">
        <v>1790</v>
      </c>
      <c r="AA102" s="110"/>
      <c r="AB102" s="47"/>
      <c r="AC102" s="47"/>
      <c r="AD102" s="47"/>
      <c r="AE102" s="47"/>
      <c r="AF102" s="47"/>
    </row>
    <row r="103" ht="15.0" customHeight="1">
      <c r="A103" s="221">
        <v>103.0</v>
      </c>
      <c r="B103" s="222"/>
      <c r="C103" s="223" t="s">
        <v>1788</v>
      </c>
      <c r="D103" s="223" t="s">
        <v>1791</v>
      </c>
      <c r="E103" s="223" t="s">
        <v>1792</v>
      </c>
      <c r="F103" s="224" t="s">
        <v>1208</v>
      </c>
      <c r="G103" s="221">
        <v>6.0</v>
      </c>
      <c r="H103" s="221">
        <v>3.0</v>
      </c>
      <c r="I103" s="221">
        <f>COUNTIFS('2_Data_Pelanggan'!$H:$H,$F103,'2_Data_Pelanggan'!$I:$I,$G103,'2_Data_Pelanggan'!$J:$J,$H103,'2_Data_Pelanggan'!$S:$S,"&gt;="&amp;DATE(2026,6,1),'2_Data_Pelanggan'!$S:$S,"&lt;"&amp;DATE(2026,7,1))</f>
        <v>1</v>
      </c>
      <c r="J103" s="221">
        <f>COUNTIFS('2_Data_Pelanggan'!$H:$H,$F103,'2_Data_Pelanggan'!$I:$I,$G103,'2_Data_Pelanggan'!$J:$J,$H103,'2_Data_Pelanggan'!$S:$S,"&gt;="&amp;DATE(2026,7,1),'2_Data_Pelanggan'!$S:$S,"&lt;"&amp;DATE(2026,8,1))</f>
        <v>0</v>
      </c>
      <c r="K103" s="221">
        <f>COUNTIFS('2_Data_Pelanggan'!$H:$H,$F103,'2_Data_Pelanggan'!$I:$I,$G103,'2_Data_Pelanggan'!$J:$J,$H103,'2_Data_Pelanggan'!$S:$S,"&gt;="&amp;DATE(2026,8,1),'2_Data_Pelanggan'!$S:$S,"&lt;"&amp;DATE(2026,9,1))</f>
        <v>0</v>
      </c>
      <c r="L103" s="225">
        <f>COUNTIFS('2_Data_Pelanggan'!$H:$H,$F103,'2_Data_Pelanggan'!$I:$I,$G103,'2_Data_Pelanggan'!$J:$J,$H103,'2_Data_Pelanggan'!$S:$S,"&gt;="&amp;DATE(2026,9,1),'2_Data_Pelanggan'!$S:$S,"&lt;"&amp;DATE(2026,10,1))</f>
        <v>0</v>
      </c>
      <c r="M103" s="225">
        <f>COUNTIFS('2_Data_Pelanggan'!$H:$H,$F103,'2_Data_Pelanggan'!$I:$I,$G103,'2_Data_Pelanggan'!$J:$J,$H103,'2_Data_Pelanggan'!$S:$S,"&gt;="&amp;DATE(2026,10,1),'2_Data_Pelanggan'!$S:$S,"&lt;"&amp;DATE(2026,11,1))</f>
        <v>0</v>
      </c>
      <c r="N103" s="225">
        <f>COUNTIFS('2_Data_Pelanggan'!$H:$H,$F103,'2_Data_Pelanggan'!$I:$I,$G103,'2_Data_Pelanggan'!$J:$J,$H103,'2_Data_Pelanggan'!$S:$S,"&gt;="&amp;DATE(2026,11,1),'2_Data_Pelanggan'!$S:$S,"&lt;"&amp;DATE(2026,12,1))</f>
        <v>0</v>
      </c>
      <c r="O103" s="225">
        <f>COUNTIFS('2_Data_Pelanggan'!$H:$H,$F103,'2_Data_Pelanggan'!$I:$I,$G103,'2_Data_Pelanggan'!$J:$J,$H103,'2_Data_Pelanggan'!$S:$S,"&gt;="&amp;DATE(2026,12,1),'2_Data_Pelanggan'!$S:$S,"&lt;"&amp;DATE(2026,1,1))</f>
        <v>0</v>
      </c>
      <c r="P103" s="225">
        <f t="shared" si="1"/>
        <v>3000</v>
      </c>
      <c r="Q103" s="225">
        <f t="shared" ref="Q103:V103" si="104">3000*J103</f>
        <v>0</v>
      </c>
      <c r="R103" s="225">
        <f t="shared" si="104"/>
        <v>0</v>
      </c>
      <c r="S103" s="225">
        <f t="shared" si="104"/>
        <v>0</v>
      </c>
      <c r="T103" s="225">
        <f t="shared" si="104"/>
        <v>0</v>
      </c>
      <c r="U103" s="225">
        <f t="shared" si="104"/>
        <v>0</v>
      </c>
      <c r="V103" s="225">
        <f t="shared" si="104"/>
        <v>0</v>
      </c>
      <c r="W103" s="225">
        <f t="shared" si="3"/>
        <v>3000</v>
      </c>
      <c r="X103" s="204">
        <f t="shared" si="4"/>
        <v>1000</v>
      </c>
      <c r="Y103" s="205">
        <f t="shared" si="5"/>
        <v>2000</v>
      </c>
      <c r="Z103" s="86" t="s">
        <v>1790</v>
      </c>
      <c r="AA103" s="110"/>
      <c r="AB103" s="47"/>
      <c r="AC103" s="47"/>
      <c r="AD103" s="47"/>
      <c r="AE103" s="47"/>
      <c r="AF103" s="47"/>
    </row>
    <row r="104" ht="15.0" customHeight="1">
      <c r="A104" s="226">
        <v>104.0</v>
      </c>
      <c r="B104" s="227"/>
      <c r="C104" s="228" t="s">
        <v>1788</v>
      </c>
      <c r="D104" s="228" t="s">
        <v>1791</v>
      </c>
      <c r="E104" s="228" t="s">
        <v>1792</v>
      </c>
      <c r="F104" s="229" t="s">
        <v>462</v>
      </c>
      <c r="G104" s="226">
        <v>3.0</v>
      </c>
      <c r="H104" s="226">
        <v>1.0</v>
      </c>
      <c r="I104" s="226">
        <f>COUNTIFS('2_Data_Pelanggan'!$H:$H,$F104,'2_Data_Pelanggan'!$I:$I,$G104,'2_Data_Pelanggan'!$J:$J,$H104,'2_Data_Pelanggan'!$S:$S,"&gt;="&amp;DATE(2026,6,1),'2_Data_Pelanggan'!$S:$S,"&lt;"&amp;DATE(2026,7,1))</f>
        <v>0</v>
      </c>
      <c r="J104" s="226">
        <f>COUNTIFS('2_Data_Pelanggan'!$H:$H,$F104,'2_Data_Pelanggan'!$I:$I,$G104,'2_Data_Pelanggan'!$J:$J,$H104,'2_Data_Pelanggan'!$S:$S,"&gt;="&amp;DATE(2026,7,1),'2_Data_Pelanggan'!$S:$S,"&lt;"&amp;DATE(2026,8,1))</f>
        <v>0</v>
      </c>
      <c r="K104" s="226">
        <f>COUNTIFS('2_Data_Pelanggan'!$H:$H,$F104,'2_Data_Pelanggan'!$I:$I,$G104,'2_Data_Pelanggan'!$J:$J,$H104,'2_Data_Pelanggan'!$S:$S,"&gt;="&amp;DATE(2026,8,1),'2_Data_Pelanggan'!$S:$S,"&lt;"&amp;DATE(2026,9,1))</f>
        <v>0</v>
      </c>
      <c r="L104" s="230">
        <f>COUNTIFS('2_Data_Pelanggan'!$H:$H,$F104,'2_Data_Pelanggan'!$I:$I,$G104,'2_Data_Pelanggan'!$J:$J,$H104,'2_Data_Pelanggan'!$S:$S,"&gt;="&amp;DATE(2026,9,1),'2_Data_Pelanggan'!$S:$S,"&lt;"&amp;DATE(2026,10,1))</f>
        <v>0</v>
      </c>
      <c r="M104" s="230">
        <f>COUNTIFS('2_Data_Pelanggan'!$H:$H,$F104,'2_Data_Pelanggan'!$I:$I,$G104,'2_Data_Pelanggan'!$J:$J,$H104,'2_Data_Pelanggan'!$S:$S,"&gt;="&amp;DATE(2026,10,1),'2_Data_Pelanggan'!$S:$S,"&lt;"&amp;DATE(2026,11,1))</f>
        <v>0</v>
      </c>
      <c r="N104" s="230">
        <f>COUNTIFS('2_Data_Pelanggan'!$H:$H,$F104,'2_Data_Pelanggan'!$I:$I,$G104,'2_Data_Pelanggan'!$J:$J,$H104,'2_Data_Pelanggan'!$S:$S,"&gt;="&amp;DATE(2026,11,1),'2_Data_Pelanggan'!$S:$S,"&lt;"&amp;DATE(2026,12,1))</f>
        <v>0</v>
      </c>
      <c r="O104" s="230">
        <f>COUNTIFS('2_Data_Pelanggan'!$H:$H,$F104,'2_Data_Pelanggan'!$I:$I,$G104,'2_Data_Pelanggan'!$J:$J,$H104,'2_Data_Pelanggan'!$S:$S,"&gt;="&amp;DATE(2026,12,1),'2_Data_Pelanggan'!$S:$S,"&lt;"&amp;DATE(2026,1,1))</f>
        <v>0</v>
      </c>
      <c r="P104" s="230">
        <f t="shared" si="1"/>
        <v>0</v>
      </c>
      <c r="Q104" s="230">
        <f t="shared" ref="Q104:V104" si="105">3000*J104</f>
        <v>0</v>
      </c>
      <c r="R104" s="230">
        <f t="shared" si="105"/>
        <v>0</v>
      </c>
      <c r="S104" s="230">
        <f t="shared" si="105"/>
        <v>0</v>
      </c>
      <c r="T104" s="230">
        <f t="shared" si="105"/>
        <v>0</v>
      </c>
      <c r="U104" s="230">
        <f t="shared" si="105"/>
        <v>0</v>
      </c>
      <c r="V104" s="230">
        <f t="shared" si="105"/>
        <v>0</v>
      </c>
      <c r="W104" s="230">
        <f t="shared" si="3"/>
        <v>0</v>
      </c>
      <c r="X104" s="204">
        <f t="shared" si="4"/>
        <v>0</v>
      </c>
      <c r="Y104" s="205">
        <f t="shared" si="5"/>
        <v>0</v>
      </c>
      <c r="Z104" s="86" t="s">
        <v>1790</v>
      </c>
      <c r="AA104" s="110"/>
      <c r="AB104" s="47"/>
      <c r="AC104" s="47"/>
      <c r="AD104" s="47"/>
      <c r="AE104" s="47"/>
      <c r="AF104" s="47"/>
    </row>
    <row r="105" ht="15.0" customHeight="1">
      <c r="A105" s="226">
        <v>105.0</v>
      </c>
      <c r="B105" s="227"/>
      <c r="C105" s="228" t="s">
        <v>1788</v>
      </c>
      <c r="D105" s="228" t="s">
        <v>1791</v>
      </c>
      <c r="E105" s="228" t="s">
        <v>1792</v>
      </c>
      <c r="F105" s="229" t="s">
        <v>462</v>
      </c>
      <c r="G105" s="226">
        <v>3.0</v>
      </c>
      <c r="H105" s="226">
        <v>3.0</v>
      </c>
      <c r="I105" s="226">
        <f>COUNTIFS('2_Data_Pelanggan'!$H:$H,$F105,'2_Data_Pelanggan'!$I:$I,$G105,'2_Data_Pelanggan'!$J:$J,$H105,'2_Data_Pelanggan'!$S:$S,"&gt;="&amp;DATE(2026,6,1),'2_Data_Pelanggan'!$S:$S,"&lt;"&amp;DATE(2026,7,1))</f>
        <v>0</v>
      </c>
      <c r="J105" s="226">
        <f>COUNTIFS('2_Data_Pelanggan'!$H:$H,$F105,'2_Data_Pelanggan'!$I:$I,$G105,'2_Data_Pelanggan'!$J:$J,$H105,'2_Data_Pelanggan'!$S:$S,"&gt;="&amp;DATE(2026,7,1),'2_Data_Pelanggan'!$S:$S,"&lt;"&amp;DATE(2026,8,1))</f>
        <v>0</v>
      </c>
      <c r="K105" s="226">
        <f>COUNTIFS('2_Data_Pelanggan'!$H:$H,$F105,'2_Data_Pelanggan'!$I:$I,$G105,'2_Data_Pelanggan'!$J:$J,$H105,'2_Data_Pelanggan'!$S:$S,"&gt;="&amp;DATE(2026,8,1),'2_Data_Pelanggan'!$S:$S,"&lt;"&amp;DATE(2026,9,1))</f>
        <v>0</v>
      </c>
      <c r="L105" s="230">
        <f>COUNTIFS('2_Data_Pelanggan'!$H:$H,$F105,'2_Data_Pelanggan'!$I:$I,$G105,'2_Data_Pelanggan'!$J:$J,$H105,'2_Data_Pelanggan'!$S:$S,"&gt;="&amp;DATE(2026,9,1),'2_Data_Pelanggan'!$S:$S,"&lt;"&amp;DATE(2026,10,1))</f>
        <v>0</v>
      </c>
      <c r="M105" s="230">
        <f>COUNTIFS('2_Data_Pelanggan'!$H:$H,$F105,'2_Data_Pelanggan'!$I:$I,$G105,'2_Data_Pelanggan'!$J:$J,$H105,'2_Data_Pelanggan'!$S:$S,"&gt;="&amp;DATE(2026,10,1),'2_Data_Pelanggan'!$S:$S,"&lt;"&amp;DATE(2026,11,1))</f>
        <v>0</v>
      </c>
      <c r="N105" s="230">
        <f>COUNTIFS('2_Data_Pelanggan'!$H:$H,$F105,'2_Data_Pelanggan'!$I:$I,$G105,'2_Data_Pelanggan'!$J:$J,$H105,'2_Data_Pelanggan'!$S:$S,"&gt;="&amp;DATE(2026,11,1),'2_Data_Pelanggan'!$S:$S,"&lt;"&amp;DATE(2026,12,1))</f>
        <v>0</v>
      </c>
      <c r="O105" s="230">
        <f>COUNTIFS('2_Data_Pelanggan'!$H:$H,$F105,'2_Data_Pelanggan'!$I:$I,$G105,'2_Data_Pelanggan'!$J:$J,$H105,'2_Data_Pelanggan'!$S:$S,"&gt;="&amp;DATE(2026,12,1),'2_Data_Pelanggan'!$S:$S,"&lt;"&amp;DATE(2026,1,1))</f>
        <v>0</v>
      </c>
      <c r="P105" s="230">
        <f t="shared" si="1"/>
        <v>0</v>
      </c>
      <c r="Q105" s="230">
        <f t="shared" ref="Q105:V105" si="106">3000*J105</f>
        <v>0</v>
      </c>
      <c r="R105" s="230">
        <f t="shared" si="106"/>
        <v>0</v>
      </c>
      <c r="S105" s="230">
        <f t="shared" si="106"/>
        <v>0</v>
      </c>
      <c r="T105" s="230">
        <f t="shared" si="106"/>
        <v>0</v>
      </c>
      <c r="U105" s="230">
        <f t="shared" si="106"/>
        <v>0</v>
      </c>
      <c r="V105" s="230">
        <f t="shared" si="106"/>
        <v>0</v>
      </c>
      <c r="W105" s="230">
        <f t="shared" si="3"/>
        <v>0</v>
      </c>
      <c r="X105" s="204">
        <f t="shared" si="4"/>
        <v>0</v>
      </c>
      <c r="Y105" s="205">
        <f t="shared" si="5"/>
        <v>0</v>
      </c>
      <c r="Z105" s="86" t="s">
        <v>1790</v>
      </c>
      <c r="AA105" s="110"/>
      <c r="AB105" s="47"/>
      <c r="AC105" s="47"/>
      <c r="AD105" s="47"/>
      <c r="AE105" s="47"/>
      <c r="AF105" s="47"/>
    </row>
    <row r="106" ht="15.0" customHeight="1">
      <c r="A106" s="226">
        <v>106.0</v>
      </c>
      <c r="B106" s="227"/>
      <c r="C106" s="228" t="s">
        <v>1788</v>
      </c>
      <c r="D106" s="228" t="s">
        <v>1791</v>
      </c>
      <c r="E106" s="228" t="s">
        <v>1792</v>
      </c>
      <c r="F106" s="229" t="s">
        <v>462</v>
      </c>
      <c r="G106" s="226">
        <v>4.0</v>
      </c>
      <c r="H106" s="226">
        <v>1.0</v>
      </c>
      <c r="I106" s="226">
        <f>COUNTIFS('2_Data_Pelanggan'!$H:$H,$F106,'2_Data_Pelanggan'!$I:$I,$G106,'2_Data_Pelanggan'!$J:$J,$H106,'2_Data_Pelanggan'!$S:$S,"&gt;="&amp;DATE(2026,6,1),'2_Data_Pelanggan'!$S:$S,"&lt;"&amp;DATE(2026,7,1))</f>
        <v>0</v>
      </c>
      <c r="J106" s="226">
        <f>COUNTIFS('2_Data_Pelanggan'!$H:$H,$F106,'2_Data_Pelanggan'!$I:$I,$G106,'2_Data_Pelanggan'!$J:$J,$H106,'2_Data_Pelanggan'!$S:$S,"&gt;="&amp;DATE(2026,7,1),'2_Data_Pelanggan'!$S:$S,"&lt;"&amp;DATE(2026,8,1))</f>
        <v>0</v>
      </c>
      <c r="K106" s="226">
        <f>COUNTIFS('2_Data_Pelanggan'!$H:$H,$F106,'2_Data_Pelanggan'!$I:$I,$G106,'2_Data_Pelanggan'!$J:$J,$H106,'2_Data_Pelanggan'!$S:$S,"&gt;="&amp;DATE(2026,8,1),'2_Data_Pelanggan'!$S:$S,"&lt;"&amp;DATE(2026,9,1))</f>
        <v>0</v>
      </c>
      <c r="L106" s="230">
        <f>COUNTIFS('2_Data_Pelanggan'!$H:$H,$F106,'2_Data_Pelanggan'!$I:$I,$G106,'2_Data_Pelanggan'!$J:$J,$H106,'2_Data_Pelanggan'!$S:$S,"&gt;="&amp;DATE(2026,9,1),'2_Data_Pelanggan'!$S:$S,"&lt;"&amp;DATE(2026,10,1))</f>
        <v>0</v>
      </c>
      <c r="M106" s="230">
        <f>COUNTIFS('2_Data_Pelanggan'!$H:$H,$F106,'2_Data_Pelanggan'!$I:$I,$G106,'2_Data_Pelanggan'!$J:$J,$H106,'2_Data_Pelanggan'!$S:$S,"&gt;="&amp;DATE(2026,10,1),'2_Data_Pelanggan'!$S:$S,"&lt;"&amp;DATE(2026,11,1))</f>
        <v>0</v>
      </c>
      <c r="N106" s="230">
        <f>COUNTIFS('2_Data_Pelanggan'!$H:$H,$F106,'2_Data_Pelanggan'!$I:$I,$G106,'2_Data_Pelanggan'!$J:$J,$H106,'2_Data_Pelanggan'!$S:$S,"&gt;="&amp;DATE(2026,11,1),'2_Data_Pelanggan'!$S:$S,"&lt;"&amp;DATE(2026,12,1))</f>
        <v>0</v>
      </c>
      <c r="O106" s="230">
        <f>COUNTIFS('2_Data_Pelanggan'!$H:$H,$F106,'2_Data_Pelanggan'!$I:$I,$G106,'2_Data_Pelanggan'!$J:$J,$H106,'2_Data_Pelanggan'!$S:$S,"&gt;="&amp;DATE(2026,12,1),'2_Data_Pelanggan'!$S:$S,"&lt;"&amp;DATE(2026,1,1))</f>
        <v>0</v>
      </c>
      <c r="P106" s="230">
        <f t="shared" si="1"/>
        <v>0</v>
      </c>
      <c r="Q106" s="230">
        <f t="shared" ref="Q106:V106" si="107">3000*J106</f>
        <v>0</v>
      </c>
      <c r="R106" s="230">
        <f t="shared" si="107"/>
        <v>0</v>
      </c>
      <c r="S106" s="230">
        <f t="shared" si="107"/>
        <v>0</v>
      </c>
      <c r="T106" s="230">
        <f t="shared" si="107"/>
        <v>0</v>
      </c>
      <c r="U106" s="230">
        <f t="shared" si="107"/>
        <v>0</v>
      </c>
      <c r="V106" s="230">
        <f t="shared" si="107"/>
        <v>0</v>
      </c>
      <c r="W106" s="230">
        <f t="shared" si="3"/>
        <v>0</v>
      </c>
      <c r="X106" s="204">
        <f t="shared" si="4"/>
        <v>0</v>
      </c>
      <c r="Y106" s="205">
        <f t="shared" si="5"/>
        <v>0</v>
      </c>
      <c r="Z106" s="86" t="s">
        <v>1790</v>
      </c>
      <c r="AA106" s="110"/>
      <c r="AB106" s="47"/>
      <c r="AC106" s="47"/>
      <c r="AD106" s="47"/>
      <c r="AE106" s="47"/>
      <c r="AF106" s="47"/>
    </row>
    <row r="107" ht="15.0" customHeight="1">
      <c r="A107" s="231">
        <v>107.0</v>
      </c>
      <c r="B107" s="232"/>
      <c r="C107" s="233" t="s">
        <v>1788</v>
      </c>
      <c r="D107" s="233" t="s">
        <v>1791</v>
      </c>
      <c r="E107" s="233" t="s">
        <v>1792</v>
      </c>
      <c r="F107" s="234" t="s">
        <v>1104</v>
      </c>
      <c r="G107" s="231">
        <v>4.0</v>
      </c>
      <c r="H107" s="231">
        <v>1.0</v>
      </c>
      <c r="I107" s="231">
        <f>COUNTIFS('2_Data_Pelanggan'!$H:$H,$F107,'2_Data_Pelanggan'!$I:$I,$G107,'2_Data_Pelanggan'!$J:$J,$H107,'2_Data_Pelanggan'!$S:$S,"&gt;="&amp;DATE(2026,6,1),'2_Data_Pelanggan'!$S:$S,"&lt;"&amp;DATE(2026,7,1))</f>
        <v>1</v>
      </c>
      <c r="J107" s="231">
        <f>COUNTIFS('2_Data_Pelanggan'!$H:$H,$F107,'2_Data_Pelanggan'!$I:$I,$G107,'2_Data_Pelanggan'!$J:$J,$H107,'2_Data_Pelanggan'!$S:$S,"&gt;="&amp;DATE(2026,7,1),'2_Data_Pelanggan'!$S:$S,"&lt;"&amp;DATE(2026,8,1))</f>
        <v>0</v>
      </c>
      <c r="K107" s="231">
        <f>COUNTIFS('2_Data_Pelanggan'!$H:$H,$F107,'2_Data_Pelanggan'!$I:$I,$G107,'2_Data_Pelanggan'!$J:$J,$H107,'2_Data_Pelanggan'!$S:$S,"&gt;="&amp;DATE(2026,8,1),'2_Data_Pelanggan'!$S:$S,"&lt;"&amp;DATE(2026,9,1))</f>
        <v>0</v>
      </c>
      <c r="L107" s="235">
        <f>COUNTIFS('2_Data_Pelanggan'!$H:$H,$F107,'2_Data_Pelanggan'!$I:$I,$G107,'2_Data_Pelanggan'!$J:$J,$H107,'2_Data_Pelanggan'!$S:$S,"&gt;="&amp;DATE(2026,9,1),'2_Data_Pelanggan'!$S:$S,"&lt;"&amp;DATE(2026,10,1))</f>
        <v>0</v>
      </c>
      <c r="M107" s="235">
        <f>COUNTIFS('2_Data_Pelanggan'!$H:$H,$F107,'2_Data_Pelanggan'!$I:$I,$G107,'2_Data_Pelanggan'!$J:$J,$H107,'2_Data_Pelanggan'!$S:$S,"&gt;="&amp;DATE(2026,10,1),'2_Data_Pelanggan'!$S:$S,"&lt;"&amp;DATE(2026,11,1))</f>
        <v>0</v>
      </c>
      <c r="N107" s="235">
        <f>COUNTIFS('2_Data_Pelanggan'!$H:$H,$F107,'2_Data_Pelanggan'!$I:$I,$G107,'2_Data_Pelanggan'!$J:$J,$H107,'2_Data_Pelanggan'!$S:$S,"&gt;="&amp;DATE(2026,11,1),'2_Data_Pelanggan'!$S:$S,"&lt;"&amp;DATE(2026,12,1))</f>
        <v>0</v>
      </c>
      <c r="O107" s="235">
        <f>COUNTIFS('2_Data_Pelanggan'!$H:$H,$F107,'2_Data_Pelanggan'!$I:$I,$G107,'2_Data_Pelanggan'!$J:$J,$H107,'2_Data_Pelanggan'!$S:$S,"&gt;="&amp;DATE(2026,12,1),'2_Data_Pelanggan'!$S:$S,"&lt;"&amp;DATE(2026,1,1))</f>
        <v>0</v>
      </c>
      <c r="P107" s="235">
        <f t="shared" si="1"/>
        <v>3000</v>
      </c>
      <c r="Q107" s="235">
        <f t="shared" ref="Q107:V107" si="108">3000*J107</f>
        <v>0</v>
      </c>
      <c r="R107" s="235">
        <f t="shared" si="108"/>
        <v>0</v>
      </c>
      <c r="S107" s="235">
        <f t="shared" si="108"/>
        <v>0</v>
      </c>
      <c r="T107" s="235">
        <f t="shared" si="108"/>
        <v>0</v>
      </c>
      <c r="U107" s="235">
        <f t="shared" si="108"/>
        <v>0</v>
      </c>
      <c r="V107" s="235">
        <f t="shared" si="108"/>
        <v>0</v>
      </c>
      <c r="W107" s="235">
        <f t="shared" si="3"/>
        <v>3000</v>
      </c>
      <c r="X107" s="204">
        <f t="shared" si="4"/>
        <v>1000</v>
      </c>
      <c r="Y107" s="205">
        <f t="shared" si="5"/>
        <v>2000</v>
      </c>
      <c r="Z107" s="86" t="s">
        <v>1790</v>
      </c>
      <c r="AA107" s="110"/>
      <c r="AB107" s="47"/>
      <c r="AC107" s="47"/>
      <c r="AD107" s="47"/>
      <c r="AE107" s="47"/>
      <c r="AF107" s="47"/>
    </row>
    <row r="108" ht="15.0" customHeight="1">
      <c r="A108" s="236">
        <v>92.0</v>
      </c>
      <c r="B108" s="83"/>
      <c r="C108" s="237" t="s">
        <v>1788</v>
      </c>
      <c r="D108" s="237" t="s">
        <v>1791</v>
      </c>
      <c r="E108" s="237" t="s">
        <v>1792</v>
      </c>
      <c r="F108" s="238" t="s">
        <v>1793</v>
      </c>
      <c r="G108" s="236">
        <v>9.0</v>
      </c>
      <c r="H108" s="236">
        <v>7.0</v>
      </c>
      <c r="I108" s="239">
        <f>COUNTIFS('2_Data_Pelanggan'!$H:$H,$F108,'2_Data_Pelanggan'!$I:$I,$G108,'2_Data_Pelanggan'!$J:$J,$H108,'2_Data_Pelanggan'!$S:$S,"&gt;="&amp;DATE(2026,6,1),'2_Data_Pelanggan'!$S:$S,"&lt;"&amp;DATE(2026,7,1))</f>
        <v>0</v>
      </c>
      <c r="J108" s="239">
        <f>COUNTIFS('2_Data_Pelanggan'!$H:$H,$F108,'2_Data_Pelanggan'!$I:$I,$G108,'2_Data_Pelanggan'!$J:$J,$H108,'2_Data_Pelanggan'!$S:$S,"&gt;="&amp;DATE(2026,7,1),'2_Data_Pelanggan'!$S:$S,"&lt;"&amp;DATE(2026,8,1))</f>
        <v>0</v>
      </c>
      <c r="K108" s="239">
        <f>COUNTIFS('2_Data_Pelanggan'!$H:$H,$F108,'2_Data_Pelanggan'!$I:$I,$G108,'2_Data_Pelanggan'!$J:$J,$H108,'2_Data_Pelanggan'!$S:$S,"&gt;="&amp;DATE(2026,8,1),'2_Data_Pelanggan'!$S:$S,"&lt;"&amp;DATE(2026,9,1))</f>
        <v>0</v>
      </c>
      <c r="L108" s="240">
        <f>COUNTIFS('2_Data_Pelanggan'!$H:$H,$F108,'2_Data_Pelanggan'!$I:$I,$G108,'2_Data_Pelanggan'!$J:$J,$H108,'2_Data_Pelanggan'!$S:$S,"&gt;="&amp;DATE(2026,9,1),'2_Data_Pelanggan'!$S:$S,"&lt;"&amp;DATE(2026,10,1))</f>
        <v>0</v>
      </c>
      <c r="M108" s="240">
        <f>COUNTIFS('2_Data_Pelanggan'!$H:$H,$F108,'2_Data_Pelanggan'!$I:$I,$G108,'2_Data_Pelanggan'!$J:$J,$H108,'2_Data_Pelanggan'!$S:$S,"&gt;="&amp;DATE(2026,10,1),'2_Data_Pelanggan'!$S:$S,"&lt;"&amp;DATE(2026,11,1))</f>
        <v>0</v>
      </c>
      <c r="N108" s="240">
        <f>COUNTIFS('2_Data_Pelanggan'!$H:$H,$F108,'2_Data_Pelanggan'!$I:$I,$G108,'2_Data_Pelanggan'!$J:$J,$H108,'2_Data_Pelanggan'!$S:$S,"&gt;="&amp;DATE(2026,11,1),'2_Data_Pelanggan'!$S:$S,"&lt;"&amp;DATE(2026,12,1))</f>
        <v>0</v>
      </c>
      <c r="O108" s="240">
        <f>COUNTIFS('2_Data_Pelanggan'!$H:$H,$F108,'2_Data_Pelanggan'!$I:$I,$G108,'2_Data_Pelanggan'!$J:$J,$H108,'2_Data_Pelanggan'!$S:$S,"&gt;="&amp;DATE(2026,12,1),'2_Data_Pelanggan'!$S:$S,"&lt;"&amp;DATE(2026,1,1))</f>
        <v>0</v>
      </c>
      <c r="P108" s="240">
        <f t="shared" si="1"/>
        <v>0</v>
      </c>
      <c r="Q108" s="240">
        <f t="shared" ref="Q108:V108" si="109">3000*J108</f>
        <v>0</v>
      </c>
      <c r="R108" s="240">
        <f t="shared" si="109"/>
        <v>0</v>
      </c>
      <c r="S108" s="240">
        <f t="shared" si="109"/>
        <v>0</v>
      </c>
      <c r="T108" s="240">
        <f t="shared" si="109"/>
        <v>0</v>
      </c>
      <c r="U108" s="240">
        <f t="shared" si="109"/>
        <v>0</v>
      </c>
      <c r="V108" s="240">
        <f t="shared" si="109"/>
        <v>0</v>
      </c>
      <c r="W108" s="241">
        <f t="shared" si="3"/>
        <v>0</v>
      </c>
      <c r="X108" s="242">
        <f t="shared" si="4"/>
        <v>0</v>
      </c>
      <c r="Y108" s="243">
        <f t="shared" si="5"/>
        <v>0</v>
      </c>
      <c r="Z108" s="86" t="s">
        <v>1790</v>
      </c>
      <c r="AA108" s="110"/>
      <c r="AB108" s="47"/>
      <c r="AC108" s="47"/>
      <c r="AD108" s="47"/>
      <c r="AE108" s="47"/>
      <c r="AF108" s="47"/>
    </row>
    <row r="109" ht="15.0" customHeight="1">
      <c r="A109" s="119">
        <v>107.0</v>
      </c>
      <c r="B109" s="79"/>
      <c r="C109" s="218"/>
      <c r="D109" s="228"/>
      <c r="E109" s="213"/>
      <c r="F109" s="244"/>
      <c r="G109" s="231"/>
      <c r="H109" s="221"/>
      <c r="I109" s="74"/>
      <c r="J109" s="74"/>
      <c r="K109" s="74"/>
      <c r="L109" s="245">
        <f t="shared" ref="L109:N109" si="110">3000*I109</f>
        <v>0</v>
      </c>
      <c r="M109" s="246">
        <f t="shared" si="110"/>
        <v>0</v>
      </c>
      <c r="N109" s="246">
        <f t="shared" si="110"/>
        <v>0</v>
      </c>
      <c r="O109" s="247">
        <f t="shared" ref="O109:O141" si="112">SUM(L109:N109)</f>
        <v>0</v>
      </c>
      <c r="P109" s="47"/>
      <c r="Q109" s="47"/>
      <c r="R109" s="47"/>
      <c r="S109" s="47"/>
      <c r="T109" s="47"/>
      <c r="U109" s="47"/>
      <c r="V109" s="47"/>
      <c r="W109" s="47"/>
      <c r="X109" s="204">
        <f t="shared" si="4"/>
        <v>0</v>
      </c>
      <c r="Y109" s="205">
        <f t="shared" si="5"/>
        <v>0</v>
      </c>
      <c r="Z109" s="86" t="s">
        <v>1790</v>
      </c>
      <c r="AA109" s="110"/>
      <c r="AB109" s="47"/>
      <c r="AC109" s="47"/>
      <c r="AD109" s="47"/>
      <c r="AE109" s="47"/>
      <c r="AF109" s="47"/>
    </row>
    <row r="110" ht="15.0" customHeight="1">
      <c r="A110" s="73">
        <v>108.0</v>
      </c>
      <c r="B110" s="83"/>
      <c r="C110" s="218"/>
      <c r="D110" s="228"/>
      <c r="E110" s="213"/>
      <c r="F110" s="244"/>
      <c r="G110" s="231"/>
      <c r="H110" s="221"/>
      <c r="I110" s="80"/>
      <c r="J110" s="80"/>
      <c r="K110" s="80"/>
      <c r="L110" s="248">
        <f t="shared" ref="L110:N110" si="111">3000*I110</f>
        <v>0</v>
      </c>
      <c r="M110" s="246">
        <f t="shared" si="111"/>
        <v>0</v>
      </c>
      <c r="N110" s="246">
        <f t="shared" si="111"/>
        <v>0</v>
      </c>
      <c r="O110" s="247">
        <f t="shared" si="112"/>
        <v>0</v>
      </c>
      <c r="P110" s="47"/>
      <c r="Q110" s="47"/>
      <c r="R110" s="47"/>
      <c r="S110" s="47"/>
      <c r="T110" s="47"/>
      <c r="U110" s="47"/>
      <c r="V110" s="47"/>
      <c r="W110" s="47"/>
      <c r="X110" s="204">
        <f t="shared" si="4"/>
        <v>0</v>
      </c>
      <c r="Y110" s="205">
        <f t="shared" si="5"/>
        <v>0</v>
      </c>
      <c r="Z110" s="86" t="s">
        <v>1790</v>
      </c>
      <c r="AA110" s="110"/>
      <c r="AB110" s="47"/>
      <c r="AC110" s="47"/>
      <c r="AD110" s="47"/>
      <c r="AE110" s="47"/>
      <c r="AF110" s="47"/>
    </row>
    <row r="111" ht="15.0" customHeight="1">
      <c r="A111" s="119">
        <v>109.0</v>
      </c>
      <c r="B111" s="79"/>
      <c r="C111" s="218"/>
      <c r="D111" s="228"/>
      <c r="E111" s="213"/>
      <c r="F111" s="244"/>
      <c r="G111" s="231"/>
      <c r="H111" s="221"/>
      <c r="I111" s="74"/>
      <c r="J111" s="74"/>
      <c r="K111" s="74"/>
      <c r="L111" s="245">
        <f t="shared" ref="L111:N111" si="113">3000*I111</f>
        <v>0</v>
      </c>
      <c r="M111" s="246">
        <f t="shared" si="113"/>
        <v>0</v>
      </c>
      <c r="N111" s="246">
        <f t="shared" si="113"/>
        <v>0</v>
      </c>
      <c r="O111" s="247">
        <f t="shared" si="112"/>
        <v>0</v>
      </c>
      <c r="P111" s="47"/>
      <c r="Q111" s="47"/>
      <c r="R111" s="47"/>
      <c r="S111" s="47"/>
      <c r="T111" s="47"/>
      <c r="U111" s="47"/>
      <c r="V111" s="47"/>
      <c r="W111" s="47"/>
      <c r="X111" s="204">
        <f t="shared" si="4"/>
        <v>0</v>
      </c>
      <c r="Y111" s="205">
        <f t="shared" si="5"/>
        <v>0</v>
      </c>
      <c r="Z111" s="86" t="s">
        <v>1790</v>
      </c>
      <c r="AA111" s="110"/>
      <c r="AB111" s="47"/>
      <c r="AC111" s="47"/>
      <c r="AD111" s="47"/>
      <c r="AE111" s="47"/>
      <c r="AF111" s="47"/>
    </row>
    <row r="112" ht="15.0" customHeight="1">
      <c r="A112" s="73">
        <v>110.0</v>
      </c>
      <c r="B112" s="83"/>
      <c r="C112" s="218"/>
      <c r="D112" s="228"/>
      <c r="E112" s="213"/>
      <c r="F112" s="244"/>
      <c r="G112" s="231"/>
      <c r="H112" s="221"/>
      <c r="I112" s="80"/>
      <c r="J112" s="80"/>
      <c r="K112" s="80"/>
      <c r="L112" s="248">
        <f t="shared" ref="L112:N112" si="114">3000*I112</f>
        <v>0</v>
      </c>
      <c r="M112" s="246">
        <f t="shared" si="114"/>
        <v>0</v>
      </c>
      <c r="N112" s="246">
        <f t="shared" si="114"/>
        <v>0</v>
      </c>
      <c r="O112" s="247">
        <f t="shared" si="112"/>
        <v>0</v>
      </c>
      <c r="P112" s="47"/>
      <c r="Q112" s="47"/>
      <c r="R112" s="47"/>
      <c r="S112" s="47"/>
      <c r="T112" s="47"/>
      <c r="U112" s="47"/>
      <c r="V112" s="47"/>
      <c r="W112" s="47"/>
      <c r="X112" s="204">
        <f t="shared" si="4"/>
        <v>0</v>
      </c>
      <c r="Y112" s="205">
        <f t="shared" si="5"/>
        <v>0</v>
      </c>
      <c r="Z112" s="86" t="s">
        <v>1790</v>
      </c>
      <c r="AA112" s="110"/>
      <c r="AB112" s="47"/>
      <c r="AC112" s="47"/>
      <c r="AD112" s="47"/>
      <c r="AE112" s="47"/>
      <c r="AF112" s="47"/>
    </row>
    <row r="113" ht="15.0" customHeight="1">
      <c r="A113" s="119">
        <v>111.0</v>
      </c>
      <c r="B113" s="79"/>
      <c r="C113" s="218"/>
      <c r="D113" s="228"/>
      <c r="E113" s="213"/>
      <c r="F113" s="244"/>
      <c r="G113" s="231"/>
      <c r="H113" s="221"/>
      <c r="I113" s="74"/>
      <c r="J113" s="74"/>
      <c r="K113" s="74"/>
      <c r="L113" s="245">
        <f t="shared" ref="L113:N113" si="115">3000*I113</f>
        <v>0</v>
      </c>
      <c r="M113" s="246">
        <f t="shared" si="115"/>
        <v>0</v>
      </c>
      <c r="N113" s="246">
        <f t="shared" si="115"/>
        <v>0</v>
      </c>
      <c r="O113" s="247">
        <f t="shared" si="112"/>
        <v>0</v>
      </c>
      <c r="P113" s="47"/>
      <c r="Q113" s="47"/>
      <c r="R113" s="47"/>
      <c r="S113" s="47"/>
      <c r="T113" s="47"/>
      <c r="U113" s="47"/>
      <c r="V113" s="47"/>
      <c r="W113" s="47"/>
      <c r="X113" s="204">
        <f t="shared" si="4"/>
        <v>0</v>
      </c>
      <c r="Y113" s="205">
        <f t="shared" si="5"/>
        <v>0</v>
      </c>
      <c r="Z113" s="86" t="s">
        <v>1790</v>
      </c>
      <c r="AA113" s="110"/>
      <c r="AB113" s="47"/>
      <c r="AC113" s="47"/>
      <c r="AD113" s="47"/>
      <c r="AE113" s="47"/>
      <c r="AF113" s="47"/>
    </row>
    <row r="114" ht="15.0" customHeight="1">
      <c r="A114" s="73">
        <v>112.0</v>
      </c>
      <c r="B114" s="83"/>
      <c r="C114" s="218"/>
      <c r="D114" s="228"/>
      <c r="E114" s="213"/>
      <c r="F114" s="244"/>
      <c r="G114" s="231"/>
      <c r="H114" s="221"/>
      <c r="I114" s="80"/>
      <c r="J114" s="80"/>
      <c r="K114" s="80"/>
      <c r="L114" s="248">
        <f t="shared" ref="L114:N114" si="116">3000*I114</f>
        <v>0</v>
      </c>
      <c r="M114" s="246">
        <f t="shared" si="116"/>
        <v>0</v>
      </c>
      <c r="N114" s="246">
        <f t="shared" si="116"/>
        <v>0</v>
      </c>
      <c r="O114" s="247">
        <f t="shared" si="112"/>
        <v>0</v>
      </c>
      <c r="P114" s="47"/>
      <c r="Q114" s="47"/>
      <c r="R114" s="47"/>
      <c r="S114" s="47"/>
      <c r="T114" s="47"/>
      <c r="U114" s="47"/>
      <c r="V114" s="47"/>
      <c r="W114" s="47"/>
      <c r="X114" s="204">
        <f t="shared" si="4"/>
        <v>0</v>
      </c>
      <c r="Y114" s="205">
        <f t="shared" si="5"/>
        <v>0</v>
      </c>
      <c r="Z114" s="86" t="s">
        <v>1790</v>
      </c>
      <c r="AA114" s="110"/>
      <c r="AB114" s="47"/>
      <c r="AC114" s="47"/>
      <c r="AD114" s="47"/>
      <c r="AE114" s="47"/>
      <c r="AF114" s="47"/>
    </row>
    <row r="115" ht="15.0" customHeight="1">
      <c r="A115" s="119">
        <v>113.0</v>
      </c>
      <c r="B115" s="79"/>
      <c r="C115" s="218"/>
      <c r="D115" s="228"/>
      <c r="E115" s="213"/>
      <c r="F115" s="244"/>
      <c r="G115" s="231"/>
      <c r="H115" s="221"/>
      <c r="I115" s="74"/>
      <c r="J115" s="74"/>
      <c r="K115" s="74"/>
      <c r="L115" s="245">
        <f t="shared" ref="L115:N115" si="117">3000*I115</f>
        <v>0</v>
      </c>
      <c r="M115" s="246">
        <f t="shared" si="117"/>
        <v>0</v>
      </c>
      <c r="N115" s="246">
        <f t="shared" si="117"/>
        <v>0</v>
      </c>
      <c r="O115" s="247">
        <f t="shared" si="112"/>
        <v>0</v>
      </c>
      <c r="P115" s="47"/>
      <c r="Q115" s="47"/>
      <c r="R115" s="47"/>
      <c r="S115" s="47"/>
      <c r="T115" s="47"/>
      <c r="U115" s="47"/>
      <c r="V115" s="47"/>
      <c r="W115" s="47"/>
      <c r="X115" s="204">
        <f t="shared" si="4"/>
        <v>0</v>
      </c>
      <c r="Y115" s="205">
        <f t="shared" si="5"/>
        <v>0</v>
      </c>
      <c r="Z115" s="86" t="s">
        <v>1790</v>
      </c>
      <c r="AA115" s="110"/>
      <c r="AB115" s="47"/>
      <c r="AC115" s="47"/>
      <c r="AD115" s="47"/>
      <c r="AE115" s="47"/>
      <c r="AF115" s="47"/>
    </row>
    <row r="116" ht="15.0" customHeight="1">
      <c r="A116" s="73">
        <v>114.0</v>
      </c>
      <c r="B116" s="83"/>
      <c r="C116" s="218"/>
      <c r="D116" s="228"/>
      <c r="E116" s="213"/>
      <c r="F116" s="244"/>
      <c r="G116" s="231"/>
      <c r="H116" s="221"/>
      <c r="I116" s="80"/>
      <c r="J116" s="80"/>
      <c r="K116" s="80"/>
      <c r="L116" s="248">
        <f t="shared" ref="L116:N116" si="118">3000*I116</f>
        <v>0</v>
      </c>
      <c r="M116" s="246">
        <f t="shared" si="118"/>
        <v>0</v>
      </c>
      <c r="N116" s="246">
        <f t="shared" si="118"/>
        <v>0</v>
      </c>
      <c r="O116" s="247">
        <f t="shared" si="112"/>
        <v>0</v>
      </c>
      <c r="P116" s="47"/>
      <c r="Q116" s="47"/>
      <c r="R116" s="47"/>
      <c r="S116" s="47"/>
      <c r="T116" s="47"/>
      <c r="U116" s="47"/>
      <c r="V116" s="47"/>
      <c r="W116" s="47"/>
      <c r="X116" s="204">
        <f t="shared" si="4"/>
        <v>0</v>
      </c>
      <c r="Y116" s="205">
        <f t="shared" si="5"/>
        <v>0</v>
      </c>
      <c r="Z116" s="86" t="s">
        <v>1790</v>
      </c>
      <c r="AA116" s="110"/>
      <c r="AB116" s="47"/>
      <c r="AC116" s="47"/>
      <c r="AD116" s="47"/>
      <c r="AE116" s="47"/>
      <c r="AF116" s="47"/>
    </row>
    <row r="117" ht="15.0" customHeight="1">
      <c r="A117" s="119">
        <v>115.0</v>
      </c>
      <c r="B117" s="79"/>
      <c r="C117" s="218"/>
      <c r="D117" s="228"/>
      <c r="E117" s="213"/>
      <c r="F117" s="244"/>
      <c r="G117" s="231"/>
      <c r="H117" s="221"/>
      <c r="I117" s="74"/>
      <c r="J117" s="74"/>
      <c r="K117" s="74"/>
      <c r="L117" s="245">
        <f t="shared" ref="L117:N117" si="119">3000*I117</f>
        <v>0</v>
      </c>
      <c r="M117" s="246">
        <f t="shared" si="119"/>
        <v>0</v>
      </c>
      <c r="N117" s="246">
        <f t="shared" si="119"/>
        <v>0</v>
      </c>
      <c r="O117" s="247">
        <f t="shared" si="112"/>
        <v>0</v>
      </c>
      <c r="P117" s="47"/>
      <c r="Q117" s="47"/>
      <c r="R117" s="47"/>
      <c r="S117" s="47"/>
      <c r="T117" s="47"/>
      <c r="U117" s="47"/>
      <c r="V117" s="47"/>
      <c r="W117" s="47"/>
      <c r="X117" s="204">
        <f t="shared" si="4"/>
        <v>0</v>
      </c>
      <c r="Y117" s="205">
        <f t="shared" si="5"/>
        <v>0</v>
      </c>
      <c r="Z117" s="86" t="s">
        <v>1790</v>
      </c>
      <c r="AA117" s="110"/>
      <c r="AB117" s="47"/>
      <c r="AC117" s="47"/>
      <c r="AD117" s="47"/>
      <c r="AE117" s="47"/>
      <c r="AF117" s="47"/>
    </row>
    <row r="118" ht="15.0" customHeight="1">
      <c r="A118" s="73">
        <v>116.0</v>
      </c>
      <c r="B118" s="83"/>
      <c r="C118" s="218"/>
      <c r="D118" s="228"/>
      <c r="E118" s="213"/>
      <c r="F118" s="244"/>
      <c r="G118" s="231"/>
      <c r="H118" s="221"/>
      <c r="I118" s="80"/>
      <c r="J118" s="80"/>
      <c r="K118" s="80"/>
      <c r="L118" s="248">
        <f t="shared" ref="L118:N118" si="120">3000*I118</f>
        <v>0</v>
      </c>
      <c r="M118" s="246">
        <f t="shared" si="120"/>
        <v>0</v>
      </c>
      <c r="N118" s="246">
        <f t="shared" si="120"/>
        <v>0</v>
      </c>
      <c r="O118" s="247">
        <f t="shared" si="112"/>
        <v>0</v>
      </c>
      <c r="P118" s="47"/>
      <c r="Q118" s="47"/>
      <c r="R118" s="47"/>
      <c r="S118" s="47"/>
      <c r="T118" s="47"/>
      <c r="U118" s="47"/>
      <c r="V118" s="47"/>
      <c r="W118" s="47"/>
      <c r="X118" s="204">
        <f t="shared" si="4"/>
        <v>0</v>
      </c>
      <c r="Y118" s="205">
        <f t="shared" si="5"/>
        <v>0</v>
      </c>
      <c r="Z118" s="86" t="s">
        <v>1790</v>
      </c>
      <c r="AA118" s="110"/>
      <c r="AB118" s="47"/>
      <c r="AC118" s="47"/>
      <c r="AD118" s="47"/>
      <c r="AE118" s="47"/>
      <c r="AF118" s="47"/>
    </row>
    <row r="119" ht="15.0" customHeight="1">
      <c r="A119" s="119">
        <v>117.0</v>
      </c>
      <c r="B119" s="79"/>
      <c r="C119" s="218"/>
      <c r="D119" s="228"/>
      <c r="E119" s="213"/>
      <c r="F119" s="244"/>
      <c r="G119" s="231"/>
      <c r="H119" s="221"/>
      <c r="I119" s="74"/>
      <c r="J119" s="74"/>
      <c r="K119" s="74"/>
      <c r="L119" s="245">
        <f t="shared" ref="L119:N119" si="121">3000*I119</f>
        <v>0</v>
      </c>
      <c r="M119" s="246">
        <f t="shared" si="121"/>
        <v>0</v>
      </c>
      <c r="N119" s="246">
        <f t="shared" si="121"/>
        <v>0</v>
      </c>
      <c r="O119" s="247">
        <f t="shared" si="112"/>
        <v>0</v>
      </c>
      <c r="P119" s="47"/>
      <c r="Q119" s="47"/>
      <c r="R119" s="47"/>
      <c r="S119" s="47"/>
      <c r="T119" s="47"/>
      <c r="U119" s="47"/>
      <c r="V119" s="47"/>
      <c r="W119" s="47"/>
      <c r="X119" s="204">
        <f t="shared" si="4"/>
        <v>0</v>
      </c>
      <c r="Y119" s="205">
        <f t="shared" si="5"/>
        <v>0</v>
      </c>
      <c r="Z119" s="86" t="s">
        <v>1790</v>
      </c>
      <c r="AA119" s="110"/>
      <c r="AB119" s="47"/>
      <c r="AC119" s="47"/>
      <c r="AD119" s="47"/>
      <c r="AE119" s="47"/>
      <c r="AF119" s="47"/>
    </row>
    <row r="120" ht="15.0" customHeight="1">
      <c r="A120" s="73">
        <v>118.0</v>
      </c>
      <c r="B120" s="83"/>
      <c r="C120" s="218"/>
      <c r="D120" s="228"/>
      <c r="E120" s="213"/>
      <c r="F120" s="244"/>
      <c r="G120" s="231"/>
      <c r="H120" s="221"/>
      <c r="I120" s="80"/>
      <c r="J120" s="80"/>
      <c r="K120" s="80"/>
      <c r="L120" s="248">
        <f t="shared" ref="L120:N120" si="122">3000*I120</f>
        <v>0</v>
      </c>
      <c r="M120" s="246">
        <f t="shared" si="122"/>
        <v>0</v>
      </c>
      <c r="N120" s="246">
        <f t="shared" si="122"/>
        <v>0</v>
      </c>
      <c r="O120" s="247">
        <f t="shared" si="112"/>
        <v>0</v>
      </c>
      <c r="P120" s="47"/>
      <c r="Q120" s="47"/>
      <c r="R120" s="47"/>
      <c r="S120" s="47"/>
      <c r="T120" s="47"/>
      <c r="U120" s="47"/>
      <c r="V120" s="47"/>
      <c r="W120" s="47"/>
      <c r="X120" s="204">
        <f t="shared" si="4"/>
        <v>0</v>
      </c>
      <c r="Y120" s="205">
        <f t="shared" si="5"/>
        <v>0</v>
      </c>
      <c r="Z120" s="86" t="s">
        <v>1790</v>
      </c>
      <c r="AA120" s="110"/>
      <c r="AB120" s="47"/>
      <c r="AC120" s="47"/>
      <c r="AD120" s="47"/>
      <c r="AE120" s="47"/>
      <c r="AF120" s="47"/>
    </row>
    <row r="121" ht="15.0" customHeight="1">
      <c r="A121" s="119">
        <v>119.0</v>
      </c>
      <c r="B121" s="79"/>
      <c r="C121" s="218"/>
      <c r="D121" s="228"/>
      <c r="E121" s="213"/>
      <c r="F121" s="244"/>
      <c r="G121" s="231"/>
      <c r="H121" s="221"/>
      <c r="I121" s="74"/>
      <c r="J121" s="74"/>
      <c r="K121" s="74"/>
      <c r="L121" s="245">
        <f t="shared" ref="L121:N121" si="123">3000*I121</f>
        <v>0</v>
      </c>
      <c r="M121" s="246">
        <f t="shared" si="123"/>
        <v>0</v>
      </c>
      <c r="N121" s="246">
        <f t="shared" si="123"/>
        <v>0</v>
      </c>
      <c r="O121" s="247">
        <f t="shared" si="112"/>
        <v>0</v>
      </c>
      <c r="P121" s="47"/>
      <c r="Q121" s="47"/>
      <c r="R121" s="47"/>
      <c r="S121" s="47"/>
      <c r="T121" s="47"/>
      <c r="U121" s="47"/>
      <c r="V121" s="47"/>
      <c r="W121" s="47"/>
      <c r="X121" s="204">
        <f t="shared" si="4"/>
        <v>0</v>
      </c>
      <c r="Y121" s="205">
        <f t="shared" si="5"/>
        <v>0</v>
      </c>
      <c r="Z121" s="86" t="s">
        <v>1790</v>
      </c>
      <c r="AA121" s="110"/>
      <c r="AB121" s="47"/>
      <c r="AC121" s="47"/>
      <c r="AD121" s="47"/>
      <c r="AE121" s="47"/>
      <c r="AF121" s="47"/>
    </row>
    <row r="122" ht="15.0" customHeight="1">
      <c r="A122" s="73">
        <v>120.0</v>
      </c>
      <c r="B122" s="83"/>
      <c r="C122" s="218"/>
      <c r="D122" s="228"/>
      <c r="E122" s="213"/>
      <c r="F122" s="244"/>
      <c r="G122" s="231"/>
      <c r="H122" s="221"/>
      <c r="I122" s="80"/>
      <c r="J122" s="80"/>
      <c r="K122" s="80"/>
      <c r="L122" s="248">
        <f t="shared" ref="L122:N122" si="124">3000*I122</f>
        <v>0</v>
      </c>
      <c r="M122" s="246">
        <f t="shared" si="124"/>
        <v>0</v>
      </c>
      <c r="N122" s="246">
        <f t="shared" si="124"/>
        <v>0</v>
      </c>
      <c r="O122" s="247">
        <f t="shared" si="112"/>
        <v>0</v>
      </c>
      <c r="P122" s="47"/>
      <c r="Q122" s="47"/>
      <c r="R122" s="47"/>
      <c r="S122" s="47"/>
      <c r="T122" s="47"/>
      <c r="U122" s="47"/>
      <c r="V122" s="47"/>
      <c r="W122" s="47"/>
      <c r="X122" s="204">
        <f t="shared" si="4"/>
        <v>0</v>
      </c>
      <c r="Y122" s="205">
        <f t="shared" si="5"/>
        <v>0</v>
      </c>
      <c r="Z122" s="86" t="s">
        <v>1790</v>
      </c>
      <c r="AA122" s="110"/>
      <c r="AB122" s="47"/>
      <c r="AC122" s="47"/>
      <c r="AD122" s="47"/>
      <c r="AE122" s="47"/>
      <c r="AF122" s="47"/>
    </row>
    <row r="123" ht="15.0" customHeight="1">
      <c r="A123" s="119">
        <v>121.0</v>
      </c>
      <c r="B123" s="79"/>
      <c r="C123" s="218"/>
      <c r="D123" s="228"/>
      <c r="E123" s="213"/>
      <c r="F123" s="244"/>
      <c r="G123" s="231"/>
      <c r="H123" s="221"/>
      <c r="I123" s="74"/>
      <c r="J123" s="74"/>
      <c r="K123" s="74"/>
      <c r="L123" s="245">
        <f t="shared" ref="L123:N123" si="125">3000*I123</f>
        <v>0</v>
      </c>
      <c r="M123" s="246">
        <f t="shared" si="125"/>
        <v>0</v>
      </c>
      <c r="N123" s="246">
        <f t="shared" si="125"/>
        <v>0</v>
      </c>
      <c r="O123" s="247">
        <f t="shared" si="112"/>
        <v>0</v>
      </c>
      <c r="P123" s="47"/>
      <c r="Q123" s="47"/>
      <c r="R123" s="47"/>
      <c r="S123" s="47"/>
      <c r="T123" s="47"/>
      <c r="U123" s="47"/>
      <c r="V123" s="47"/>
      <c r="W123" s="47"/>
      <c r="X123" s="204">
        <f t="shared" si="4"/>
        <v>0</v>
      </c>
      <c r="Y123" s="205">
        <f t="shared" si="5"/>
        <v>0</v>
      </c>
      <c r="Z123" s="86" t="s">
        <v>1790</v>
      </c>
      <c r="AA123" s="110"/>
      <c r="AB123" s="47"/>
      <c r="AC123" s="47"/>
      <c r="AD123" s="47"/>
      <c r="AE123" s="47"/>
      <c r="AF123" s="47"/>
    </row>
    <row r="124" ht="15.0" customHeight="1">
      <c r="A124" s="73">
        <v>122.0</v>
      </c>
      <c r="B124" s="83"/>
      <c r="C124" s="218"/>
      <c r="D124" s="228"/>
      <c r="E124" s="213"/>
      <c r="F124" s="244"/>
      <c r="G124" s="231"/>
      <c r="H124" s="221"/>
      <c r="I124" s="80"/>
      <c r="J124" s="80"/>
      <c r="K124" s="80"/>
      <c r="L124" s="248">
        <f t="shared" ref="L124:N124" si="126">3000*I124</f>
        <v>0</v>
      </c>
      <c r="M124" s="246">
        <f t="shared" si="126"/>
        <v>0</v>
      </c>
      <c r="N124" s="246">
        <f t="shared" si="126"/>
        <v>0</v>
      </c>
      <c r="O124" s="247">
        <f t="shared" si="112"/>
        <v>0</v>
      </c>
      <c r="P124" s="47"/>
      <c r="Q124" s="47"/>
      <c r="R124" s="47"/>
      <c r="S124" s="47"/>
      <c r="T124" s="47"/>
      <c r="U124" s="47"/>
      <c r="V124" s="47"/>
      <c r="W124" s="47"/>
      <c r="X124" s="204">
        <f t="shared" si="4"/>
        <v>0</v>
      </c>
      <c r="Y124" s="205">
        <f t="shared" si="5"/>
        <v>0</v>
      </c>
      <c r="Z124" s="86" t="s">
        <v>1790</v>
      </c>
      <c r="AA124" s="110"/>
      <c r="AB124" s="47"/>
      <c r="AC124" s="47"/>
      <c r="AD124" s="47"/>
      <c r="AE124" s="47"/>
      <c r="AF124" s="47"/>
    </row>
    <row r="125" ht="15.0" customHeight="1">
      <c r="A125" s="119">
        <v>123.0</v>
      </c>
      <c r="B125" s="79"/>
      <c r="C125" s="218"/>
      <c r="D125" s="228"/>
      <c r="E125" s="213"/>
      <c r="F125" s="244"/>
      <c r="G125" s="231"/>
      <c r="H125" s="221"/>
      <c r="I125" s="74"/>
      <c r="J125" s="74"/>
      <c r="K125" s="74"/>
      <c r="L125" s="245">
        <f t="shared" ref="L125:N125" si="127">3000*I125</f>
        <v>0</v>
      </c>
      <c r="M125" s="246">
        <f t="shared" si="127"/>
        <v>0</v>
      </c>
      <c r="N125" s="246">
        <f t="shared" si="127"/>
        <v>0</v>
      </c>
      <c r="O125" s="247">
        <f t="shared" si="112"/>
        <v>0</v>
      </c>
      <c r="P125" s="47"/>
      <c r="Q125" s="47"/>
      <c r="R125" s="47"/>
      <c r="S125" s="47"/>
      <c r="T125" s="47"/>
      <c r="U125" s="47"/>
      <c r="V125" s="47"/>
      <c r="W125" s="47"/>
      <c r="X125" s="204">
        <f t="shared" si="4"/>
        <v>0</v>
      </c>
      <c r="Y125" s="205">
        <f t="shared" si="5"/>
        <v>0</v>
      </c>
      <c r="Z125" s="86" t="s">
        <v>1790</v>
      </c>
      <c r="AA125" s="110"/>
      <c r="AB125" s="47"/>
      <c r="AC125" s="47"/>
      <c r="AD125" s="47"/>
      <c r="AE125" s="47"/>
      <c r="AF125" s="47"/>
    </row>
    <row r="126" ht="15.0" customHeight="1">
      <c r="A126" s="73">
        <v>124.0</v>
      </c>
      <c r="B126" s="83"/>
      <c r="C126" s="218"/>
      <c r="D126" s="228"/>
      <c r="E126" s="213"/>
      <c r="F126" s="244"/>
      <c r="G126" s="231"/>
      <c r="H126" s="221"/>
      <c r="I126" s="80"/>
      <c r="J126" s="80"/>
      <c r="K126" s="80"/>
      <c r="L126" s="248">
        <f t="shared" ref="L126:N126" si="128">3000*I126</f>
        <v>0</v>
      </c>
      <c r="M126" s="246">
        <f t="shared" si="128"/>
        <v>0</v>
      </c>
      <c r="N126" s="246">
        <f t="shared" si="128"/>
        <v>0</v>
      </c>
      <c r="O126" s="247">
        <f t="shared" si="112"/>
        <v>0</v>
      </c>
      <c r="P126" s="47"/>
      <c r="Q126" s="47"/>
      <c r="R126" s="47"/>
      <c r="S126" s="47"/>
      <c r="T126" s="47"/>
      <c r="U126" s="47"/>
      <c r="V126" s="47"/>
      <c r="W126" s="47"/>
      <c r="X126" s="204">
        <f t="shared" si="4"/>
        <v>0</v>
      </c>
      <c r="Y126" s="205">
        <f t="shared" si="5"/>
        <v>0</v>
      </c>
      <c r="Z126" s="86" t="s">
        <v>1790</v>
      </c>
      <c r="AA126" s="110"/>
      <c r="AB126" s="47"/>
      <c r="AC126" s="47"/>
      <c r="AD126" s="47"/>
      <c r="AE126" s="47"/>
      <c r="AF126" s="47"/>
    </row>
    <row r="127" ht="15.0" customHeight="1">
      <c r="A127" s="119">
        <v>125.0</v>
      </c>
      <c r="B127" s="79"/>
      <c r="C127" s="218"/>
      <c r="D127" s="228"/>
      <c r="E127" s="213"/>
      <c r="F127" s="244"/>
      <c r="G127" s="231"/>
      <c r="H127" s="221"/>
      <c r="I127" s="74"/>
      <c r="J127" s="74"/>
      <c r="K127" s="74"/>
      <c r="L127" s="245">
        <f t="shared" ref="L127:N127" si="129">3000*I127</f>
        <v>0</v>
      </c>
      <c r="M127" s="246">
        <f t="shared" si="129"/>
        <v>0</v>
      </c>
      <c r="N127" s="246">
        <f t="shared" si="129"/>
        <v>0</v>
      </c>
      <c r="O127" s="247">
        <f t="shared" si="112"/>
        <v>0</v>
      </c>
      <c r="P127" s="47"/>
      <c r="Q127" s="47"/>
      <c r="R127" s="47"/>
      <c r="S127" s="47"/>
      <c r="T127" s="47"/>
      <c r="U127" s="47"/>
      <c r="V127" s="47"/>
      <c r="W127" s="47"/>
      <c r="X127" s="204">
        <f t="shared" si="4"/>
        <v>0</v>
      </c>
      <c r="Y127" s="205">
        <f t="shared" si="5"/>
        <v>0</v>
      </c>
      <c r="Z127" s="86" t="s">
        <v>1790</v>
      </c>
      <c r="AA127" s="110"/>
      <c r="AB127" s="47"/>
      <c r="AC127" s="47"/>
      <c r="AD127" s="47"/>
      <c r="AE127" s="47"/>
      <c r="AF127" s="47"/>
    </row>
    <row r="128" ht="15.0" customHeight="1">
      <c r="A128" s="73">
        <v>126.0</v>
      </c>
      <c r="B128" s="83"/>
      <c r="C128" s="218"/>
      <c r="D128" s="228"/>
      <c r="E128" s="213"/>
      <c r="F128" s="244"/>
      <c r="G128" s="231"/>
      <c r="H128" s="221"/>
      <c r="I128" s="80"/>
      <c r="J128" s="80"/>
      <c r="K128" s="80"/>
      <c r="L128" s="248">
        <f t="shared" ref="L128:N128" si="130">3000*I128</f>
        <v>0</v>
      </c>
      <c r="M128" s="246">
        <f t="shared" si="130"/>
        <v>0</v>
      </c>
      <c r="N128" s="246">
        <f t="shared" si="130"/>
        <v>0</v>
      </c>
      <c r="O128" s="247">
        <f t="shared" si="112"/>
        <v>0</v>
      </c>
      <c r="P128" s="47"/>
      <c r="Q128" s="47"/>
      <c r="R128" s="47"/>
      <c r="S128" s="47"/>
      <c r="T128" s="47"/>
      <c r="U128" s="47"/>
      <c r="V128" s="47"/>
      <c r="W128" s="47"/>
      <c r="X128" s="204">
        <f t="shared" si="4"/>
        <v>0</v>
      </c>
      <c r="Y128" s="205">
        <f t="shared" si="5"/>
        <v>0</v>
      </c>
      <c r="Z128" s="86" t="s">
        <v>1790</v>
      </c>
      <c r="AA128" s="110"/>
      <c r="AB128" s="47"/>
      <c r="AC128" s="47"/>
      <c r="AD128" s="47"/>
      <c r="AE128" s="47"/>
      <c r="AF128" s="47"/>
    </row>
    <row r="129" ht="15.0" customHeight="1">
      <c r="A129" s="119">
        <v>127.0</v>
      </c>
      <c r="B129" s="79"/>
      <c r="C129" s="218"/>
      <c r="D129" s="228"/>
      <c r="E129" s="213"/>
      <c r="F129" s="244"/>
      <c r="G129" s="231"/>
      <c r="H129" s="221"/>
      <c r="I129" s="74"/>
      <c r="J129" s="74"/>
      <c r="K129" s="74"/>
      <c r="L129" s="245">
        <f t="shared" ref="L129:N129" si="131">3000*I129</f>
        <v>0</v>
      </c>
      <c r="M129" s="246">
        <f t="shared" si="131"/>
        <v>0</v>
      </c>
      <c r="N129" s="246">
        <f t="shared" si="131"/>
        <v>0</v>
      </c>
      <c r="O129" s="247">
        <f t="shared" si="112"/>
        <v>0</v>
      </c>
      <c r="P129" s="47"/>
      <c r="Q129" s="47"/>
      <c r="R129" s="47"/>
      <c r="S129" s="47"/>
      <c r="T129" s="47"/>
      <c r="U129" s="47"/>
      <c r="V129" s="47"/>
      <c r="W129" s="47"/>
      <c r="X129" s="204">
        <f t="shared" si="4"/>
        <v>0</v>
      </c>
      <c r="Y129" s="205">
        <f t="shared" si="5"/>
        <v>0</v>
      </c>
      <c r="Z129" s="86" t="s">
        <v>1790</v>
      </c>
      <c r="AA129" s="110"/>
      <c r="AB129" s="47"/>
      <c r="AC129" s="47"/>
      <c r="AD129" s="47"/>
      <c r="AE129" s="47"/>
      <c r="AF129" s="47"/>
    </row>
    <row r="130" ht="15.0" customHeight="1">
      <c r="A130" s="73">
        <v>128.0</v>
      </c>
      <c r="B130" s="83"/>
      <c r="C130" s="218"/>
      <c r="D130" s="228"/>
      <c r="E130" s="213"/>
      <c r="F130" s="244"/>
      <c r="G130" s="231"/>
      <c r="H130" s="221"/>
      <c r="I130" s="80"/>
      <c r="J130" s="80"/>
      <c r="K130" s="80"/>
      <c r="L130" s="248">
        <f t="shared" ref="L130:N130" si="132">3000*I130</f>
        <v>0</v>
      </c>
      <c r="M130" s="246">
        <f t="shared" si="132"/>
        <v>0</v>
      </c>
      <c r="N130" s="246">
        <f t="shared" si="132"/>
        <v>0</v>
      </c>
      <c r="O130" s="247">
        <f t="shared" si="112"/>
        <v>0</v>
      </c>
      <c r="P130" s="47"/>
      <c r="Q130" s="47"/>
      <c r="R130" s="47"/>
      <c r="S130" s="47"/>
      <c r="T130" s="47"/>
      <c r="U130" s="47"/>
      <c r="V130" s="47"/>
      <c r="W130" s="47"/>
      <c r="X130" s="204">
        <f t="shared" si="4"/>
        <v>0</v>
      </c>
      <c r="Y130" s="205">
        <f t="shared" si="5"/>
        <v>0</v>
      </c>
      <c r="Z130" s="86" t="s">
        <v>1790</v>
      </c>
      <c r="AA130" s="110"/>
      <c r="AB130" s="47"/>
      <c r="AC130" s="47"/>
      <c r="AD130" s="47"/>
      <c r="AE130" s="47"/>
      <c r="AF130" s="47"/>
    </row>
    <row r="131" ht="15.0" customHeight="1">
      <c r="A131" s="119">
        <v>129.0</v>
      </c>
      <c r="B131" s="79"/>
      <c r="C131" s="218"/>
      <c r="D131" s="228"/>
      <c r="E131" s="213"/>
      <c r="F131" s="244"/>
      <c r="G131" s="231"/>
      <c r="H131" s="221"/>
      <c r="I131" s="74"/>
      <c r="J131" s="74"/>
      <c r="K131" s="74"/>
      <c r="L131" s="245">
        <f t="shared" ref="L131:N131" si="133">3000*I131</f>
        <v>0</v>
      </c>
      <c r="M131" s="246">
        <f t="shared" si="133"/>
        <v>0</v>
      </c>
      <c r="N131" s="246">
        <f t="shared" si="133"/>
        <v>0</v>
      </c>
      <c r="O131" s="247">
        <f t="shared" si="112"/>
        <v>0</v>
      </c>
      <c r="P131" s="47"/>
      <c r="Q131" s="47"/>
      <c r="R131" s="47"/>
      <c r="S131" s="47"/>
      <c r="T131" s="47"/>
      <c r="U131" s="47"/>
      <c r="V131" s="47"/>
      <c r="W131" s="47"/>
      <c r="X131" s="204">
        <f t="shared" si="4"/>
        <v>0</v>
      </c>
      <c r="Y131" s="205">
        <f t="shared" si="5"/>
        <v>0</v>
      </c>
      <c r="Z131" s="86" t="s">
        <v>1790</v>
      </c>
      <c r="AA131" s="110"/>
      <c r="AB131" s="47"/>
      <c r="AC131" s="47"/>
      <c r="AD131" s="47"/>
      <c r="AE131" s="47"/>
      <c r="AF131" s="47"/>
    </row>
    <row r="132" ht="15.0" customHeight="1">
      <c r="A132" s="73">
        <v>130.0</v>
      </c>
      <c r="B132" s="83"/>
      <c r="C132" s="218"/>
      <c r="D132" s="228"/>
      <c r="E132" s="213"/>
      <c r="F132" s="244"/>
      <c r="G132" s="231"/>
      <c r="H132" s="221"/>
      <c r="I132" s="80"/>
      <c r="J132" s="80"/>
      <c r="K132" s="80"/>
      <c r="L132" s="248">
        <f t="shared" ref="L132:N132" si="134">3000*I132</f>
        <v>0</v>
      </c>
      <c r="M132" s="246">
        <f t="shared" si="134"/>
        <v>0</v>
      </c>
      <c r="N132" s="246">
        <f t="shared" si="134"/>
        <v>0</v>
      </c>
      <c r="O132" s="247">
        <f t="shared" si="112"/>
        <v>0</v>
      </c>
      <c r="P132" s="47"/>
      <c r="Q132" s="47"/>
      <c r="R132" s="47"/>
      <c r="S132" s="47"/>
      <c r="T132" s="47"/>
      <c r="U132" s="47"/>
      <c r="V132" s="47"/>
      <c r="W132" s="47"/>
      <c r="X132" s="204">
        <f t="shared" si="4"/>
        <v>0</v>
      </c>
      <c r="Y132" s="205">
        <f t="shared" si="5"/>
        <v>0</v>
      </c>
      <c r="Z132" s="86" t="s">
        <v>1790</v>
      </c>
      <c r="AA132" s="110"/>
      <c r="AB132" s="47"/>
      <c r="AC132" s="47"/>
      <c r="AD132" s="47"/>
      <c r="AE132" s="47"/>
      <c r="AF132" s="47"/>
    </row>
    <row r="133" ht="15.0" customHeight="1">
      <c r="A133" s="119">
        <v>131.0</v>
      </c>
      <c r="B133" s="79"/>
      <c r="C133" s="218"/>
      <c r="D133" s="228"/>
      <c r="E133" s="213"/>
      <c r="F133" s="244"/>
      <c r="G133" s="231"/>
      <c r="H133" s="221"/>
      <c r="I133" s="74"/>
      <c r="J133" s="74"/>
      <c r="K133" s="74"/>
      <c r="L133" s="245">
        <f t="shared" ref="L133:N133" si="135">3000*I133</f>
        <v>0</v>
      </c>
      <c r="M133" s="246">
        <f t="shared" si="135"/>
        <v>0</v>
      </c>
      <c r="N133" s="246">
        <f t="shared" si="135"/>
        <v>0</v>
      </c>
      <c r="O133" s="247">
        <f t="shared" si="112"/>
        <v>0</v>
      </c>
      <c r="P133" s="47"/>
      <c r="Q133" s="47"/>
      <c r="R133" s="47"/>
      <c r="S133" s="47"/>
      <c r="T133" s="47"/>
      <c r="U133" s="47"/>
      <c r="V133" s="47"/>
      <c r="W133" s="47"/>
      <c r="X133" s="204">
        <f t="shared" si="4"/>
        <v>0</v>
      </c>
      <c r="Y133" s="205">
        <f t="shared" si="5"/>
        <v>0</v>
      </c>
      <c r="Z133" s="86" t="s">
        <v>1790</v>
      </c>
      <c r="AA133" s="110"/>
      <c r="AB133" s="47"/>
      <c r="AC133" s="47"/>
      <c r="AD133" s="47"/>
      <c r="AE133" s="47"/>
      <c r="AF133" s="47"/>
    </row>
    <row r="134" ht="15.0" customHeight="1">
      <c r="A134" s="73">
        <v>132.0</v>
      </c>
      <c r="B134" s="83"/>
      <c r="C134" s="218"/>
      <c r="D134" s="228"/>
      <c r="E134" s="213"/>
      <c r="F134" s="244"/>
      <c r="G134" s="231"/>
      <c r="H134" s="221"/>
      <c r="I134" s="80"/>
      <c r="J134" s="80"/>
      <c r="K134" s="80"/>
      <c r="L134" s="248">
        <f t="shared" ref="L134:N134" si="136">3000*I134</f>
        <v>0</v>
      </c>
      <c r="M134" s="246">
        <f t="shared" si="136"/>
        <v>0</v>
      </c>
      <c r="N134" s="246">
        <f t="shared" si="136"/>
        <v>0</v>
      </c>
      <c r="O134" s="247">
        <f t="shared" si="112"/>
        <v>0</v>
      </c>
      <c r="P134" s="47"/>
      <c r="Q134" s="47"/>
      <c r="R134" s="47"/>
      <c r="S134" s="47"/>
      <c r="T134" s="47"/>
      <c r="U134" s="47"/>
      <c r="V134" s="47"/>
      <c r="W134" s="47"/>
      <c r="X134" s="204">
        <f t="shared" si="4"/>
        <v>0</v>
      </c>
      <c r="Y134" s="205">
        <f t="shared" si="5"/>
        <v>0</v>
      </c>
      <c r="Z134" s="86" t="s">
        <v>1790</v>
      </c>
      <c r="AA134" s="110"/>
      <c r="AB134" s="47"/>
      <c r="AC134" s="47"/>
      <c r="AD134" s="47"/>
      <c r="AE134" s="47"/>
      <c r="AF134" s="47"/>
    </row>
    <row r="135" ht="15.0" customHeight="1">
      <c r="A135" s="119">
        <v>133.0</v>
      </c>
      <c r="B135" s="79"/>
      <c r="C135" s="218"/>
      <c r="D135" s="228"/>
      <c r="E135" s="213"/>
      <c r="F135" s="244"/>
      <c r="G135" s="231"/>
      <c r="H135" s="221"/>
      <c r="I135" s="74"/>
      <c r="J135" s="74"/>
      <c r="K135" s="74"/>
      <c r="L135" s="245">
        <f t="shared" ref="L135:N135" si="137">3000*I135</f>
        <v>0</v>
      </c>
      <c r="M135" s="246">
        <f t="shared" si="137"/>
        <v>0</v>
      </c>
      <c r="N135" s="246">
        <f t="shared" si="137"/>
        <v>0</v>
      </c>
      <c r="O135" s="247">
        <f t="shared" si="112"/>
        <v>0</v>
      </c>
      <c r="P135" s="47"/>
      <c r="Q135" s="47"/>
      <c r="R135" s="47"/>
      <c r="S135" s="47"/>
      <c r="T135" s="47"/>
      <c r="U135" s="47"/>
      <c r="V135" s="47"/>
      <c r="W135" s="47"/>
      <c r="X135" s="204">
        <f t="shared" si="4"/>
        <v>0</v>
      </c>
      <c r="Y135" s="205">
        <f t="shared" si="5"/>
        <v>0</v>
      </c>
      <c r="Z135" s="86" t="s">
        <v>1790</v>
      </c>
      <c r="AA135" s="110"/>
      <c r="AB135" s="47"/>
      <c r="AC135" s="47"/>
      <c r="AD135" s="47"/>
      <c r="AE135" s="47"/>
      <c r="AF135" s="47"/>
    </row>
    <row r="136" ht="15.0" customHeight="1">
      <c r="A136" s="73">
        <v>134.0</v>
      </c>
      <c r="B136" s="83"/>
      <c r="C136" s="218"/>
      <c r="D136" s="228"/>
      <c r="E136" s="213"/>
      <c r="F136" s="244"/>
      <c r="G136" s="231"/>
      <c r="H136" s="221"/>
      <c r="I136" s="80"/>
      <c r="J136" s="80"/>
      <c r="K136" s="80"/>
      <c r="L136" s="248">
        <f t="shared" ref="L136:N136" si="138">3000*I136</f>
        <v>0</v>
      </c>
      <c r="M136" s="246">
        <f t="shared" si="138"/>
        <v>0</v>
      </c>
      <c r="N136" s="246">
        <f t="shared" si="138"/>
        <v>0</v>
      </c>
      <c r="O136" s="247">
        <f t="shared" si="112"/>
        <v>0</v>
      </c>
      <c r="P136" s="47"/>
      <c r="Q136" s="47"/>
      <c r="R136" s="47"/>
      <c r="S136" s="47"/>
      <c r="T136" s="47"/>
      <c r="U136" s="47"/>
      <c r="V136" s="47"/>
      <c r="W136" s="47"/>
      <c r="X136" s="204">
        <f t="shared" si="4"/>
        <v>0</v>
      </c>
      <c r="Y136" s="205">
        <f t="shared" si="5"/>
        <v>0</v>
      </c>
      <c r="Z136" s="86" t="s">
        <v>1790</v>
      </c>
      <c r="AA136" s="110"/>
      <c r="AB136" s="47"/>
      <c r="AC136" s="47"/>
      <c r="AD136" s="47"/>
      <c r="AE136" s="47"/>
      <c r="AF136" s="47"/>
    </row>
    <row r="137" ht="15.0" customHeight="1">
      <c r="A137" s="119">
        <v>135.0</v>
      </c>
      <c r="B137" s="79"/>
      <c r="C137" s="218"/>
      <c r="D137" s="228"/>
      <c r="E137" s="213"/>
      <c r="F137" s="244"/>
      <c r="G137" s="231"/>
      <c r="H137" s="221"/>
      <c r="I137" s="74"/>
      <c r="J137" s="74"/>
      <c r="K137" s="74"/>
      <c r="L137" s="245">
        <f t="shared" ref="L137:N137" si="139">3000*I137</f>
        <v>0</v>
      </c>
      <c r="M137" s="246">
        <f t="shared" si="139"/>
        <v>0</v>
      </c>
      <c r="N137" s="246">
        <f t="shared" si="139"/>
        <v>0</v>
      </c>
      <c r="O137" s="247">
        <f t="shared" si="112"/>
        <v>0</v>
      </c>
      <c r="P137" s="47"/>
      <c r="Q137" s="47"/>
      <c r="R137" s="47"/>
      <c r="S137" s="47"/>
      <c r="T137" s="47"/>
      <c r="U137" s="47"/>
      <c r="V137" s="47"/>
      <c r="W137" s="47"/>
      <c r="X137" s="204">
        <f t="shared" si="4"/>
        <v>0</v>
      </c>
      <c r="Y137" s="205">
        <f t="shared" si="5"/>
        <v>0</v>
      </c>
      <c r="Z137" s="86" t="s">
        <v>1790</v>
      </c>
      <c r="AA137" s="110"/>
      <c r="AB137" s="47"/>
      <c r="AC137" s="47"/>
      <c r="AD137" s="47"/>
      <c r="AE137" s="47"/>
      <c r="AF137" s="47"/>
    </row>
    <row r="138" ht="15.0" customHeight="1">
      <c r="A138" s="73">
        <v>136.0</v>
      </c>
      <c r="B138" s="83"/>
      <c r="C138" s="218"/>
      <c r="D138" s="228"/>
      <c r="E138" s="213"/>
      <c r="F138" s="244"/>
      <c r="G138" s="231"/>
      <c r="H138" s="221"/>
      <c r="I138" s="80"/>
      <c r="J138" s="80"/>
      <c r="K138" s="80"/>
      <c r="L138" s="248">
        <f t="shared" ref="L138:N138" si="140">3000*I138</f>
        <v>0</v>
      </c>
      <c r="M138" s="246">
        <f t="shared" si="140"/>
        <v>0</v>
      </c>
      <c r="N138" s="246">
        <f t="shared" si="140"/>
        <v>0</v>
      </c>
      <c r="O138" s="247">
        <f t="shared" si="112"/>
        <v>0</v>
      </c>
      <c r="P138" s="47"/>
      <c r="Q138" s="47"/>
      <c r="R138" s="47"/>
      <c r="S138" s="47"/>
      <c r="T138" s="47"/>
      <c r="U138" s="47"/>
      <c r="V138" s="47"/>
      <c r="W138" s="47"/>
      <c r="X138" s="204">
        <f t="shared" si="4"/>
        <v>0</v>
      </c>
      <c r="Y138" s="205">
        <f t="shared" si="5"/>
        <v>0</v>
      </c>
      <c r="Z138" s="86" t="s">
        <v>1790</v>
      </c>
      <c r="AA138" s="110"/>
      <c r="AB138" s="47"/>
      <c r="AC138" s="47"/>
      <c r="AD138" s="47"/>
      <c r="AE138" s="47"/>
      <c r="AF138" s="47"/>
    </row>
    <row r="139" ht="15.0" customHeight="1">
      <c r="A139" s="119">
        <v>137.0</v>
      </c>
      <c r="B139" s="79"/>
      <c r="C139" s="218"/>
      <c r="D139" s="228"/>
      <c r="E139" s="213"/>
      <c r="F139" s="244"/>
      <c r="G139" s="231"/>
      <c r="H139" s="221"/>
      <c r="I139" s="74"/>
      <c r="J139" s="74"/>
      <c r="K139" s="74"/>
      <c r="L139" s="245">
        <f t="shared" ref="L139:N139" si="141">3000*I139</f>
        <v>0</v>
      </c>
      <c r="M139" s="246">
        <f t="shared" si="141"/>
        <v>0</v>
      </c>
      <c r="N139" s="246">
        <f t="shared" si="141"/>
        <v>0</v>
      </c>
      <c r="O139" s="247">
        <f t="shared" si="112"/>
        <v>0</v>
      </c>
      <c r="P139" s="47"/>
      <c r="Q139" s="47"/>
      <c r="R139" s="47"/>
      <c r="S139" s="47"/>
      <c r="T139" s="47"/>
      <c r="U139" s="47"/>
      <c r="V139" s="47"/>
      <c r="W139" s="47"/>
      <c r="X139" s="204">
        <f t="shared" si="4"/>
        <v>0</v>
      </c>
      <c r="Y139" s="205">
        <f t="shared" si="5"/>
        <v>0</v>
      </c>
      <c r="Z139" s="86" t="s">
        <v>1790</v>
      </c>
      <c r="AA139" s="110"/>
      <c r="AB139" s="47"/>
      <c r="AC139" s="47"/>
      <c r="AD139" s="47"/>
      <c r="AE139" s="47"/>
      <c r="AF139" s="47"/>
    </row>
    <row r="140" ht="15.0" customHeight="1">
      <c r="A140" s="73">
        <v>138.0</v>
      </c>
      <c r="B140" s="83"/>
      <c r="C140" s="218"/>
      <c r="D140" s="228"/>
      <c r="E140" s="213"/>
      <c r="F140" s="244"/>
      <c r="G140" s="231"/>
      <c r="H140" s="221"/>
      <c r="I140" s="73"/>
      <c r="J140" s="73"/>
      <c r="K140" s="73"/>
      <c r="L140" s="248">
        <f t="shared" ref="L140:N140" si="142">3000*I140</f>
        <v>0</v>
      </c>
      <c r="M140" s="246">
        <f t="shared" si="142"/>
        <v>0</v>
      </c>
      <c r="N140" s="246">
        <f t="shared" si="142"/>
        <v>0</v>
      </c>
      <c r="O140" s="247">
        <f t="shared" si="112"/>
        <v>0</v>
      </c>
      <c r="P140" s="47"/>
      <c r="Q140" s="47"/>
      <c r="R140" s="47"/>
      <c r="S140" s="47"/>
      <c r="T140" s="47"/>
      <c r="U140" s="47"/>
      <c r="V140" s="47"/>
      <c r="W140" s="47"/>
      <c r="X140" s="204">
        <f t="shared" si="4"/>
        <v>0</v>
      </c>
      <c r="Y140" s="205">
        <f t="shared" si="5"/>
        <v>0</v>
      </c>
      <c r="Z140" s="86" t="s">
        <v>1790</v>
      </c>
      <c r="AA140" s="110"/>
      <c r="AB140" s="47"/>
      <c r="AC140" s="47"/>
      <c r="AD140" s="47"/>
      <c r="AE140" s="47"/>
      <c r="AF140" s="47"/>
    </row>
    <row r="141" ht="15.0" customHeight="1">
      <c r="A141" s="119">
        <v>139.0</v>
      </c>
      <c r="B141" s="79"/>
      <c r="C141" s="218"/>
      <c r="D141" s="228"/>
      <c r="E141" s="213"/>
      <c r="F141" s="244"/>
      <c r="G141" s="231"/>
      <c r="H141" s="221"/>
      <c r="I141" s="119"/>
      <c r="J141" s="119"/>
      <c r="K141" s="119"/>
      <c r="L141" s="245">
        <f t="shared" ref="L141:N141" si="143">3000*I141</f>
        <v>0</v>
      </c>
      <c r="M141" s="246">
        <f t="shared" si="143"/>
        <v>0</v>
      </c>
      <c r="N141" s="246">
        <f t="shared" si="143"/>
        <v>0</v>
      </c>
      <c r="O141" s="247">
        <f t="shared" si="112"/>
        <v>0</v>
      </c>
      <c r="P141" s="47"/>
      <c r="Q141" s="47"/>
      <c r="R141" s="47"/>
      <c r="S141" s="47"/>
      <c r="T141" s="47"/>
      <c r="U141" s="47"/>
      <c r="V141" s="47"/>
      <c r="W141" s="47"/>
      <c r="X141" s="204">
        <f t="shared" si="4"/>
        <v>0</v>
      </c>
      <c r="Y141" s="205">
        <f t="shared" si="5"/>
        <v>0</v>
      </c>
      <c r="Z141" s="86" t="s">
        <v>1790</v>
      </c>
      <c r="AA141" s="110"/>
      <c r="AB141" s="47"/>
      <c r="AC141" s="47"/>
      <c r="AD141" s="47"/>
      <c r="AE141" s="47"/>
      <c r="AF141" s="47"/>
    </row>
    <row r="142" ht="15.0" customHeight="1">
      <c r="A142" s="249">
        <v>140.0</v>
      </c>
      <c r="B142" s="250"/>
      <c r="C142" s="182"/>
      <c r="D142" s="182"/>
      <c r="E142" s="182"/>
      <c r="F142" s="251"/>
      <c r="G142" s="252"/>
      <c r="H142" s="252"/>
      <c r="I142" s="252"/>
      <c r="J142" s="252"/>
      <c r="K142" s="252"/>
      <c r="L142" s="252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</row>
    <row r="144" ht="15.0" customHeight="1">
      <c r="A144" s="47"/>
      <c r="B144" s="253" t="s">
        <v>1771</v>
      </c>
      <c r="C144" s="253"/>
      <c r="D144" s="253"/>
      <c r="E144" s="253"/>
      <c r="F144" s="253"/>
      <c r="G144" s="253"/>
      <c r="H144" s="253"/>
      <c r="I144" s="254">
        <f t="shared" ref="I144:Y144" si="144">SUM(I3:I141)</f>
        <v>87</v>
      </c>
      <c r="J144" s="254">
        <f t="shared" si="144"/>
        <v>33</v>
      </c>
      <c r="K144" s="254">
        <f t="shared" si="144"/>
        <v>0</v>
      </c>
      <c r="L144" s="255">
        <f t="shared" si="144"/>
        <v>2</v>
      </c>
      <c r="M144" s="255">
        <f t="shared" si="144"/>
        <v>5</v>
      </c>
      <c r="N144" s="255">
        <f t="shared" si="144"/>
        <v>3</v>
      </c>
      <c r="O144" s="255">
        <f t="shared" si="144"/>
        <v>0</v>
      </c>
      <c r="P144" s="255">
        <f t="shared" si="144"/>
        <v>261000</v>
      </c>
      <c r="Q144" s="255">
        <f t="shared" si="144"/>
        <v>99000</v>
      </c>
      <c r="R144" s="255">
        <f t="shared" si="144"/>
        <v>0</v>
      </c>
      <c r="S144" s="255">
        <f t="shared" si="144"/>
        <v>6000</v>
      </c>
      <c r="T144" s="255">
        <f t="shared" si="144"/>
        <v>15000</v>
      </c>
      <c r="U144" s="255">
        <f t="shared" si="144"/>
        <v>9000</v>
      </c>
      <c r="V144" s="255">
        <f t="shared" si="144"/>
        <v>0</v>
      </c>
      <c r="W144" s="255">
        <f t="shared" si="144"/>
        <v>390000</v>
      </c>
      <c r="X144" s="255">
        <f t="shared" si="144"/>
        <v>130000</v>
      </c>
      <c r="Y144" s="255">
        <f t="shared" si="144"/>
        <v>260000</v>
      </c>
      <c r="Z144" s="256" t="str">
        <f>COUNTIF(Z3:Z141,"Sudah Dibayar")&amp;" RT Lunas"</f>
        <v>0 RT Lunas</v>
      </c>
      <c r="AA144" s="257" t="str">
        <f>COUNTIF(Z3:Z141,"Belum Dibayar")&amp;" RT Belum"</f>
        <v>139 RT Belum</v>
      </c>
      <c r="AB144" s="47"/>
      <c r="AC144" s="47"/>
      <c r="AD144" s="47"/>
      <c r="AE144" s="47"/>
      <c r="AF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</row>
    <row r="147" ht="15.0" customHeight="1">
      <c r="A147" s="47"/>
      <c r="B147" s="19" t="s">
        <v>1794</v>
      </c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</row>
    <row r="149" ht="27.75" customHeight="1">
      <c r="A149" s="47"/>
      <c r="B149" s="258" t="s">
        <v>1795</v>
      </c>
      <c r="C149" s="93" t="s">
        <v>1796</v>
      </c>
      <c r="D149" s="258" t="s">
        <v>1797</v>
      </c>
      <c r="E149" s="93" t="s">
        <v>1783</v>
      </c>
      <c r="F149" s="93" t="s">
        <v>1784</v>
      </c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</row>
    <row r="150" ht="15.0" customHeight="1">
      <c r="A150" s="47"/>
      <c r="B150" s="259" t="s">
        <v>327</v>
      </c>
      <c r="C150" s="151">
        <f t="shared" ref="C150:C156" si="145">SUMPRODUCT(($F$3:$F$141=B150)*($I$3:$O$141))</f>
        <v>86</v>
      </c>
      <c r="D150" s="260" t="str">
        <f t="shared" ref="D150:D158" si="146">C150&amp;" x Rp3.000 = Rp"&amp;TEXT(C150*3000,"#,##0")</f>
        <v>86 x Rp3.000 = Rp258.000</v>
      </c>
      <c r="E150" s="260" t="str">
        <f t="shared" ref="E150:E158" si="147">C150&amp;" x Rp1.000 = Rp"&amp;TEXT(C150*1000,"#,##0")</f>
        <v>86 x Rp1.000 = Rp86.000</v>
      </c>
      <c r="F150" s="260" t="str">
        <f t="shared" ref="F150:F158" si="148">C150&amp;" x Rp2.000 = Rp"&amp;TEXT(C150*2000,"#,##0")</f>
        <v>86 x Rp2.000 = Rp172.000</v>
      </c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</row>
    <row r="151" ht="15.0" customHeight="1">
      <c r="A151" s="47"/>
      <c r="B151" s="259" t="s">
        <v>211</v>
      </c>
      <c r="C151" s="151">
        <f t="shared" si="145"/>
        <v>4</v>
      </c>
      <c r="D151" s="260" t="str">
        <f t="shared" si="146"/>
        <v>4 x Rp3.000 = Rp12.000</v>
      </c>
      <c r="E151" s="260" t="str">
        <f t="shared" si="147"/>
        <v>4 x Rp1.000 = Rp4.000</v>
      </c>
      <c r="F151" s="260" t="str">
        <f t="shared" si="148"/>
        <v>4 x Rp2.000 = Rp8.000</v>
      </c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</row>
    <row r="152" ht="15.0" customHeight="1">
      <c r="A152" s="47"/>
      <c r="B152" s="259" t="s">
        <v>541</v>
      </c>
      <c r="C152" s="151">
        <f t="shared" si="145"/>
        <v>1</v>
      </c>
      <c r="D152" s="260" t="str">
        <f t="shared" si="146"/>
        <v>1 x Rp3.000 = Rp3.000</v>
      </c>
      <c r="E152" s="260" t="str">
        <f t="shared" si="147"/>
        <v>1 x Rp1.000 = Rp1.000</v>
      </c>
      <c r="F152" s="260" t="str">
        <f t="shared" si="148"/>
        <v>1 x Rp2.000 = Rp2.000</v>
      </c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</row>
    <row r="153" ht="15.0" customHeight="1">
      <c r="A153" s="47"/>
      <c r="B153" s="261" t="s">
        <v>1208</v>
      </c>
      <c r="C153" s="262">
        <f t="shared" si="145"/>
        <v>1</v>
      </c>
      <c r="D153" s="263" t="str">
        <f t="shared" si="146"/>
        <v>1 x Rp3.000 = Rp3.000</v>
      </c>
      <c r="E153" s="260" t="str">
        <f t="shared" si="147"/>
        <v>1 x Rp1.000 = Rp1.000</v>
      </c>
      <c r="F153" s="260" t="str">
        <f t="shared" si="148"/>
        <v>1 x Rp2.000 = Rp2.000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</row>
    <row r="154" ht="15.75" customHeight="1">
      <c r="A154" s="47"/>
      <c r="B154" s="259" t="s">
        <v>462</v>
      </c>
      <c r="C154" s="151">
        <f t="shared" si="145"/>
        <v>0</v>
      </c>
      <c r="D154" s="260" t="str">
        <f t="shared" si="146"/>
        <v>0 x Rp3.000 = Rp0</v>
      </c>
      <c r="E154" s="260" t="str">
        <f t="shared" si="147"/>
        <v>0 x Rp1.000 = Rp0</v>
      </c>
      <c r="F154" s="260" t="str">
        <f t="shared" si="148"/>
        <v>0 x Rp2.000 = Rp0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</row>
    <row r="155" ht="15.75" customHeight="1">
      <c r="A155" s="47"/>
      <c r="B155" s="259" t="s">
        <v>1104</v>
      </c>
      <c r="C155" s="151">
        <f t="shared" si="145"/>
        <v>1</v>
      </c>
      <c r="D155" s="260" t="str">
        <f t="shared" si="146"/>
        <v>1 x Rp3.000 = Rp3.000</v>
      </c>
      <c r="E155" s="260" t="str">
        <f t="shared" si="147"/>
        <v>1 x Rp1.000 = Rp1.000</v>
      </c>
      <c r="F155" s="260" t="str">
        <f t="shared" si="148"/>
        <v>1 x Rp2.000 = Rp2.000</v>
      </c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</row>
    <row r="156" ht="15.75" customHeight="1">
      <c r="A156" s="47"/>
      <c r="B156" s="259" t="s">
        <v>1793</v>
      </c>
      <c r="C156" s="151">
        <f t="shared" si="145"/>
        <v>0</v>
      </c>
      <c r="D156" s="260" t="str">
        <f t="shared" si="146"/>
        <v>0 x Rp3.000 = Rp0</v>
      </c>
      <c r="E156" s="260" t="str">
        <f t="shared" si="147"/>
        <v>0 x Rp1.000 = Rp0</v>
      </c>
      <c r="F156" s="260" t="str">
        <f t="shared" si="148"/>
        <v>0 x Rp2.000 = Rp0</v>
      </c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</row>
    <row r="157" ht="15.75" customHeight="1">
      <c r="A157" s="47"/>
      <c r="B157" s="264" t="s">
        <v>1798</v>
      </c>
      <c r="C157" s="151">
        <f>I3</f>
        <v>37</v>
      </c>
      <c r="D157" s="260" t="str">
        <f t="shared" si="146"/>
        <v>37 x Rp3.000 = Rp111.000</v>
      </c>
      <c r="E157" s="260" t="str">
        <f t="shared" si="147"/>
        <v>37 x Rp1.000 = Rp37.000</v>
      </c>
      <c r="F157" s="260" t="str">
        <f t="shared" si="148"/>
        <v>37 x Rp2.000 = Rp74.000</v>
      </c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</row>
    <row r="158" ht="15.75" customHeight="1">
      <c r="A158" s="47"/>
      <c r="B158" s="265" t="s">
        <v>1799</v>
      </c>
      <c r="C158" s="266">
        <f>SUM(C150:C157)</f>
        <v>130</v>
      </c>
      <c r="D158" s="267" t="str">
        <f t="shared" si="146"/>
        <v>130 x Rp3.000 = Rp390.000</v>
      </c>
      <c r="E158" s="267" t="str">
        <f t="shared" si="147"/>
        <v>130 x Rp1.000 = Rp130.000</v>
      </c>
      <c r="F158" s="267" t="str">
        <f t="shared" si="148"/>
        <v>130 x Rp2.000 = Rp260.000</v>
      </c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</row>
    <row r="160" ht="15.75" customHeight="1">
      <c r="A160" s="47"/>
      <c r="B160" s="268" t="s">
        <v>1800</v>
      </c>
      <c r="C160" s="47"/>
      <c r="D160" s="269">
        <f>SUMIF(Z3:Z141,"Belum Dibayar",W3:W141)</f>
        <v>390000</v>
      </c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</row>
  </sheetData>
  <autoFilter ref="$A$2:$W$144"/>
  <mergeCells count="4">
    <mergeCell ref="C1:H1"/>
    <mergeCell ref="L1:O1"/>
    <mergeCell ref="P1:V1"/>
    <mergeCell ref="X1:Y1"/>
  </mergeCells>
  <conditionalFormatting sqref="Z3:Z141">
    <cfRule type="expression" dxfId="2" priority="1">
      <formula>$Z3="Sudah Dibayar"</formula>
    </cfRule>
  </conditionalFormatting>
  <conditionalFormatting sqref="Z3:Z141">
    <cfRule type="expression" dxfId="3" priority="2">
      <formula>$Z3="Belum Dibayar"</formula>
    </cfRule>
  </conditionalFormatting>
  <dataValidations>
    <dataValidation type="list" allowBlank="1" sqref="Z3:Z141">
      <formula1>"Belum Dibayar,Sudah Dibayar"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5.57"/>
    <col customWidth="1" min="4" max="4" width="25.0"/>
    <col customWidth="1" min="5" max="5" width="25.29"/>
    <col customWidth="1" min="6" max="6" width="12.0"/>
    <col customWidth="1" min="7" max="7" width="26.0"/>
  </cols>
  <sheetData>
    <row r="1" ht="24.0" customHeight="1">
      <c r="A1" s="270" t="s">
        <v>1801</v>
      </c>
      <c r="B1" s="68"/>
      <c r="C1" s="68"/>
      <c r="D1" s="68"/>
      <c r="E1" s="69"/>
      <c r="F1" s="47"/>
      <c r="G1" s="47"/>
    </row>
    <row r="2" ht="15.0" customHeight="1">
      <c r="A2" s="47"/>
      <c r="B2" s="47"/>
      <c r="C2" s="47"/>
      <c r="D2" s="47"/>
      <c r="E2" s="47"/>
      <c r="F2" s="47"/>
      <c r="G2" s="47"/>
    </row>
    <row r="3" ht="21.75" customHeight="1">
      <c r="A3" s="92" t="s">
        <v>144</v>
      </c>
      <c r="B3" s="92" t="s">
        <v>1802</v>
      </c>
      <c r="C3" s="92" t="s">
        <v>1803</v>
      </c>
      <c r="D3" s="92" t="s">
        <v>1804</v>
      </c>
      <c r="E3" s="92" t="s">
        <v>1805</v>
      </c>
      <c r="F3" s="93" t="s">
        <v>1806</v>
      </c>
      <c r="G3" s="93" t="s">
        <v>1807</v>
      </c>
    </row>
    <row r="4" ht="15.0" customHeight="1">
      <c r="A4" s="259">
        <v>1.0</v>
      </c>
      <c r="B4" s="259" t="s">
        <v>1808</v>
      </c>
      <c r="C4" s="259"/>
      <c r="D4" s="259" t="s">
        <v>1809</v>
      </c>
      <c r="E4" s="248">
        <v>20000.0</v>
      </c>
      <c r="F4" s="271">
        <v>46203.0</v>
      </c>
      <c r="G4" s="272" t="s">
        <v>1810</v>
      </c>
    </row>
    <row r="5" ht="15.0" customHeight="1">
      <c r="A5" s="259">
        <v>2.0</v>
      </c>
      <c r="B5" s="259" t="s">
        <v>1808</v>
      </c>
      <c r="C5" s="259"/>
      <c r="D5" s="259" t="s">
        <v>1811</v>
      </c>
      <c r="E5" s="248">
        <v>20000.0</v>
      </c>
      <c r="F5" s="271">
        <v>46203.0</v>
      </c>
      <c r="G5" s="272" t="s">
        <v>1812</v>
      </c>
    </row>
    <row r="6" ht="15.0" customHeight="1">
      <c r="A6" s="259">
        <v>3.0</v>
      </c>
      <c r="B6" s="259" t="s">
        <v>1813</v>
      </c>
      <c r="C6" s="259"/>
      <c r="D6" s="259" t="s">
        <v>1814</v>
      </c>
      <c r="E6" s="248">
        <v>20000.0</v>
      </c>
      <c r="F6" s="271">
        <v>46203.0</v>
      </c>
      <c r="G6" s="272" t="s">
        <v>1815</v>
      </c>
    </row>
    <row r="7" ht="15.0" customHeight="1">
      <c r="A7" s="259">
        <v>4.0</v>
      </c>
      <c r="B7" s="259" t="s">
        <v>1808</v>
      </c>
      <c r="C7" s="259"/>
      <c r="D7" s="259" t="s">
        <v>1816</v>
      </c>
      <c r="E7" s="248">
        <v>20000.0</v>
      </c>
      <c r="F7" s="271">
        <v>46203.0</v>
      </c>
      <c r="G7" s="272" t="s">
        <v>1817</v>
      </c>
    </row>
    <row r="8" ht="15.0" customHeight="1">
      <c r="A8" s="259">
        <v>5.0</v>
      </c>
      <c r="B8" s="259" t="s">
        <v>1808</v>
      </c>
      <c r="C8" s="259"/>
      <c r="D8" s="259" t="s">
        <v>1818</v>
      </c>
      <c r="E8" s="248">
        <v>20000.0</v>
      </c>
      <c r="F8" s="271">
        <v>46203.0</v>
      </c>
      <c r="G8" s="272" t="s">
        <v>1819</v>
      </c>
    </row>
    <row r="9" ht="15.0" customHeight="1">
      <c r="A9" s="259">
        <v>6.0</v>
      </c>
      <c r="B9" s="259" t="s">
        <v>1820</v>
      </c>
      <c r="C9" s="259"/>
      <c r="D9" s="259" t="s">
        <v>1821</v>
      </c>
      <c r="E9" s="248">
        <v>20000.0</v>
      </c>
      <c r="F9" s="271">
        <v>46208.0</v>
      </c>
      <c r="G9" s="272" t="s">
        <v>1822</v>
      </c>
    </row>
    <row r="10" ht="15.0" customHeight="1">
      <c r="A10" s="87"/>
      <c r="B10" s="87"/>
      <c r="C10" s="87"/>
      <c r="D10" s="87"/>
      <c r="E10" s="155"/>
      <c r="F10" s="47"/>
      <c r="G10" s="47"/>
    </row>
    <row r="11" ht="15.0" customHeight="1">
      <c r="A11" s="87"/>
      <c r="B11" s="265" t="s">
        <v>1771</v>
      </c>
      <c r="C11" s="87"/>
      <c r="D11" s="87"/>
      <c r="E11" s="255">
        <f>SUM(E4:E9)</f>
        <v>120000</v>
      </c>
      <c r="F11" s="47"/>
      <c r="G11" s="47"/>
    </row>
    <row r="12" ht="15.0" customHeight="1">
      <c r="A12" s="87"/>
      <c r="B12" s="87"/>
      <c r="C12" s="87"/>
      <c r="D12" s="87"/>
      <c r="E12" s="155"/>
      <c r="F12" s="47"/>
      <c r="G12" s="47"/>
    </row>
    <row r="13" ht="15.0" customHeight="1">
      <c r="A13" s="87"/>
      <c r="B13" s="273" t="s">
        <v>1823</v>
      </c>
      <c r="C13" s="87"/>
      <c r="D13" s="87"/>
      <c r="E13" s="155"/>
      <c r="F13" s="47"/>
      <c r="G13" s="47"/>
    </row>
    <row r="14" ht="15.0" customHeight="1">
      <c r="A14" s="87"/>
      <c r="B14" s="274" t="s">
        <v>147</v>
      </c>
      <c r="C14" s="274" t="s">
        <v>1824</v>
      </c>
      <c r="D14" s="274" t="s">
        <v>1825</v>
      </c>
      <c r="E14" s="155"/>
      <c r="F14" s="47"/>
      <c r="G14" s="47"/>
    </row>
    <row r="15" ht="15.0" customHeight="1">
      <c r="A15" s="87"/>
      <c r="B15" s="87" t="s">
        <v>1808</v>
      </c>
      <c r="C15" s="86">
        <f t="shared" ref="C15:C17" si="1">COUNTIF($B$4:$B$9,B15)</f>
        <v>4</v>
      </c>
      <c r="D15" s="152">
        <f t="shared" ref="D15:D17" si="2">SUMIF($B$4:$B$9,B15,$E$4:$E$9)</f>
        <v>80000</v>
      </c>
      <c r="E15" s="155"/>
      <c r="F15" s="47"/>
      <c r="G15" s="47"/>
    </row>
    <row r="16" ht="15.0" customHeight="1">
      <c r="A16" s="87"/>
      <c r="B16" s="87" t="s">
        <v>1813</v>
      </c>
      <c r="C16" s="86">
        <f t="shared" si="1"/>
        <v>1</v>
      </c>
      <c r="D16" s="152">
        <f t="shared" si="2"/>
        <v>20000</v>
      </c>
      <c r="E16" s="155"/>
      <c r="F16" s="47"/>
      <c r="G16" s="47"/>
    </row>
    <row r="17" ht="15.0" customHeight="1">
      <c r="A17" s="87"/>
      <c r="B17" s="87" t="s">
        <v>1820</v>
      </c>
      <c r="C17" s="86">
        <f t="shared" si="1"/>
        <v>1</v>
      </c>
      <c r="D17" s="152">
        <f t="shared" si="2"/>
        <v>20000</v>
      </c>
      <c r="E17" s="155"/>
      <c r="F17" s="47"/>
      <c r="G17" s="47"/>
    </row>
    <row r="18" ht="15.0" customHeight="1">
      <c r="A18" s="87"/>
      <c r="B18" s="87"/>
      <c r="C18" s="87"/>
      <c r="D18" s="87"/>
      <c r="E18" s="155"/>
      <c r="F18" s="47"/>
      <c r="G18" s="47"/>
    </row>
    <row r="19" ht="30.0" customHeight="1">
      <c r="A19" s="87"/>
      <c r="B19" s="275" t="s">
        <v>1826</v>
      </c>
      <c r="C19" s="276"/>
      <c r="D19" s="276"/>
      <c r="E19" s="276"/>
      <c r="F19" s="276"/>
      <c r="G19" s="277"/>
    </row>
    <row r="20" ht="15.0" customHeight="1">
      <c r="A20" s="87"/>
      <c r="B20" s="87"/>
      <c r="C20" s="87"/>
      <c r="D20" s="87"/>
      <c r="E20" s="155"/>
      <c r="F20" s="47"/>
      <c r="G20" s="47"/>
    </row>
    <row r="21" ht="15.0" customHeight="1">
      <c r="A21" s="87"/>
      <c r="B21" s="87"/>
      <c r="C21" s="87"/>
      <c r="D21" s="87"/>
      <c r="E21" s="155"/>
      <c r="F21" s="47"/>
      <c r="G21" s="47"/>
    </row>
    <row r="22" ht="15.0" customHeight="1">
      <c r="A22" s="87"/>
      <c r="B22" s="87"/>
      <c r="C22" s="87"/>
      <c r="D22" s="87"/>
      <c r="E22" s="155"/>
      <c r="F22" s="47"/>
      <c r="G22" s="47"/>
    </row>
    <row r="23" ht="15.0" customHeight="1">
      <c r="A23" s="87"/>
      <c r="B23" s="87"/>
      <c r="C23" s="87"/>
      <c r="D23" s="87"/>
      <c r="E23" s="155"/>
      <c r="F23" s="47"/>
      <c r="G23" s="47"/>
    </row>
    <row r="24" ht="15.0" customHeight="1">
      <c r="A24" s="87"/>
      <c r="B24" s="87"/>
      <c r="C24" s="87"/>
      <c r="D24" s="87"/>
      <c r="E24" s="155"/>
      <c r="F24" s="47"/>
      <c r="G24" s="47"/>
    </row>
    <row r="25" ht="15.0" customHeight="1">
      <c r="A25" s="87"/>
      <c r="B25" s="87"/>
      <c r="C25" s="87"/>
      <c r="D25" s="87"/>
      <c r="E25" s="155"/>
      <c r="F25" s="47"/>
      <c r="G25" s="47"/>
    </row>
    <row r="26" ht="15.0" customHeight="1">
      <c r="A26" s="87"/>
      <c r="B26" s="87"/>
      <c r="C26" s="87"/>
      <c r="D26" s="87"/>
      <c r="E26" s="155"/>
      <c r="F26" s="47"/>
      <c r="G26" s="47"/>
    </row>
    <row r="27" ht="15.0" customHeight="1">
      <c r="A27" s="87"/>
      <c r="B27" s="87"/>
      <c r="C27" s="87"/>
      <c r="D27" s="87"/>
      <c r="E27" s="155"/>
      <c r="F27" s="47"/>
      <c r="G27" s="47"/>
    </row>
    <row r="28" ht="15.0" customHeight="1">
      <c r="A28" s="87"/>
      <c r="B28" s="87"/>
      <c r="C28" s="87"/>
      <c r="D28" s="87"/>
      <c r="E28" s="155"/>
      <c r="F28" s="47"/>
      <c r="G28" s="47"/>
    </row>
    <row r="29" ht="15.0" customHeight="1">
      <c r="A29" s="87"/>
      <c r="B29" s="87"/>
      <c r="C29" s="87"/>
      <c r="D29" s="87"/>
      <c r="E29" s="155"/>
      <c r="F29" s="47"/>
      <c r="G29" s="47"/>
    </row>
    <row r="30" ht="15.0" customHeight="1">
      <c r="A30" s="87"/>
      <c r="B30" s="87"/>
      <c r="C30" s="87"/>
      <c r="D30" s="87"/>
      <c r="E30" s="155"/>
      <c r="F30" s="47"/>
      <c r="G30" s="47"/>
    </row>
    <row r="31" ht="15.0" customHeight="1">
      <c r="A31" s="87"/>
      <c r="B31" s="87"/>
      <c r="C31" s="87"/>
      <c r="D31" s="87"/>
      <c r="E31" s="155"/>
      <c r="F31" s="47"/>
      <c r="G31" s="47"/>
    </row>
    <row r="32" ht="15.0" customHeight="1">
      <c r="A32" s="87"/>
      <c r="B32" s="87"/>
      <c r="C32" s="87"/>
      <c r="D32" s="87"/>
      <c r="E32" s="155"/>
      <c r="F32" s="47"/>
      <c r="G32" s="47"/>
    </row>
    <row r="33" ht="15.0" customHeight="1">
      <c r="A33" s="87"/>
      <c r="B33" s="87"/>
      <c r="C33" s="87"/>
      <c r="D33" s="87"/>
      <c r="E33" s="155"/>
      <c r="F33" s="47"/>
      <c r="G33" s="47"/>
    </row>
    <row r="34" ht="15.0" customHeight="1">
      <c r="A34" s="87"/>
      <c r="B34" s="87"/>
      <c r="C34" s="87"/>
      <c r="D34" s="87"/>
      <c r="E34" s="155"/>
      <c r="F34" s="47"/>
      <c r="G34" s="47"/>
    </row>
    <row r="35" ht="15.0" customHeight="1">
      <c r="A35" s="87"/>
      <c r="B35" s="87"/>
      <c r="C35" s="87"/>
      <c r="D35" s="87"/>
      <c r="E35" s="155"/>
      <c r="F35" s="47"/>
      <c r="G35" s="47"/>
    </row>
    <row r="36" ht="15.0" customHeight="1">
      <c r="A36" s="87"/>
      <c r="B36" s="87"/>
      <c r="C36" s="87"/>
      <c r="D36" s="87"/>
      <c r="E36" s="155"/>
      <c r="F36" s="47"/>
      <c r="G36" s="47"/>
    </row>
    <row r="37" ht="15.0" customHeight="1">
      <c r="A37" s="87"/>
      <c r="B37" s="87"/>
      <c r="C37" s="87"/>
      <c r="D37" s="87"/>
      <c r="E37" s="155"/>
      <c r="F37" s="47"/>
      <c r="G37" s="47"/>
    </row>
    <row r="38" ht="15.0" customHeight="1">
      <c r="A38" s="87"/>
      <c r="B38" s="87"/>
      <c r="C38" s="87"/>
      <c r="D38" s="87"/>
      <c r="E38" s="155"/>
      <c r="F38" s="47"/>
      <c r="G38" s="47"/>
    </row>
    <row r="39" ht="15.0" customHeight="1">
      <c r="A39" s="87"/>
      <c r="B39" s="87"/>
      <c r="C39" s="87"/>
      <c r="D39" s="87"/>
      <c r="E39" s="155"/>
      <c r="F39" s="47"/>
      <c r="G39" s="47"/>
    </row>
    <row r="40" ht="15.0" customHeight="1">
      <c r="A40" s="87"/>
      <c r="B40" s="87"/>
      <c r="C40" s="87"/>
      <c r="D40" s="87"/>
      <c r="E40" s="155"/>
      <c r="F40" s="47"/>
      <c r="G40" s="47"/>
    </row>
    <row r="41" ht="15.0" customHeight="1">
      <c r="A41" s="87"/>
      <c r="B41" s="87"/>
      <c r="C41" s="87"/>
      <c r="D41" s="87"/>
      <c r="E41" s="155"/>
      <c r="F41" s="47"/>
      <c r="G41" s="47"/>
    </row>
    <row r="42" ht="15.0" customHeight="1">
      <c r="A42" s="87"/>
      <c r="B42" s="87"/>
      <c r="C42" s="87"/>
      <c r="D42" s="87"/>
      <c r="E42" s="155"/>
      <c r="F42" s="47"/>
      <c r="G42" s="47"/>
    </row>
    <row r="43" ht="15.0" customHeight="1">
      <c r="A43" s="87"/>
      <c r="B43" s="87"/>
      <c r="C43" s="87"/>
      <c r="D43" s="87"/>
      <c r="E43" s="155"/>
      <c r="F43" s="47"/>
      <c r="G43" s="47"/>
    </row>
    <row r="44" ht="15.0" customHeight="1">
      <c r="A44" s="87"/>
      <c r="B44" s="87"/>
      <c r="C44" s="87"/>
      <c r="D44" s="87"/>
      <c r="E44" s="155"/>
      <c r="F44" s="47"/>
      <c r="G44" s="47"/>
    </row>
    <row r="45" ht="15.0" customHeight="1">
      <c r="A45" s="87"/>
      <c r="B45" s="87"/>
      <c r="C45" s="87"/>
      <c r="D45" s="87"/>
      <c r="E45" s="155"/>
      <c r="F45" s="47"/>
      <c r="G45" s="47"/>
    </row>
    <row r="46" ht="15.0" customHeight="1">
      <c r="A46" s="87"/>
      <c r="B46" s="87"/>
      <c r="C46" s="87"/>
      <c r="D46" s="87"/>
      <c r="E46" s="155"/>
      <c r="F46" s="47"/>
      <c r="G46" s="47"/>
    </row>
    <row r="47" ht="15.0" customHeight="1">
      <c r="A47" s="87"/>
      <c r="B47" s="87"/>
      <c r="C47" s="87"/>
      <c r="D47" s="87"/>
      <c r="E47" s="155"/>
      <c r="F47" s="47"/>
      <c r="G47" s="47"/>
    </row>
    <row r="48" ht="15.0" customHeight="1">
      <c r="A48" s="87"/>
      <c r="B48" s="87"/>
      <c r="C48" s="87"/>
      <c r="D48" s="87"/>
      <c r="E48" s="155"/>
      <c r="F48" s="47"/>
      <c r="G48" s="47"/>
    </row>
    <row r="49" ht="15.0" customHeight="1">
      <c r="A49" s="87"/>
      <c r="B49" s="87"/>
      <c r="C49" s="87"/>
      <c r="D49" s="87"/>
      <c r="E49" s="155"/>
      <c r="F49" s="47"/>
      <c r="G49" s="47"/>
    </row>
    <row r="50" ht="15.0" customHeight="1">
      <c r="A50" s="87"/>
      <c r="B50" s="87"/>
      <c r="C50" s="87"/>
      <c r="D50" s="87"/>
      <c r="E50" s="155"/>
      <c r="F50" s="47"/>
      <c r="G50" s="47"/>
    </row>
    <row r="51" ht="15.0" customHeight="1">
      <c r="A51" s="87"/>
      <c r="B51" s="87"/>
      <c r="C51" s="87"/>
      <c r="D51" s="87"/>
      <c r="E51" s="155"/>
      <c r="F51" s="47"/>
      <c r="G51" s="47"/>
    </row>
    <row r="52" ht="15.0" customHeight="1">
      <c r="A52" s="87"/>
      <c r="B52" s="87"/>
      <c r="C52" s="87"/>
      <c r="D52" s="87"/>
      <c r="E52" s="155"/>
      <c r="F52" s="47"/>
      <c r="G52" s="47"/>
    </row>
    <row r="53" ht="15.0" customHeight="1">
      <c r="A53" s="87"/>
      <c r="B53" s="87"/>
      <c r="C53" s="87"/>
      <c r="D53" s="87"/>
      <c r="E53" s="155"/>
      <c r="F53" s="47"/>
      <c r="G53" s="47"/>
    </row>
    <row r="54" ht="15.75" customHeight="1">
      <c r="A54" s="47"/>
      <c r="B54" s="47"/>
      <c r="C54" s="47"/>
      <c r="D54" s="47"/>
      <c r="E54" s="47"/>
      <c r="F54" s="47"/>
      <c r="G54" s="47"/>
    </row>
    <row r="55" ht="15.75" customHeight="1">
      <c r="A55" s="47"/>
      <c r="B55" s="47"/>
      <c r="C55" s="47"/>
      <c r="D55" s="47"/>
      <c r="E55" s="47"/>
      <c r="F55" s="47"/>
      <c r="G55" s="47"/>
    </row>
    <row r="56" ht="15.75" customHeight="1">
      <c r="A56" s="47"/>
      <c r="B56" s="47"/>
      <c r="C56" s="47"/>
      <c r="D56" s="47"/>
      <c r="E56" s="47"/>
      <c r="F56" s="47"/>
      <c r="G56" s="47"/>
    </row>
    <row r="57" ht="15.75" customHeight="1">
      <c r="A57" s="47"/>
      <c r="B57" s="47"/>
      <c r="C57" s="47"/>
      <c r="D57" s="47"/>
      <c r="E57" s="47"/>
      <c r="F57" s="47"/>
      <c r="G57" s="47"/>
    </row>
    <row r="58" ht="15.75" customHeight="1">
      <c r="A58" s="47"/>
      <c r="B58" s="47"/>
      <c r="C58" s="47"/>
      <c r="D58" s="47"/>
      <c r="E58" s="47"/>
      <c r="F58" s="47"/>
      <c r="G58" s="47"/>
    </row>
    <row r="59" ht="15.75" customHeight="1">
      <c r="A59" s="47"/>
      <c r="B59" s="47"/>
      <c r="C59" s="47"/>
      <c r="D59" s="47"/>
      <c r="E59" s="47"/>
      <c r="F59" s="47"/>
      <c r="G59" s="47"/>
    </row>
    <row r="60" ht="15.75" customHeight="1">
      <c r="A60" s="47"/>
      <c r="B60" s="47"/>
      <c r="C60" s="47"/>
      <c r="D60" s="47"/>
      <c r="E60" s="47"/>
      <c r="F60" s="47"/>
      <c r="G60" s="47"/>
    </row>
    <row r="61" ht="15.75" customHeight="1">
      <c r="A61" s="47"/>
      <c r="B61" s="47"/>
      <c r="C61" s="47"/>
      <c r="D61" s="47"/>
      <c r="E61" s="47"/>
      <c r="F61" s="47"/>
      <c r="G61" s="47"/>
    </row>
    <row r="62" ht="15.75" customHeight="1">
      <c r="A62" s="47"/>
      <c r="B62" s="47"/>
      <c r="C62" s="47"/>
      <c r="D62" s="47"/>
      <c r="E62" s="47"/>
      <c r="F62" s="47"/>
      <c r="G62" s="47"/>
    </row>
    <row r="63" ht="15.75" customHeight="1">
      <c r="A63" s="47"/>
      <c r="B63" s="47"/>
      <c r="C63" s="47"/>
      <c r="D63" s="47"/>
      <c r="E63" s="47"/>
      <c r="F63" s="47"/>
      <c r="G63" s="47"/>
    </row>
    <row r="64" ht="15.75" customHeight="1">
      <c r="A64" s="47"/>
      <c r="B64" s="47"/>
      <c r="C64" s="47"/>
      <c r="D64" s="47"/>
      <c r="E64" s="47"/>
      <c r="F64" s="47"/>
      <c r="G64" s="47"/>
    </row>
    <row r="65" ht="15.75" customHeight="1">
      <c r="A65" s="47"/>
      <c r="B65" s="47"/>
      <c r="C65" s="47"/>
      <c r="D65" s="47"/>
      <c r="E65" s="47"/>
      <c r="F65" s="47"/>
      <c r="G65" s="47"/>
    </row>
    <row r="66" ht="15.75" customHeight="1">
      <c r="A66" s="47"/>
      <c r="B66" s="47"/>
      <c r="C66" s="47"/>
      <c r="D66" s="47"/>
      <c r="E66" s="47"/>
      <c r="F66" s="47"/>
      <c r="G66" s="47"/>
    </row>
    <row r="67" ht="15.75" customHeight="1">
      <c r="A67" s="47"/>
      <c r="B67" s="47"/>
      <c r="C67" s="47"/>
      <c r="D67" s="47"/>
      <c r="E67" s="47"/>
      <c r="F67" s="47"/>
      <c r="G67" s="47"/>
    </row>
    <row r="68" ht="15.75" customHeight="1">
      <c r="A68" s="47"/>
      <c r="B68" s="47"/>
      <c r="C68" s="47"/>
      <c r="D68" s="47"/>
      <c r="E68" s="47"/>
      <c r="F68" s="47"/>
      <c r="G68" s="47"/>
    </row>
    <row r="69" ht="15.75" customHeight="1">
      <c r="A69" s="47"/>
      <c r="B69" s="47"/>
      <c r="C69" s="47"/>
      <c r="D69" s="47"/>
      <c r="E69" s="47"/>
      <c r="F69" s="47"/>
      <c r="G69" s="47"/>
    </row>
    <row r="70" ht="15.75" customHeight="1">
      <c r="A70" s="47"/>
      <c r="B70" s="47"/>
      <c r="C70" s="47"/>
      <c r="D70" s="47"/>
      <c r="E70" s="47"/>
      <c r="F70" s="47"/>
      <c r="G70" s="47"/>
    </row>
    <row r="71" ht="15.75" customHeight="1">
      <c r="A71" s="47"/>
      <c r="B71" s="47"/>
      <c r="C71" s="47"/>
      <c r="D71" s="47"/>
      <c r="E71" s="47"/>
      <c r="F71" s="47"/>
      <c r="G71" s="47"/>
    </row>
    <row r="72" ht="15.75" customHeight="1">
      <c r="A72" s="47"/>
      <c r="B72" s="47"/>
      <c r="C72" s="47"/>
      <c r="D72" s="47"/>
      <c r="E72" s="47"/>
      <c r="F72" s="47"/>
      <c r="G72" s="47"/>
    </row>
    <row r="73" ht="15.75" customHeight="1">
      <c r="A73" s="47"/>
      <c r="B73" s="47"/>
      <c r="C73" s="47"/>
      <c r="D73" s="47"/>
      <c r="E73" s="47"/>
      <c r="F73" s="47"/>
      <c r="G73" s="47"/>
    </row>
    <row r="74" ht="15.75" customHeight="1">
      <c r="A74" s="47"/>
      <c r="B74" s="47"/>
      <c r="C74" s="47"/>
      <c r="D74" s="47"/>
      <c r="E74" s="47"/>
      <c r="F74" s="47"/>
      <c r="G74" s="47"/>
    </row>
    <row r="75" ht="15.75" customHeight="1">
      <c r="A75" s="47"/>
      <c r="B75" s="47"/>
      <c r="C75" s="47"/>
      <c r="D75" s="47"/>
      <c r="E75" s="47"/>
      <c r="F75" s="47"/>
      <c r="G75" s="47"/>
    </row>
    <row r="76" ht="15.75" customHeight="1">
      <c r="A76" s="47"/>
      <c r="B76" s="47"/>
      <c r="C76" s="47"/>
      <c r="D76" s="47"/>
      <c r="E76" s="47"/>
      <c r="F76" s="47"/>
      <c r="G76" s="47"/>
    </row>
    <row r="77" ht="15.75" customHeight="1">
      <c r="A77" s="47"/>
      <c r="B77" s="47"/>
      <c r="C77" s="47"/>
      <c r="D77" s="47"/>
      <c r="E77" s="47"/>
      <c r="F77" s="47"/>
      <c r="G77" s="47"/>
    </row>
    <row r="78" ht="15.75" customHeight="1">
      <c r="A78" s="47"/>
      <c r="B78" s="47"/>
      <c r="C78" s="47"/>
      <c r="D78" s="47"/>
      <c r="E78" s="47"/>
      <c r="F78" s="47"/>
      <c r="G78" s="47"/>
    </row>
    <row r="79" ht="15.75" customHeight="1">
      <c r="A79" s="47"/>
      <c r="B79" s="47"/>
      <c r="C79" s="47"/>
      <c r="D79" s="47"/>
      <c r="E79" s="47"/>
      <c r="F79" s="47"/>
      <c r="G79" s="47"/>
    </row>
    <row r="80" ht="15.75" customHeight="1">
      <c r="A80" s="47"/>
      <c r="B80" s="47"/>
      <c r="C80" s="47"/>
      <c r="D80" s="47"/>
      <c r="E80" s="47"/>
      <c r="F80" s="47"/>
      <c r="G80" s="47"/>
    </row>
    <row r="81" ht="15.75" customHeight="1">
      <c r="A81" s="47"/>
      <c r="B81" s="47"/>
      <c r="C81" s="47"/>
      <c r="D81" s="47"/>
      <c r="E81" s="47"/>
      <c r="F81" s="47"/>
      <c r="G81" s="47"/>
    </row>
    <row r="82" ht="15.75" customHeight="1">
      <c r="A82" s="47"/>
      <c r="B82" s="47"/>
      <c r="C82" s="47"/>
      <c r="D82" s="47"/>
      <c r="E82" s="47"/>
      <c r="F82" s="47"/>
      <c r="G82" s="47"/>
    </row>
    <row r="83" ht="15.75" customHeight="1">
      <c r="A83" s="47"/>
      <c r="B83" s="47"/>
      <c r="C83" s="47"/>
      <c r="D83" s="47"/>
      <c r="E83" s="47"/>
      <c r="F83" s="47"/>
      <c r="G83" s="47"/>
    </row>
    <row r="84" ht="15.75" customHeight="1">
      <c r="A84" s="47"/>
      <c r="B84" s="47"/>
      <c r="C84" s="47"/>
      <c r="D84" s="47"/>
      <c r="E84" s="47"/>
      <c r="F84" s="47"/>
      <c r="G84" s="47"/>
    </row>
    <row r="85" ht="15.75" customHeight="1">
      <c r="A85" s="47"/>
      <c r="B85" s="47"/>
      <c r="C85" s="47"/>
      <c r="D85" s="47"/>
      <c r="E85" s="47"/>
      <c r="F85" s="47"/>
      <c r="G85" s="47"/>
    </row>
    <row r="86" ht="15.75" customHeight="1">
      <c r="A86" s="47"/>
      <c r="B86" s="47"/>
      <c r="C86" s="47"/>
      <c r="D86" s="47"/>
      <c r="E86" s="47"/>
      <c r="F86" s="47"/>
      <c r="G86" s="47"/>
    </row>
    <row r="87" ht="15.75" customHeight="1">
      <c r="A87" s="47"/>
      <c r="B87" s="47"/>
      <c r="C87" s="47"/>
      <c r="D87" s="47"/>
      <c r="E87" s="47"/>
      <c r="F87" s="47"/>
      <c r="G87" s="47"/>
    </row>
    <row r="88" ht="15.75" customHeight="1">
      <c r="A88" s="47"/>
      <c r="B88" s="47"/>
      <c r="C88" s="47"/>
      <c r="D88" s="47"/>
      <c r="E88" s="47"/>
      <c r="F88" s="47"/>
      <c r="G88" s="47"/>
    </row>
    <row r="89" ht="15.75" customHeight="1">
      <c r="A89" s="47"/>
      <c r="B89" s="47"/>
      <c r="C89" s="47"/>
      <c r="D89" s="47"/>
      <c r="E89" s="47"/>
      <c r="F89" s="47"/>
      <c r="G89" s="47"/>
    </row>
    <row r="90" ht="15.75" customHeight="1">
      <c r="A90" s="47"/>
      <c r="B90" s="47"/>
      <c r="C90" s="47"/>
      <c r="D90" s="47"/>
      <c r="E90" s="47"/>
      <c r="F90" s="47"/>
      <c r="G90" s="47"/>
    </row>
    <row r="91" ht="15.75" customHeight="1">
      <c r="A91" s="47"/>
      <c r="B91" s="47"/>
      <c r="C91" s="47"/>
      <c r="D91" s="47"/>
      <c r="E91" s="47"/>
      <c r="F91" s="47"/>
      <c r="G91" s="47"/>
    </row>
    <row r="92" ht="15.75" customHeight="1">
      <c r="A92" s="47"/>
      <c r="B92" s="47"/>
      <c r="C92" s="47"/>
      <c r="D92" s="47"/>
      <c r="E92" s="47"/>
      <c r="F92" s="47"/>
      <c r="G92" s="47"/>
    </row>
    <row r="93" ht="15.75" customHeight="1">
      <c r="A93" s="47"/>
      <c r="B93" s="47"/>
      <c r="C93" s="47"/>
      <c r="D93" s="47"/>
      <c r="E93" s="47"/>
      <c r="F93" s="47"/>
      <c r="G93" s="47"/>
    </row>
    <row r="94" ht="15.75" customHeight="1">
      <c r="A94" s="47"/>
      <c r="B94" s="47"/>
      <c r="C94" s="47"/>
      <c r="D94" s="47"/>
      <c r="E94" s="47"/>
      <c r="F94" s="47"/>
      <c r="G94" s="47"/>
    </row>
    <row r="95" ht="15.75" customHeight="1">
      <c r="A95" s="47"/>
      <c r="B95" s="47"/>
      <c r="C95" s="47"/>
      <c r="D95" s="47"/>
      <c r="E95" s="47"/>
      <c r="F95" s="47"/>
      <c r="G95" s="47"/>
    </row>
    <row r="96" ht="15.75" customHeight="1">
      <c r="A96" s="47"/>
      <c r="B96" s="47"/>
      <c r="C96" s="47"/>
      <c r="D96" s="47"/>
      <c r="E96" s="47"/>
      <c r="F96" s="47"/>
      <c r="G96" s="47"/>
    </row>
    <row r="97" ht="15.75" customHeight="1">
      <c r="A97" s="47"/>
      <c r="B97" s="47"/>
      <c r="C97" s="47"/>
      <c r="D97" s="47"/>
      <c r="E97" s="47"/>
      <c r="F97" s="47"/>
      <c r="G97" s="47"/>
    </row>
    <row r="98" ht="15.75" customHeight="1">
      <c r="A98" s="47"/>
      <c r="B98" s="47"/>
      <c r="C98" s="47"/>
      <c r="D98" s="47"/>
      <c r="E98" s="47"/>
      <c r="F98" s="47"/>
      <c r="G98" s="47"/>
    </row>
    <row r="99" ht="15.75" customHeight="1">
      <c r="A99" s="47"/>
      <c r="B99" s="47"/>
      <c r="C99" s="47"/>
      <c r="D99" s="47"/>
      <c r="E99" s="47"/>
      <c r="F99" s="47"/>
      <c r="G99" s="47"/>
    </row>
    <row r="100" ht="15.75" customHeight="1">
      <c r="A100" s="47"/>
      <c r="B100" s="47"/>
      <c r="C100" s="47"/>
      <c r="D100" s="47"/>
      <c r="E100" s="47"/>
      <c r="F100" s="47"/>
      <c r="G100" s="47"/>
    </row>
    <row r="101" ht="15.75" customHeight="1">
      <c r="A101" s="47"/>
      <c r="B101" s="47"/>
      <c r="C101" s="47"/>
      <c r="D101" s="47"/>
      <c r="E101" s="47"/>
      <c r="F101" s="47"/>
      <c r="G101" s="47"/>
    </row>
    <row r="102" ht="15.75" customHeight="1">
      <c r="A102" s="47"/>
      <c r="B102" s="47"/>
      <c r="C102" s="47"/>
      <c r="D102" s="47"/>
      <c r="E102" s="47"/>
      <c r="F102" s="47"/>
      <c r="G102" s="47"/>
    </row>
    <row r="103" ht="15.75" customHeight="1">
      <c r="A103" s="47"/>
      <c r="B103" s="47"/>
      <c r="C103" s="47"/>
      <c r="D103" s="47"/>
      <c r="E103" s="47"/>
      <c r="F103" s="47"/>
      <c r="G103" s="47"/>
    </row>
    <row r="104" ht="15.75" customHeight="1">
      <c r="A104" s="47"/>
      <c r="B104" s="47"/>
      <c r="C104" s="47"/>
      <c r="D104" s="47"/>
      <c r="E104" s="47"/>
      <c r="F104" s="47"/>
      <c r="G104" s="47"/>
    </row>
    <row r="105" ht="15.75" customHeight="1">
      <c r="A105" s="47"/>
      <c r="B105" s="47"/>
      <c r="C105" s="47"/>
      <c r="D105" s="47"/>
      <c r="E105" s="47"/>
      <c r="F105" s="47"/>
      <c r="G105" s="47"/>
    </row>
    <row r="106" ht="15.75" customHeight="1">
      <c r="A106" s="47"/>
      <c r="B106" s="47"/>
      <c r="C106" s="47"/>
      <c r="D106" s="47"/>
      <c r="E106" s="47"/>
      <c r="F106" s="47"/>
      <c r="G106" s="47"/>
    </row>
    <row r="107" ht="15.75" customHeight="1">
      <c r="A107" s="47"/>
      <c r="B107" s="47"/>
      <c r="C107" s="47"/>
      <c r="D107" s="47"/>
      <c r="E107" s="47"/>
      <c r="F107" s="47"/>
      <c r="G107" s="47"/>
    </row>
    <row r="108" ht="15.75" customHeight="1">
      <c r="A108" s="47"/>
      <c r="B108" s="47"/>
      <c r="C108" s="47"/>
      <c r="D108" s="47"/>
      <c r="E108" s="47"/>
      <c r="F108" s="47"/>
      <c r="G108" s="47"/>
    </row>
    <row r="109" ht="15.75" customHeight="1">
      <c r="A109" s="47"/>
      <c r="B109" s="47"/>
      <c r="C109" s="47"/>
      <c r="D109" s="47"/>
      <c r="E109" s="47"/>
      <c r="F109" s="47"/>
      <c r="G109" s="47"/>
    </row>
    <row r="110" ht="15.75" customHeight="1">
      <c r="A110" s="47"/>
      <c r="B110" s="47"/>
      <c r="C110" s="47"/>
      <c r="D110" s="47"/>
      <c r="E110" s="47"/>
      <c r="F110" s="47"/>
      <c r="G110" s="47"/>
    </row>
    <row r="111" ht="15.75" customHeight="1">
      <c r="A111" s="47"/>
      <c r="B111" s="47"/>
      <c r="C111" s="47"/>
      <c r="D111" s="47"/>
      <c r="E111" s="47"/>
      <c r="F111" s="47"/>
      <c r="G111" s="47"/>
    </row>
    <row r="112" ht="15.75" customHeight="1">
      <c r="A112" s="47"/>
      <c r="B112" s="47"/>
      <c r="C112" s="47"/>
      <c r="D112" s="47"/>
      <c r="E112" s="47"/>
      <c r="F112" s="47"/>
      <c r="G112" s="47"/>
    </row>
    <row r="113" ht="15.75" customHeight="1">
      <c r="A113" s="47"/>
      <c r="B113" s="47"/>
      <c r="C113" s="47"/>
      <c r="D113" s="47"/>
      <c r="E113" s="47"/>
      <c r="F113" s="47"/>
      <c r="G113" s="47"/>
    </row>
    <row r="114" ht="15.75" customHeight="1">
      <c r="A114" s="47"/>
      <c r="B114" s="47"/>
      <c r="C114" s="47"/>
      <c r="D114" s="47"/>
      <c r="E114" s="47"/>
      <c r="F114" s="47"/>
      <c r="G114" s="47"/>
    </row>
    <row r="115" ht="15.75" customHeight="1">
      <c r="A115" s="47"/>
      <c r="B115" s="47"/>
      <c r="C115" s="47"/>
      <c r="D115" s="47"/>
      <c r="E115" s="47"/>
      <c r="F115" s="47"/>
      <c r="G115" s="47"/>
    </row>
    <row r="116" ht="15.75" customHeight="1">
      <c r="A116" s="47"/>
      <c r="B116" s="47"/>
      <c r="C116" s="47"/>
      <c r="D116" s="47"/>
      <c r="E116" s="47"/>
      <c r="F116" s="47"/>
      <c r="G116" s="47"/>
    </row>
    <row r="117" ht="15.75" customHeight="1">
      <c r="A117" s="47"/>
      <c r="B117" s="47"/>
      <c r="C117" s="47"/>
      <c r="D117" s="47"/>
      <c r="E117" s="47"/>
      <c r="F117" s="47"/>
      <c r="G117" s="47"/>
    </row>
    <row r="118" ht="15.75" customHeight="1">
      <c r="A118" s="47"/>
      <c r="B118" s="47"/>
      <c r="C118" s="47"/>
      <c r="D118" s="47"/>
      <c r="E118" s="47"/>
      <c r="F118" s="47"/>
      <c r="G118" s="47"/>
    </row>
    <row r="119" ht="15.75" customHeight="1">
      <c r="A119" s="47"/>
      <c r="B119" s="47"/>
      <c r="C119" s="47"/>
      <c r="D119" s="47"/>
      <c r="E119" s="47"/>
      <c r="F119" s="47"/>
      <c r="G119" s="47"/>
    </row>
    <row r="120" ht="15.75" customHeight="1">
      <c r="A120" s="47"/>
      <c r="B120" s="47"/>
      <c r="C120" s="47"/>
      <c r="D120" s="47"/>
      <c r="E120" s="47"/>
      <c r="F120" s="47"/>
      <c r="G120" s="47"/>
    </row>
    <row r="121" ht="15.75" customHeight="1">
      <c r="A121" s="47"/>
      <c r="B121" s="47"/>
      <c r="C121" s="47"/>
      <c r="D121" s="47"/>
      <c r="E121" s="47"/>
      <c r="F121" s="47"/>
      <c r="G121" s="47"/>
    </row>
    <row r="122" ht="15.75" customHeight="1">
      <c r="A122" s="47"/>
      <c r="B122" s="47"/>
      <c r="C122" s="47"/>
      <c r="D122" s="47"/>
      <c r="E122" s="47"/>
      <c r="F122" s="47"/>
      <c r="G122" s="47"/>
    </row>
    <row r="123" ht="15.75" customHeight="1">
      <c r="A123" s="47"/>
      <c r="B123" s="47"/>
      <c r="C123" s="47"/>
      <c r="D123" s="47"/>
      <c r="E123" s="47"/>
      <c r="F123" s="47"/>
      <c r="G123" s="47"/>
    </row>
    <row r="124" ht="15.75" customHeight="1">
      <c r="A124" s="47"/>
      <c r="B124" s="47"/>
      <c r="C124" s="47"/>
      <c r="D124" s="47"/>
      <c r="E124" s="47"/>
      <c r="F124" s="47"/>
      <c r="G124" s="47"/>
    </row>
    <row r="125" ht="15.75" customHeight="1">
      <c r="A125" s="47"/>
      <c r="B125" s="47"/>
      <c r="C125" s="47"/>
      <c r="D125" s="47"/>
      <c r="E125" s="47"/>
      <c r="F125" s="47"/>
      <c r="G125" s="47"/>
    </row>
    <row r="126" ht="15.75" customHeight="1">
      <c r="A126" s="47"/>
      <c r="B126" s="47"/>
      <c r="C126" s="47"/>
      <c r="D126" s="47"/>
      <c r="E126" s="47"/>
      <c r="F126" s="47"/>
      <c r="G126" s="47"/>
    </row>
    <row r="127" ht="15.75" customHeight="1">
      <c r="A127" s="47"/>
      <c r="B127" s="47"/>
      <c r="C127" s="47"/>
      <c r="D127" s="47"/>
      <c r="E127" s="47"/>
      <c r="F127" s="47"/>
      <c r="G127" s="47"/>
    </row>
    <row r="128" ht="15.75" customHeight="1">
      <c r="A128" s="47"/>
      <c r="B128" s="47"/>
      <c r="C128" s="47"/>
      <c r="D128" s="47"/>
      <c r="E128" s="47"/>
      <c r="F128" s="47"/>
      <c r="G128" s="47"/>
    </row>
    <row r="129" ht="15.75" customHeight="1">
      <c r="A129" s="47"/>
      <c r="B129" s="47"/>
      <c r="C129" s="47"/>
      <c r="D129" s="47"/>
      <c r="E129" s="47"/>
      <c r="F129" s="47"/>
      <c r="G129" s="47"/>
    </row>
    <row r="130" ht="15.75" customHeight="1">
      <c r="A130" s="47"/>
      <c r="B130" s="47"/>
      <c r="C130" s="47"/>
      <c r="D130" s="47"/>
      <c r="E130" s="47"/>
      <c r="F130" s="47"/>
      <c r="G130" s="47"/>
    </row>
    <row r="131" ht="15.75" customHeight="1">
      <c r="A131" s="47"/>
      <c r="B131" s="47"/>
      <c r="C131" s="47"/>
      <c r="D131" s="47"/>
      <c r="E131" s="47"/>
      <c r="F131" s="47"/>
      <c r="G131" s="47"/>
    </row>
    <row r="132" ht="15.75" customHeight="1">
      <c r="A132" s="47"/>
      <c r="B132" s="47"/>
      <c r="C132" s="47"/>
      <c r="D132" s="47"/>
      <c r="E132" s="47"/>
      <c r="F132" s="47"/>
      <c r="G132" s="47"/>
    </row>
    <row r="133" ht="15.75" customHeight="1">
      <c r="A133" s="47"/>
      <c r="B133" s="47"/>
      <c r="C133" s="47"/>
      <c r="D133" s="47"/>
      <c r="E133" s="47"/>
      <c r="F133" s="47"/>
      <c r="G133" s="47"/>
    </row>
    <row r="134" ht="15.75" customHeight="1">
      <c r="A134" s="47"/>
      <c r="B134" s="47"/>
      <c r="C134" s="47"/>
      <c r="D134" s="47"/>
      <c r="E134" s="47"/>
      <c r="F134" s="47"/>
      <c r="G134" s="47"/>
    </row>
    <row r="135" ht="15.75" customHeight="1">
      <c r="A135" s="47"/>
      <c r="B135" s="47"/>
      <c r="C135" s="47"/>
      <c r="D135" s="47"/>
      <c r="E135" s="47"/>
      <c r="F135" s="47"/>
      <c r="G135" s="47"/>
    </row>
    <row r="136" ht="15.75" customHeight="1">
      <c r="A136" s="47"/>
      <c r="B136" s="47"/>
      <c r="C136" s="47"/>
      <c r="D136" s="47"/>
      <c r="E136" s="47"/>
      <c r="F136" s="47"/>
      <c r="G136" s="47"/>
    </row>
    <row r="137" ht="15.75" customHeight="1">
      <c r="A137" s="47"/>
      <c r="B137" s="47"/>
      <c r="C137" s="47"/>
      <c r="D137" s="47"/>
      <c r="E137" s="47"/>
      <c r="F137" s="47"/>
      <c r="G137" s="47"/>
    </row>
    <row r="138" ht="15.75" customHeight="1">
      <c r="A138" s="47"/>
      <c r="B138" s="47"/>
      <c r="C138" s="47"/>
      <c r="D138" s="47"/>
      <c r="E138" s="47"/>
      <c r="F138" s="47"/>
      <c r="G138" s="47"/>
    </row>
    <row r="139" ht="15.75" customHeight="1">
      <c r="A139" s="47"/>
      <c r="B139" s="47"/>
      <c r="C139" s="47"/>
      <c r="D139" s="47"/>
      <c r="E139" s="47"/>
      <c r="F139" s="47"/>
      <c r="G139" s="47"/>
    </row>
    <row r="140" ht="15.75" customHeight="1">
      <c r="A140" s="47"/>
      <c r="B140" s="47"/>
      <c r="C140" s="47"/>
      <c r="D140" s="47"/>
      <c r="E140" s="47"/>
      <c r="F140" s="47"/>
      <c r="G140" s="47"/>
    </row>
    <row r="141" ht="15.75" customHeight="1">
      <c r="A141" s="47"/>
      <c r="B141" s="47"/>
      <c r="C141" s="47"/>
      <c r="D141" s="47"/>
      <c r="E141" s="47"/>
      <c r="F141" s="47"/>
      <c r="G141" s="47"/>
    </row>
    <row r="142" ht="15.75" customHeight="1">
      <c r="A142" s="47"/>
      <c r="B142" s="47"/>
      <c r="C142" s="47"/>
      <c r="D142" s="47"/>
      <c r="E142" s="47"/>
      <c r="F142" s="47"/>
      <c r="G142" s="47"/>
    </row>
    <row r="143" ht="15.75" customHeight="1">
      <c r="A143" s="47"/>
      <c r="B143" s="47"/>
      <c r="C143" s="47"/>
      <c r="D143" s="47"/>
      <c r="E143" s="47"/>
      <c r="F143" s="47"/>
      <c r="G143" s="47"/>
    </row>
    <row r="144" ht="15.75" customHeight="1">
      <c r="A144" s="47"/>
      <c r="B144" s="47"/>
      <c r="C144" s="47"/>
      <c r="D144" s="47"/>
      <c r="E144" s="47"/>
      <c r="F144" s="47"/>
      <c r="G144" s="47"/>
    </row>
    <row r="145" ht="15.75" customHeight="1">
      <c r="A145" s="47"/>
      <c r="B145" s="47"/>
      <c r="C145" s="47"/>
      <c r="D145" s="47"/>
      <c r="E145" s="47"/>
      <c r="F145" s="47"/>
      <c r="G145" s="47"/>
    </row>
    <row r="146" ht="15.75" customHeight="1">
      <c r="A146" s="47"/>
      <c r="B146" s="47"/>
      <c r="C146" s="47"/>
      <c r="D146" s="47"/>
      <c r="E146" s="47"/>
      <c r="F146" s="47"/>
      <c r="G146" s="47"/>
    </row>
    <row r="147" ht="15.75" customHeight="1">
      <c r="A147" s="47"/>
      <c r="B147" s="47"/>
      <c r="C147" s="47"/>
      <c r="D147" s="47"/>
      <c r="E147" s="47"/>
      <c r="F147" s="47"/>
      <c r="G147" s="47"/>
    </row>
    <row r="148" ht="15.75" customHeight="1">
      <c r="A148" s="47"/>
      <c r="B148" s="47"/>
      <c r="C148" s="47"/>
      <c r="D148" s="47"/>
      <c r="E148" s="47"/>
      <c r="F148" s="47"/>
      <c r="G148" s="47"/>
    </row>
    <row r="149" ht="15.75" customHeight="1">
      <c r="A149" s="47"/>
      <c r="B149" s="47"/>
      <c r="C149" s="47"/>
      <c r="D149" s="47"/>
      <c r="E149" s="47"/>
      <c r="F149" s="47"/>
      <c r="G149" s="47"/>
    </row>
    <row r="150" ht="15.75" customHeight="1">
      <c r="A150" s="47"/>
      <c r="B150" s="47"/>
      <c r="C150" s="47"/>
      <c r="D150" s="47"/>
      <c r="E150" s="47"/>
      <c r="F150" s="47"/>
      <c r="G150" s="47"/>
    </row>
    <row r="151" ht="15.75" customHeight="1">
      <c r="A151" s="47"/>
      <c r="B151" s="47"/>
      <c r="C151" s="47"/>
      <c r="D151" s="47"/>
      <c r="E151" s="47"/>
      <c r="F151" s="47"/>
      <c r="G151" s="47"/>
    </row>
    <row r="152" ht="15.75" customHeight="1">
      <c r="A152" s="47"/>
      <c r="B152" s="47"/>
      <c r="C152" s="47"/>
      <c r="D152" s="47"/>
      <c r="E152" s="47"/>
      <c r="F152" s="47"/>
      <c r="G152" s="47"/>
    </row>
    <row r="153" ht="15.75" customHeight="1">
      <c r="A153" s="47"/>
      <c r="B153" s="47"/>
      <c r="C153" s="47"/>
      <c r="D153" s="47"/>
      <c r="E153" s="47"/>
      <c r="F153" s="47"/>
      <c r="G153" s="47"/>
    </row>
    <row r="154" ht="15.75" customHeight="1">
      <c r="A154" s="47"/>
      <c r="B154" s="47"/>
      <c r="C154" s="47"/>
      <c r="D154" s="47"/>
      <c r="E154" s="47"/>
      <c r="F154" s="47"/>
      <c r="G154" s="47"/>
    </row>
    <row r="155" ht="15.75" customHeight="1">
      <c r="A155" s="47"/>
      <c r="B155" s="47"/>
      <c r="C155" s="47"/>
      <c r="D155" s="47"/>
      <c r="E155" s="47"/>
      <c r="F155" s="47"/>
      <c r="G155" s="47"/>
    </row>
    <row r="156" ht="15.75" customHeight="1">
      <c r="A156" s="47"/>
      <c r="B156" s="47"/>
      <c r="C156" s="47"/>
      <c r="D156" s="47"/>
      <c r="E156" s="47"/>
      <c r="F156" s="47"/>
      <c r="G156" s="47"/>
    </row>
    <row r="157" ht="15.75" customHeight="1">
      <c r="A157" s="47"/>
      <c r="B157" s="47"/>
      <c r="C157" s="47"/>
      <c r="D157" s="47"/>
      <c r="E157" s="47"/>
      <c r="F157" s="47"/>
      <c r="G157" s="47"/>
    </row>
    <row r="158" ht="15.75" customHeight="1">
      <c r="A158" s="47"/>
      <c r="B158" s="47"/>
      <c r="C158" s="47"/>
      <c r="D158" s="47"/>
      <c r="E158" s="47"/>
      <c r="F158" s="47"/>
      <c r="G158" s="47"/>
    </row>
    <row r="159" ht="15.75" customHeight="1">
      <c r="A159" s="47"/>
      <c r="B159" s="47"/>
      <c r="C159" s="47"/>
      <c r="D159" s="47"/>
      <c r="E159" s="47"/>
      <c r="F159" s="47"/>
      <c r="G159" s="47"/>
    </row>
    <row r="160" ht="15.75" customHeight="1">
      <c r="A160" s="47"/>
      <c r="B160" s="47"/>
      <c r="C160" s="47"/>
      <c r="D160" s="47"/>
      <c r="E160" s="47"/>
      <c r="F160" s="47"/>
      <c r="G160" s="47"/>
    </row>
    <row r="161" ht="15.75" customHeight="1">
      <c r="A161" s="47"/>
      <c r="B161" s="47"/>
      <c r="C161" s="47"/>
      <c r="D161" s="47"/>
      <c r="E161" s="47"/>
      <c r="F161" s="47"/>
      <c r="G161" s="47"/>
    </row>
    <row r="162" ht="15.75" customHeight="1">
      <c r="A162" s="47"/>
      <c r="B162" s="47"/>
      <c r="C162" s="47"/>
      <c r="D162" s="47"/>
      <c r="E162" s="47"/>
      <c r="F162" s="47"/>
      <c r="G162" s="47"/>
    </row>
    <row r="163" ht="15.75" customHeight="1">
      <c r="A163" s="47"/>
      <c r="B163" s="47"/>
      <c r="C163" s="47"/>
      <c r="D163" s="47"/>
      <c r="E163" s="47"/>
      <c r="F163" s="47"/>
      <c r="G163" s="47"/>
    </row>
    <row r="164" ht="15.75" customHeight="1">
      <c r="A164" s="47"/>
      <c r="B164" s="47"/>
      <c r="C164" s="47"/>
      <c r="D164" s="47"/>
      <c r="E164" s="47"/>
      <c r="F164" s="47"/>
      <c r="G164" s="47"/>
    </row>
    <row r="165" ht="15.75" customHeight="1">
      <c r="A165" s="47"/>
      <c r="B165" s="47"/>
      <c r="C165" s="47"/>
      <c r="D165" s="47"/>
      <c r="E165" s="47"/>
      <c r="F165" s="47"/>
      <c r="G165" s="47"/>
    </row>
    <row r="166" ht="15.75" customHeight="1">
      <c r="A166" s="47"/>
      <c r="B166" s="47"/>
      <c r="C166" s="47"/>
      <c r="D166" s="47"/>
      <c r="E166" s="47"/>
      <c r="F166" s="47"/>
      <c r="G166" s="47"/>
    </row>
    <row r="167" ht="15.75" customHeight="1">
      <c r="A167" s="47"/>
      <c r="B167" s="47"/>
      <c r="C167" s="47"/>
      <c r="D167" s="47"/>
      <c r="E167" s="47"/>
      <c r="F167" s="47"/>
      <c r="G167" s="47"/>
    </row>
    <row r="168" ht="15.75" customHeight="1">
      <c r="A168" s="47"/>
      <c r="B168" s="47"/>
      <c r="C168" s="47"/>
      <c r="D168" s="47"/>
      <c r="E168" s="47"/>
      <c r="F168" s="47"/>
      <c r="G168" s="47"/>
    </row>
    <row r="169" ht="15.75" customHeight="1">
      <c r="A169" s="47"/>
      <c r="B169" s="47"/>
      <c r="C169" s="47"/>
      <c r="D169" s="47"/>
      <c r="E169" s="47"/>
      <c r="F169" s="47"/>
      <c r="G169" s="47"/>
    </row>
    <row r="170" ht="15.75" customHeight="1">
      <c r="A170" s="47"/>
      <c r="B170" s="47"/>
      <c r="C170" s="47"/>
      <c r="D170" s="47"/>
      <c r="E170" s="47"/>
      <c r="F170" s="47"/>
      <c r="G170" s="47"/>
    </row>
    <row r="171" ht="15.75" customHeight="1">
      <c r="A171" s="47"/>
      <c r="B171" s="47"/>
      <c r="C171" s="47"/>
      <c r="D171" s="47"/>
      <c r="E171" s="47"/>
      <c r="F171" s="47"/>
      <c r="G171" s="47"/>
    </row>
    <row r="172" ht="15.75" customHeight="1">
      <c r="A172" s="47"/>
      <c r="B172" s="47"/>
      <c r="C172" s="47"/>
      <c r="D172" s="47"/>
      <c r="E172" s="47"/>
      <c r="F172" s="47"/>
      <c r="G172" s="47"/>
    </row>
    <row r="173" ht="15.75" customHeight="1">
      <c r="A173" s="47"/>
      <c r="B173" s="47"/>
      <c r="C173" s="47"/>
      <c r="D173" s="47"/>
      <c r="E173" s="47"/>
      <c r="F173" s="47"/>
      <c r="G173" s="47"/>
    </row>
    <row r="174" ht="15.75" customHeight="1">
      <c r="A174" s="47"/>
      <c r="B174" s="47"/>
      <c r="C174" s="47"/>
      <c r="D174" s="47"/>
      <c r="E174" s="47"/>
      <c r="F174" s="47"/>
      <c r="G174" s="47"/>
    </row>
    <row r="175" ht="15.75" customHeight="1">
      <c r="A175" s="47"/>
      <c r="B175" s="47"/>
      <c r="C175" s="47"/>
      <c r="D175" s="47"/>
      <c r="E175" s="47"/>
      <c r="F175" s="47"/>
      <c r="G175" s="47"/>
    </row>
    <row r="176" ht="15.75" customHeight="1">
      <c r="A176" s="47"/>
      <c r="B176" s="47"/>
      <c r="C176" s="47"/>
      <c r="D176" s="47"/>
      <c r="E176" s="47"/>
      <c r="F176" s="47"/>
      <c r="G176" s="47"/>
    </row>
    <row r="177" ht="15.75" customHeight="1">
      <c r="A177" s="47"/>
      <c r="B177" s="47"/>
      <c r="C177" s="47"/>
      <c r="D177" s="47"/>
      <c r="E177" s="47"/>
      <c r="F177" s="47"/>
      <c r="G177" s="47"/>
    </row>
    <row r="178" ht="15.75" customHeight="1">
      <c r="A178" s="47"/>
      <c r="B178" s="47"/>
      <c r="C178" s="47"/>
      <c r="D178" s="47"/>
      <c r="E178" s="47"/>
      <c r="F178" s="47"/>
      <c r="G178" s="47"/>
    </row>
    <row r="179" ht="15.75" customHeight="1">
      <c r="A179" s="47"/>
      <c r="B179" s="47"/>
      <c r="C179" s="47"/>
      <c r="D179" s="47"/>
      <c r="E179" s="47"/>
      <c r="F179" s="47"/>
      <c r="G179" s="47"/>
    </row>
    <row r="180" ht="15.75" customHeight="1">
      <c r="A180" s="47"/>
      <c r="B180" s="47"/>
      <c r="C180" s="47"/>
      <c r="D180" s="47"/>
      <c r="E180" s="47"/>
      <c r="F180" s="47"/>
      <c r="G180" s="47"/>
    </row>
    <row r="181" ht="15.75" customHeight="1">
      <c r="A181" s="47"/>
      <c r="B181" s="47"/>
      <c r="C181" s="47"/>
      <c r="D181" s="47"/>
      <c r="E181" s="47"/>
      <c r="F181" s="47"/>
      <c r="G181" s="47"/>
    </row>
    <row r="182" ht="15.75" customHeight="1">
      <c r="A182" s="47"/>
      <c r="B182" s="47"/>
      <c r="C182" s="47"/>
      <c r="D182" s="47"/>
      <c r="E182" s="47"/>
      <c r="F182" s="47"/>
      <c r="G182" s="47"/>
    </row>
    <row r="183" ht="15.75" customHeight="1">
      <c r="A183" s="47"/>
      <c r="B183" s="47"/>
      <c r="C183" s="47"/>
      <c r="D183" s="47"/>
      <c r="E183" s="47"/>
      <c r="F183" s="47"/>
      <c r="G183" s="47"/>
    </row>
    <row r="184" ht="15.75" customHeight="1">
      <c r="A184" s="47"/>
      <c r="B184" s="47"/>
      <c r="C184" s="47"/>
      <c r="D184" s="47"/>
      <c r="E184" s="47"/>
      <c r="F184" s="47"/>
      <c r="G184" s="47"/>
    </row>
    <row r="185" ht="15.75" customHeight="1">
      <c r="A185" s="47"/>
      <c r="B185" s="47"/>
      <c r="C185" s="47"/>
      <c r="D185" s="47"/>
      <c r="E185" s="47"/>
      <c r="F185" s="47"/>
      <c r="G185" s="47"/>
    </row>
    <row r="186" ht="15.75" customHeight="1">
      <c r="A186" s="47"/>
      <c r="B186" s="47"/>
      <c r="C186" s="47"/>
      <c r="D186" s="47"/>
      <c r="E186" s="47"/>
      <c r="F186" s="47"/>
      <c r="G186" s="47"/>
    </row>
    <row r="187" ht="15.75" customHeight="1">
      <c r="A187" s="47"/>
      <c r="B187" s="47"/>
      <c r="C187" s="47"/>
      <c r="D187" s="47"/>
      <c r="E187" s="47"/>
      <c r="F187" s="47"/>
      <c r="G187" s="47"/>
    </row>
    <row r="188" ht="15.75" customHeight="1">
      <c r="A188" s="47"/>
      <c r="B188" s="47"/>
      <c r="C188" s="47"/>
      <c r="D188" s="47"/>
      <c r="E188" s="47"/>
      <c r="F188" s="47"/>
      <c r="G188" s="47"/>
    </row>
    <row r="189" ht="15.75" customHeight="1">
      <c r="A189" s="47"/>
      <c r="B189" s="47"/>
      <c r="C189" s="47"/>
      <c r="D189" s="47"/>
      <c r="E189" s="47"/>
      <c r="F189" s="47"/>
      <c r="G189" s="47"/>
    </row>
    <row r="190" ht="15.75" customHeight="1">
      <c r="A190" s="47"/>
      <c r="B190" s="47"/>
      <c r="C190" s="47"/>
      <c r="D190" s="47"/>
      <c r="E190" s="47"/>
      <c r="F190" s="47"/>
      <c r="G190" s="47"/>
    </row>
    <row r="191" ht="15.75" customHeight="1">
      <c r="A191" s="47"/>
      <c r="B191" s="47"/>
      <c r="C191" s="47"/>
      <c r="D191" s="47"/>
      <c r="E191" s="47"/>
      <c r="F191" s="47"/>
      <c r="G191" s="47"/>
    </row>
    <row r="192" ht="15.75" customHeight="1">
      <c r="A192" s="47"/>
      <c r="B192" s="47"/>
      <c r="C192" s="47"/>
      <c r="D192" s="47"/>
      <c r="E192" s="47"/>
      <c r="F192" s="47"/>
      <c r="G192" s="47"/>
    </row>
    <row r="193" ht="15.75" customHeight="1">
      <c r="A193" s="47"/>
      <c r="B193" s="47"/>
      <c r="C193" s="47"/>
      <c r="D193" s="47"/>
      <c r="E193" s="47"/>
      <c r="F193" s="47"/>
      <c r="G193" s="47"/>
    </row>
    <row r="194" ht="15.75" customHeight="1">
      <c r="A194" s="47"/>
      <c r="B194" s="47"/>
      <c r="C194" s="47"/>
      <c r="D194" s="47"/>
      <c r="E194" s="47"/>
      <c r="F194" s="47"/>
      <c r="G194" s="47"/>
    </row>
    <row r="195" ht="15.75" customHeight="1">
      <c r="A195" s="47"/>
      <c r="B195" s="47"/>
      <c r="C195" s="47"/>
      <c r="D195" s="47"/>
      <c r="E195" s="47"/>
      <c r="F195" s="47"/>
      <c r="G195" s="47"/>
    </row>
    <row r="196" ht="15.75" customHeight="1">
      <c r="A196" s="47"/>
      <c r="B196" s="47"/>
      <c r="C196" s="47"/>
      <c r="D196" s="47"/>
      <c r="E196" s="47"/>
      <c r="F196" s="47"/>
      <c r="G196" s="47"/>
    </row>
    <row r="197" ht="15.75" customHeight="1">
      <c r="A197" s="47"/>
      <c r="B197" s="47"/>
      <c r="C197" s="47"/>
      <c r="D197" s="47"/>
      <c r="E197" s="47"/>
      <c r="F197" s="47"/>
      <c r="G197" s="47"/>
    </row>
    <row r="198" ht="15.75" customHeight="1">
      <c r="A198" s="47"/>
      <c r="B198" s="47"/>
      <c r="C198" s="47"/>
      <c r="D198" s="47"/>
      <c r="E198" s="47"/>
      <c r="F198" s="47"/>
      <c r="G198" s="47"/>
    </row>
    <row r="199" ht="15.75" customHeight="1">
      <c r="A199" s="47"/>
      <c r="B199" s="47"/>
      <c r="C199" s="47"/>
      <c r="D199" s="47"/>
      <c r="E199" s="47"/>
      <c r="F199" s="47"/>
      <c r="G199" s="47"/>
    </row>
    <row r="200" ht="15.75" customHeight="1">
      <c r="A200" s="47"/>
      <c r="B200" s="47"/>
      <c r="C200" s="47"/>
      <c r="D200" s="47"/>
      <c r="E200" s="47"/>
      <c r="F200" s="47"/>
      <c r="G200" s="47"/>
    </row>
    <row r="201" ht="15.75" customHeight="1">
      <c r="A201" s="47"/>
      <c r="B201" s="47"/>
      <c r="C201" s="47"/>
      <c r="D201" s="47"/>
      <c r="E201" s="47"/>
      <c r="F201" s="47"/>
      <c r="G201" s="47"/>
    </row>
    <row r="202" ht="15.75" customHeight="1">
      <c r="A202" s="47"/>
      <c r="B202" s="47"/>
      <c r="C202" s="47"/>
      <c r="D202" s="47"/>
      <c r="E202" s="47"/>
      <c r="F202" s="47"/>
      <c r="G202" s="47"/>
    </row>
    <row r="203" ht="15.75" customHeight="1">
      <c r="A203" s="47"/>
      <c r="B203" s="47"/>
      <c r="C203" s="47"/>
      <c r="D203" s="47"/>
      <c r="E203" s="47"/>
      <c r="F203" s="47"/>
      <c r="G203" s="47"/>
    </row>
    <row r="204" ht="15.75" customHeight="1">
      <c r="A204" s="47"/>
      <c r="B204" s="47"/>
      <c r="C204" s="47"/>
      <c r="D204" s="47"/>
      <c r="E204" s="47"/>
      <c r="F204" s="47"/>
      <c r="G204" s="47"/>
    </row>
    <row r="205" ht="15.75" customHeight="1">
      <c r="A205" s="47"/>
      <c r="B205" s="47"/>
      <c r="C205" s="47"/>
      <c r="D205" s="47"/>
      <c r="E205" s="47"/>
      <c r="F205" s="47"/>
      <c r="G205" s="47"/>
    </row>
    <row r="206" ht="15.75" customHeight="1">
      <c r="A206" s="47"/>
      <c r="B206" s="47"/>
      <c r="C206" s="47"/>
      <c r="D206" s="47"/>
      <c r="E206" s="47"/>
      <c r="F206" s="47"/>
      <c r="G206" s="47"/>
    </row>
    <row r="207" ht="15.75" customHeight="1">
      <c r="A207" s="47"/>
      <c r="B207" s="47"/>
      <c r="C207" s="47"/>
      <c r="D207" s="47"/>
      <c r="E207" s="47"/>
      <c r="F207" s="47"/>
      <c r="G207" s="47"/>
    </row>
    <row r="208" ht="15.75" customHeight="1">
      <c r="A208" s="47"/>
      <c r="B208" s="47"/>
      <c r="C208" s="47"/>
      <c r="D208" s="47"/>
      <c r="E208" s="47"/>
      <c r="F208" s="47"/>
      <c r="G208" s="47"/>
    </row>
    <row r="209" ht="15.75" customHeight="1">
      <c r="A209" s="47"/>
      <c r="B209" s="47"/>
      <c r="C209" s="47"/>
      <c r="D209" s="47"/>
      <c r="E209" s="47"/>
      <c r="F209" s="47"/>
      <c r="G209" s="47"/>
    </row>
    <row r="210" ht="15.75" customHeight="1">
      <c r="A210" s="47"/>
      <c r="B210" s="47"/>
      <c r="C210" s="47"/>
      <c r="D210" s="47"/>
      <c r="E210" s="47"/>
      <c r="F210" s="47"/>
      <c r="G210" s="47"/>
    </row>
    <row r="211" ht="15.75" customHeight="1">
      <c r="A211" s="47"/>
      <c r="B211" s="47"/>
      <c r="C211" s="47"/>
      <c r="D211" s="47"/>
      <c r="E211" s="47"/>
      <c r="F211" s="47"/>
      <c r="G211" s="47"/>
    </row>
    <row r="212" ht="15.75" customHeight="1">
      <c r="A212" s="47"/>
      <c r="B212" s="47"/>
      <c r="C212" s="47"/>
      <c r="D212" s="47"/>
      <c r="E212" s="47"/>
      <c r="F212" s="47"/>
      <c r="G212" s="47"/>
    </row>
    <row r="213" ht="15.75" customHeight="1">
      <c r="A213" s="47"/>
      <c r="B213" s="47"/>
      <c r="C213" s="47"/>
      <c r="D213" s="47"/>
      <c r="E213" s="47"/>
      <c r="F213" s="47"/>
      <c r="G213" s="47"/>
    </row>
    <row r="214" ht="15.75" customHeight="1">
      <c r="A214" s="47"/>
      <c r="B214" s="47"/>
      <c r="C214" s="47"/>
      <c r="D214" s="47"/>
      <c r="E214" s="47"/>
      <c r="F214" s="47"/>
      <c r="G214" s="47"/>
    </row>
    <row r="215" ht="15.75" customHeight="1">
      <c r="A215" s="47"/>
      <c r="B215" s="47"/>
      <c r="C215" s="47"/>
      <c r="D215" s="47"/>
      <c r="E215" s="47"/>
      <c r="F215" s="47"/>
      <c r="G215" s="47"/>
    </row>
    <row r="216" ht="15.75" customHeight="1">
      <c r="A216" s="47"/>
      <c r="B216" s="47"/>
      <c r="C216" s="47"/>
      <c r="D216" s="47"/>
      <c r="E216" s="47"/>
      <c r="F216" s="47"/>
      <c r="G216" s="47"/>
    </row>
    <row r="217" ht="15.75" customHeight="1">
      <c r="A217" s="47"/>
      <c r="B217" s="47"/>
      <c r="C217" s="47"/>
      <c r="D217" s="47"/>
      <c r="E217" s="47"/>
      <c r="F217" s="47"/>
      <c r="G217" s="47"/>
    </row>
    <row r="218" ht="15.75" customHeight="1">
      <c r="A218" s="47"/>
      <c r="B218" s="47"/>
      <c r="C218" s="47"/>
      <c r="D218" s="47"/>
      <c r="E218" s="47"/>
      <c r="F218" s="47"/>
      <c r="G218" s="47"/>
    </row>
    <row r="219" ht="15.75" customHeight="1">
      <c r="A219" s="47"/>
      <c r="B219" s="47"/>
      <c r="C219" s="47"/>
      <c r="D219" s="47"/>
      <c r="E219" s="47"/>
      <c r="F219" s="47"/>
      <c r="G219" s="47"/>
    </row>
    <row r="220" ht="15.75" customHeight="1">
      <c r="A220" s="47"/>
      <c r="B220" s="47"/>
      <c r="C220" s="47"/>
      <c r="D220" s="47"/>
      <c r="E220" s="47"/>
      <c r="F220" s="47"/>
      <c r="G220" s="47"/>
    </row>
    <row r="221" ht="15.75" customHeight="1">
      <c r="A221" s="47"/>
      <c r="B221" s="47"/>
      <c r="C221" s="47"/>
      <c r="D221" s="47"/>
      <c r="E221" s="47"/>
      <c r="F221" s="47"/>
      <c r="G221" s="47"/>
    </row>
    <row r="222" ht="15.75" customHeight="1">
      <c r="A222" s="47"/>
      <c r="B222" s="47"/>
      <c r="C222" s="47"/>
      <c r="D222" s="47"/>
      <c r="E222" s="47"/>
      <c r="F222" s="47"/>
      <c r="G222" s="47"/>
    </row>
    <row r="223" ht="15.75" customHeight="1">
      <c r="A223" s="47"/>
      <c r="B223" s="47"/>
      <c r="C223" s="47"/>
      <c r="D223" s="47"/>
      <c r="E223" s="47"/>
      <c r="F223" s="47"/>
      <c r="G223" s="47"/>
    </row>
    <row r="224" ht="15.75" customHeight="1">
      <c r="A224" s="47"/>
      <c r="B224" s="47"/>
      <c r="C224" s="47"/>
      <c r="D224" s="47"/>
      <c r="E224" s="47"/>
      <c r="F224" s="47"/>
      <c r="G224" s="47"/>
    </row>
    <row r="225" ht="15.75" customHeight="1">
      <c r="A225" s="47"/>
      <c r="B225" s="47"/>
      <c r="C225" s="47"/>
      <c r="D225" s="47"/>
      <c r="E225" s="47"/>
      <c r="F225" s="47"/>
      <c r="G225" s="47"/>
    </row>
    <row r="226" ht="15.75" customHeight="1">
      <c r="A226" s="47"/>
      <c r="B226" s="47"/>
      <c r="C226" s="47"/>
      <c r="D226" s="47"/>
      <c r="E226" s="47"/>
      <c r="F226" s="47"/>
      <c r="G226" s="47"/>
    </row>
    <row r="227" ht="15.75" customHeight="1">
      <c r="A227" s="47"/>
      <c r="B227" s="47"/>
      <c r="C227" s="47"/>
      <c r="D227" s="47"/>
      <c r="E227" s="47"/>
      <c r="F227" s="47"/>
      <c r="G227" s="47"/>
    </row>
    <row r="228" ht="15.75" customHeight="1">
      <c r="A228" s="47"/>
      <c r="B228" s="47"/>
      <c r="C228" s="47"/>
      <c r="D228" s="47"/>
      <c r="E228" s="47"/>
      <c r="F228" s="47"/>
      <c r="G228" s="47"/>
    </row>
    <row r="229" ht="15.75" customHeight="1">
      <c r="A229" s="47"/>
      <c r="B229" s="47"/>
      <c r="C229" s="47"/>
      <c r="D229" s="47"/>
      <c r="E229" s="47"/>
      <c r="F229" s="47"/>
      <c r="G229" s="47"/>
    </row>
    <row r="230" ht="15.75" customHeight="1">
      <c r="A230" s="47"/>
      <c r="B230" s="47"/>
      <c r="C230" s="47"/>
      <c r="D230" s="47"/>
      <c r="E230" s="47"/>
      <c r="F230" s="47"/>
      <c r="G230" s="47"/>
    </row>
    <row r="231" ht="15.75" customHeight="1">
      <c r="A231" s="47"/>
      <c r="B231" s="47"/>
      <c r="C231" s="47"/>
      <c r="D231" s="47"/>
      <c r="E231" s="47"/>
      <c r="F231" s="47"/>
      <c r="G231" s="47"/>
    </row>
    <row r="232" ht="15.75" customHeight="1">
      <c r="A232" s="47"/>
      <c r="B232" s="47"/>
      <c r="C232" s="47"/>
      <c r="D232" s="47"/>
      <c r="E232" s="47"/>
      <c r="F232" s="47"/>
      <c r="G232" s="47"/>
    </row>
    <row r="233" ht="15.75" customHeight="1">
      <c r="A233" s="47"/>
      <c r="B233" s="47"/>
      <c r="C233" s="47"/>
      <c r="D233" s="47"/>
      <c r="E233" s="47"/>
      <c r="F233" s="47"/>
      <c r="G233" s="47"/>
    </row>
    <row r="234" ht="15.75" customHeight="1">
      <c r="A234" s="47"/>
      <c r="B234" s="47"/>
      <c r="C234" s="47"/>
      <c r="D234" s="47"/>
      <c r="E234" s="47"/>
      <c r="F234" s="47"/>
      <c r="G234" s="47"/>
    </row>
    <row r="235" ht="15.75" customHeight="1">
      <c r="A235" s="47"/>
      <c r="B235" s="47"/>
      <c r="C235" s="47"/>
      <c r="D235" s="47"/>
      <c r="E235" s="47"/>
      <c r="F235" s="47"/>
      <c r="G235" s="47"/>
    </row>
    <row r="236" ht="15.75" customHeight="1">
      <c r="A236" s="47"/>
      <c r="B236" s="47"/>
      <c r="C236" s="47"/>
      <c r="D236" s="47"/>
      <c r="E236" s="47"/>
      <c r="F236" s="47"/>
      <c r="G236" s="47"/>
    </row>
    <row r="237" ht="15.75" customHeight="1">
      <c r="A237" s="47"/>
      <c r="B237" s="47"/>
      <c r="C237" s="47"/>
      <c r="D237" s="47"/>
      <c r="E237" s="47"/>
      <c r="F237" s="47"/>
      <c r="G237" s="47"/>
    </row>
    <row r="238" ht="15.75" customHeight="1">
      <c r="A238" s="47"/>
      <c r="B238" s="47"/>
      <c r="C238" s="47"/>
      <c r="D238" s="47"/>
      <c r="E238" s="47"/>
      <c r="F238" s="47"/>
      <c r="G238" s="47"/>
    </row>
    <row r="239" ht="15.75" customHeight="1">
      <c r="A239" s="47"/>
      <c r="B239" s="47"/>
      <c r="C239" s="47"/>
      <c r="D239" s="47"/>
      <c r="E239" s="47"/>
      <c r="F239" s="47"/>
      <c r="G239" s="47"/>
    </row>
    <row r="240" ht="15.75" customHeight="1">
      <c r="A240" s="47"/>
      <c r="B240" s="47"/>
      <c r="C240" s="47"/>
      <c r="D240" s="47"/>
      <c r="E240" s="47"/>
      <c r="F240" s="47"/>
      <c r="G240" s="47"/>
    </row>
    <row r="241" ht="15.75" customHeight="1">
      <c r="A241" s="47"/>
      <c r="B241" s="47"/>
      <c r="C241" s="47"/>
      <c r="D241" s="47"/>
      <c r="E241" s="47"/>
      <c r="F241" s="47"/>
      <c r="G241" s="47"/>
    </row>
    <row r="242" ht="15.75" customHeight="1">
      <c r="A242" s="47"/>
      <c r="B242" s="47"/>
      <c r="C242" s="47"/>
      <c r="D242" s="47"/>
      <c r="E242" s="47"/>
      <c r="F242" s="47"/>
      <c r="G242" s="47"/>
    </row>
    <row r="243" ht="15.75" customHeight="1">
      <c r="A243" s="47"/>
      <c r="B243" s="47"/>
      <c r="C243" s="47"/>
      <c r="D243" s="47"/>
      <c r="E243" s="47"/>
      <c r="F243" s="47"/>
      <c r="G243" s="47"/>
    </row>
    <row r="244" ht="15.75" customHeight="1">
      <c r="A244" s="47"/>
      <c r="B244" s="47"/>
      <c r="C244" s="47"/>
      <c r="D244" s="47"/>
      <c r="E244" s="47"/>
      <c r="F244" s="47"/>
      <c r="G244" s="47"/>
    </row>
    <row r="245" ht="15.75" customHeight="1">
      <c r="A245" s="47"/>
      <c r="B245" s="47"/>
      <c r="C245" s="47"/>
      <c r="D245" s="47"/>
      <c r="E245" s="47"/>
      <c r="F245" s="47"/>
      <c r="G245" s="47"/>
    </row>
    <row r="246" ht="15.75" customHeight="1">
      <c r="A246" s="47"/>
      <c r="B246" s="47"/>
      <c r="C246" s="47"/>
      <c r="D246" s="47"/>
      <c r="E246" s="47"/>
      <c r="F246" s="47"/>
      <c r="G246" s="47"/>
    </row>
    <row r="247" ht="15.75" customHeight="1">
      <c r="A247" s="47"/>
      <c r="B247" s="47"/>
      <c r="C247" s="47"/>
      <c r="D247" s="47"/>
      <c r="E247" s="47"/>
      <c r="F247" s="47"/>
      <c r="G247" s="47"/>
    </row>
    <row r="248" ht="15.75" customHeight="1">
      <c r="A248" s="47"/>
      <c r="B248" s="47"/>
      <c r="C248" s="47"/>
      <c r="D248" s="47"/>
      <c r="E248" s="47"/>
      <c r="F248" s="47"/>
      <c r="G248" s="47"/>
    </row>
    <row r="249" ht="15.75" customHeight="1">
      <c r="A249" s="47"/>
      <c r="B249" s="47"/>
      <c r="C249" s="47"/>
      <c r="D249" s="47"/>
      <c r="E249" s="47"/>
      <c r="F249" s="47"/>
      <c r="G249" s="47"/>
    </row>
    <row r="250" ht="15.75" customHeight="1">
      <c r="A250" s="47"/>
      <c r="B250" s="47"/>
      <c r="C250" s="47"/>
      <c r="D250" s="47"/>
      <c r="E250" s="47"/>
      <c r="F250" s="47"/>
      <c r="G250" s="47"/>
    </row>
    <row r="251" ht="15.75" customHeight="1">
      <c r="A251" s="47"/>
      <c r="B251" s="47"/>
      <c r="C251" s="47"/>
      <c r="D251" s="47"/>
      <c r="E251" s="47"/>
      <c r="F251" s="47"/>
      <c r="G251" s="47"/>
    </row>
    <row r="252" ht="15.75" customHeight="1">
      <c r="A252" s="47"/>
      <c r="B252" s="47"/>
      <c r="C252" s="47"/>
      <c r="D252" s="47"/>
      <c r="E252" s="47"/>
      <c r="F252" s="47"/>
      <c r="G252" s="47"/>
    </row>
    <row r="253" ht="15.75" customHeight="1">
      <c r="A253" s="47"/>
      <c r="B253" s="47"/>
      <c r="C253" s="47"/>
      <c r="D253" s="47"/>
      <c r="E253" s="47"/>
      <c r="F253" s="47"/>
      <c r="G253" s="47"/>
    </row>
    <row r="254" ht="15.75" customHeight="1">
      <c r="A254" s="47"/>
      <c r="B254" s="47"/>
      <c r="C254" s="47"/>
      <c r="D254" s="47"/>
      <c r="E254" s="47"/>
      <c r="F254" s="47"/>
      <c r="G254" s="47"/>
    </row>
    <row r="255" ht="15.75" customHeight="1">
      <c r="A255" s="47"/>
      <c r="B255" s="47"/>
      <c r="C255" s="47"/>
      <c r="D255" s="47"/>
      <c r="E255" s="47"/>
      <c r="F255" s="47"/>
      <c r="G255" s="47"/>
    </row>
    <row r="256" ht="15.75" customHeight="1">
      <c r="A256" s="47"/>
      <c r="B256" s="47"/>
      <c r="C256" s="47"/>
      <c r="D256" s="47"/>
      <c r="E256" s="47"/>
      <c r="F256" s="47"/>
      <c r="G256" s="47"/>
    </row>
    <row r="257" ht="15.75" customHeight="1">
      <c r="A257" s="47"/>
      <c r="B257" s="47"/>
      <c r="C257" s="47"/>
      <c r="D257" s="47"/>
      <c r="E257" s="47"/>
      <c r="F257" s="47"/>
      <c r="G257" s="47"/>
    </row>
    <row r="258" ht="15.75" customHeight="1">
      <c r="A258" s="47"/>
      <c r="B258" s="47"/>
      <c r="C258" s="47"/>
      <c r="D258" s="47"/>
      <c r="E258" s="47"/>
      <c r="F258" s="47"/>
      <c r="G258" s="47"/>
    </row>
    <row r="259" ht="15.75" customHeight="1">
      <c r="A259" s="47"/>
      <c r="B259" s="47"/>
      <c r="C259" s="47"/>
      <c r="D259" s="47"/>
      <c r="E259" s="47"/>
      <c r="F259" s="47"/>
      <c r="G259" s="47"/>
    </row>
    <row r="260" ht="15.75" customHeight="1">
      <c r="A260" s="47"/>
      <c r="B260" s="47"/>
      <c r="C260" s="47"/>
      <c r="D260" s="47"/>
      <c r="E260" s="47"/>
      <c r="F260" s="47"/>
      <c r="G260" s="47"/>
    </row>
    <row r="261" ht="15.75" customHeight="1">
      <c r="A261" s="47"/>
      <c r="B261" s="47"/>
      <c r="C261" s="47"/>
      <c r="D261" s="47"/>
      <c r="E261" s="47"/>
      <c r="F261" s="47"/>
      <c r="G261" s="47"/>
    </row>
    <row r="262" ht="15.75" customHeight="1">
      <c r="A262" s="47"/>
      <c r="B262" s="47"/>
      <c r="C262" s="47"/>
      <c r="D262" s="47"/>
      <c r="E262" s="47"/>
      <c r="F262" s="47"/>
      <c r="G262" s="47"/>
    </row>
    <row r="263" ht="15.75" customHeight="1">
      <c r="A263" s="47"/>
      <c r="B263" s="47"/>
      <c r="C263" s="47"/>
      <c r="D263" s="47"/>
      <c r="E263" s="47"/>
      <c r="F263" s="47"/>
      <c r="G263" s="47"/>
    </row>
    <row r="264" ht="15.75" customHeight="1">
      <c r="A264" s="47"/>
      <c r="B264" s="47"/>
      <c r="C264" s="47"/>
      <c r="D264" s="47"/>
      <c r="E264" s="47"/>
      <c r="F264" s="47"/>
      <c r="G264" s="47"/>
    </row>
    <row r="265" ht="15.75" customHeight="1">
      <c r="A265" s="47"/>
      <c r="B265" s="47"/>
      <c r="C265" s="47"/>
      <c r="D265" s="47"/>
      <c r="E265" s="47"/>
      <c r="F265" s="47"/>
      <c r="G265" s="47"/>
    </row>
    <row r="266" ht="15.75" customHeight="1">
      <c r="A266" s="47"/>
      <c r="B266" s="47"/>
      <c r="C266" s="47"/>
      <c r="D266" s="47"/>
      <c r="E266" s="47"/>
      <c r="F266" s="47"/>
      <c r="G266" s="47"/>
    </row>
    <row r="267" ht="15.75" customHeight="1">
      <c r="A267" s="47"/>
      <c r="B267" s="47"/>
      <c r="C267" s="47"/>
      <c r="D267" s="47"/>
      <c r="E267" s="47"/>
      <c r="F267" s="47"/>
      <c r="G267" s="47"/>
    </row>
    <row r="268" ht="15.75" customHeight="1">
      <c r="A268" s="47"/>
      <c r="B268" s="47"/>
      <c r="C268" s="47"/>
      <c r="D268" s="47"/>
      <c r="E268" s="47"/>
      <c r="F268" s="47"/>
      <c r="G268" s="47"/>
    </row>
    <row r="269" ht="15.75" customHeight="1">
      <c r="A269" s="47"/>
      <c r="B269" s="47"/>
      <c r="C269" s="47"/>
      <c r="D269" s="47"/>
      <c r="E269" s="47"/>
      <c r="F269" s="47"/>
      <c r="G269" s="47"/>
    </row>
    <row r="270" ht="15.75" customHeight="1">
      <c r="A270" s="47"/>
      <c r="B270" s="47"/>
      <c r="C270" s="47"/>
      <c r="D270" s="47"/>
      <c r="E270" s="47"/>
      <c r="F270" s="47"/>
      <c r="G270" s="47"/>
    </row>
    <row r="271" ht="15.75" customHeight="1">
      <c r="A271" s="47"/>
      <c r="B271" s="47"/>
      <c r="C271" s="47"/>
      <c r="D271" s="47"/>
      <c r="E271" s="47"/>
      <c r="F271" s="47"/>
      <c r="G271" s="47"/>
    </row>
    <row r="272" ht="15.75" customHeight="1">
      <c r="A272" s="47"/>
      <c r="B272" s="47"/>
      <c r="C272" s="47"/>
      <c r="D272" s="47"/>
      <c r="E272" s="47"/>
      <c r="F272" s="47"/>
      <c r="G272" s="47"/>
    </row>
    <row r="273" ht="15.75" customHeight="1">
      <c r="A273" s="47"/>
      <c r="B273" s="47"/>
      <c r="C273" s="47"/>
      <c r="D273" s="47"/>
      <c r="E273" s="47"/>
      <c r="F273" s="47"/>
      <c r="G273" s="47"/>
    </row>
    <row r="274" ht="15.75" customHeight="1">
      <c r="A274" s="47"/>
      <c r="B274" s="47"/>
      <c r="C274" s="47"/>
      <c r="D274" s="47"/>
      <c r="E274" s="47"/>
      <c r="F274" s="47"/>
      <c r="G274" s="47"/>
    </row>
    <row r="275" ht="15.75" customHeight="1">
      <c r="A275" s="47"/>
      <c r="B275" s="47"/>
      <c r="C275" s="47"/>
      <c r="D275" s="47"/>
      <c r="E275" s="47"/>
      <c r="F275" s="47"/>
      <c r="G275" s="47"/>
    </row>
    <row r="276" ht="15.75" customHeight="1">
      <c r="A276" s="47"/>
      <c r="B276" s="47"/>
      <c r="C276" s="47"/>
      <c r="D276" s="47"/>
      <c r="E276" s="47"/>
      <c r="F276" s="47"/>
      <c r="G276" s="47"/>
    </row>
    <row r="277" ht="15.75" customHeight="1">
      <c r="A277" s="47"/>
      <c r="B277" s="47"/>
      <c r="C277" s="47"/>
      <c r="D277" s="47"/>
      <c r="E277" s="47"/>
      <c r="F277" s="47"/>
      <c r="G277" s="47"/>
    </row>
    <row r="278" ht="15.75" customHeight="1">
      <c r="A278" s="47"/>
      <c r="B278" s="47"/>
      <c r="C278" s="47"/>
      <c r="D278" s="47"/>
      <c r="E278" s="47"/>
      <c r="F278" s="47"/>
      <c r="G278" s="47"/>
    </row>
    <row r="279" ht="15.75" customHeight="1">
      <c r="A279" s="47"/>
      <c r="B279" s="47"/>
      <c r="C279" s="47"/>
      <c r="D279" s="47"/>
      <c r="E279" s="47"/>
      <c r="F279" s="47"/>
      <c r="G279" s="47"/>
    </row>
    <row r="280" ht="15.75" customHeight="1">
      <c r="A280" s="47"/>
      <c r="B280" s="47"/>
      <c r="C280" s="47"/>
      <c r="D280" s="47"/>
      <c r="E280" s="47"/>
      <c r="F280" s="47"/>
      <c r="G280" s="47"/>
    </row>
    <row r="281" ht="15.75" customHeight="1">
      <c r="A281" s="47"/>
      <c r="B281" s="47"/>
      <c r="C281" s="47"/>
      <c r="D281" s="47"/>
      <c r="E281" s="47"/>
      <c r="F281" s="47"/>
      <c r="G281" s="47"/>
    </row>
    <row r="282" ht="15.75" customHeight="1">
      <c r="A282" s="47"/>
      <c r="B282" s="47"/>
      <c r="C282" s="47"/>
      <c r="D282" s="47"/>
      <c r="E282" s="47"/>
      <c r="F282" s="47"/>
      <c r="G282" s="47"/>
    </row>
    <row r="283" ht="15.75" customHeight="1">
      <c r="A283" s="47"/>
      <c r="B283" s="47"/>
      <c r="C283" s="47"/>
      <c r="D283" s="47"/>
      <c r="E283" s="47"/>
      <c r="F283" s="47"/>
      <c r="G283" s="47"/>
    </row>
    <row r="284" ht="15.75" customHeight="1">
      <c r="A284" s="47"/>
      <c r="B284" s="47"/>
      <c r="C284" s="47"/>
      <c r="D284" s="47"/>
      <c r="E284" s="47"/>
      <c r="F284" s="47"/>
      <c r="G284" s="47"/>
    </row>
    <row r="285" ht="15.75" customHeight="1">
      <c r="A285" s="47"/>
      <c r="B285" s="47"/>
      <c r="C285" s="47"/>
      <c r="D285" s="47"/>
      <c r="E285" s="47"/>
      <c r="F285" s="47"/>
      <c r="G285" s="47"/>
    </row>
    <row r="286" ht="15.75" customHeight="1">
      <c r="A286" s="47"/>
      <c r="B286" s="47"/>
      <c r="C286" s="47"/>
      <c r="D286" s="47"/>
      <c r="E286" s="47"/>
      <c r="F286" s="47"/>
      <c r="G286" s="47"/>
    </row>
    <row r="287" ht="15.75" customHeight="1">
      <c r="A287" s="47"/>
      <c r="B287" s="47"/>
      <c r="C287" s="47"/>
      <c r="D287" s="47"/>
      <c r="E287" s="47"/>
      <c r="F287" s="47"/>
      <c r="G287" s="47"/>
    </row>
    <row r="288" ht="15.75" customHeight="1">
      <c r="A288" s="47"/>
      <c r="B288" s="47"/>
      <c r="C288" s="47"/>
      <c r="D288" s="47"/>
      <c r="E288" s="47"/>
      <c r="F288" s="47"/>
      <c r="G288" s="47"/>
    </row>
    <row r="289" ht="15.75" customHeight="1">
      <c r="A289" s="47"/>
      <c r="B289" s="47"/>
      <c r="C289" s="47"/>
      <c r="D289" s="47"/>
      <c r="E289" s="47"/>
      <c r="F289" s="47"/>
      <c r="G289" s="47"/>
    </row>
    <row r="290" ht="15.75" customHeight="1">
      <c r="A290" s="47"/>
      <c r="B290" s="47"/>
      <c r="C290" s="47"/>
      <c r="D290" s="47"/>
      <c r="E290" s="47"/>
      <c r="F290" s="47"/>
      <c r="G290" s="47"/>
    </row>
    <row r="291" ht="15.75" customHeight="1">
      <c r="A291" s="47"/>
      <c r="B291" s="47"/>
      <c r="C291" s="47"/>
      <c r="D291" s="47"/>
      <c r="E291" s="47"/>
      <c r="F291" s="47"/>
      <c r="G291" s="47"/>
    </row>
    <row r="292" ht="15.75" customHeight="1">
      <c r="A292" s="47"/>
      <c r="B292" s="47"/>
      <c r="C292" s="47"/>
      <c r="D292" s="47"/>
      <c r="E292" s="47"/>
      <c r="F292" s="47"/>
      <c r="G292" s="47"/>
    </row>
    <row r="293" ht="15.75" customHeight="1">
      <c r="A293" s="47"/>
      <c r="B293" s="47"/>
      <c r="C293" s="47"/>
      <c r="D293" s="47"/>
      <c r="E293" s="47"/>
      <c r="F293" s="47"/>
      <c r="G293" s="47"/>
    </row>
    <row r="294" ht="15.75" customHeight="1">
      <c r="A294" s="47"/>
      <c r="B294" s="47"/>
      <c r="C294" s="47"/>
      <c r="D294" s="47"/>
      <c r="E294" s="47"/>
      <c r="F294" s="47"/>
      <c r="G294" s="47"/>
    </row>
    <row r="295" ht="15.75" customHeight="1">
      <c r="A295" s="47"/>
      <c r="B295" s="47"/>
      <c r="C295" s="47"/>
      <c r="D295" s="47"/>
      <c r="E295" s="47"/>
      <c r="F295" s="47"/>
      <c r="G295" s="47"/>
    </row>
    <row r="296" ht="15.75" customHeight="1">
      <c r="A296" s="47"/>
      <c r="B296" s="47"/>
      <c r="C296" s="47"/>
      <c r="D296" s="47"/>
      <c r="E296" s="47"/>
      <c r="F296" s="47"/>
      <c r="G296" s="47"/>
    </row>
    <row r="297" ht="15.75" customHeight="1">
      <c r="A297" s="47"/>
      <c r="B297" s="47"/>
      <c r="C297" s="47"/>
      <c r="D297" s="47"/>
      <c r="E297" s="47"/>
      <c r="F297" s="47"/>
      <c r="G297" s="47"/>
    </row>
    <row r="298" ht="15.75" customHeight="1">
      <c r="A298" s="47"/>
      <c r="B298" s="47"/>
      <c r="C298" s="47"/>
      <c r="D298" s="47"/>
      <c r="E298" s="47"/>
      <c r="F298" s="47"/>
      <c r="G298" s="47"/>
    </row>
    <row r="299" ht="15.75" customHeight="1">
      <c r="A299" s="47"/>
      <c r="B299" s="47"/>
      <c r="C299" s="47"/>
      <c r="D299" s="47"/>
      <c r="E299" s="47"/>
      <c r="F299" s="47"/>
      <c r="G299" s="47"/>
    </row>
    <row r="300" ht="15.75" customHeight="1">
      <c r="A300" s="47"/>
      <c r="B300" s="47"/>
      <c r="C300" s="47"/>
      <c r="D300" s="47"/>
      <c r="E300" s="47"/>
      <c r="F300" s="47"/>
      <c r="G300" s="47"/>
    </row>
    <row r="301" ht="15.75" customHeight="1">
      <c r="A301" s="47"/>
      <c r="B301" s="47"/>
      <c r="C301" s="47"/>
      <c r="D301" s="47"/>
      <c r="E301" s="47"/>
      <c r="F301" s="47"/>
      <c r="G301" s="47"/>
    </row>
    <row r="302" ht="15.75" customHeight="1">
      <c r="A302" s="47"/>
      <c r="B302" s="47"/>
      <c r="C302" s="47"/>
      <c r="D302" s="47"/>
      <c r="E302" s="47"/>
      <c r="F302" s="47"/>
      <c r="G302" s="47"/>
    </row>
    <row r="303" ht="15.75" customHeight="1">
      <c r="A303" s="47"/>
      <c r="B303" s="47"/>
      <c r="C303" s="47"/>
      <c r="D303" s="47"/>
      <c r="E303" s="47"/>
      <c r="F303" s="47"/>
      <c r="G303" s="47"/>
    </row>
    <row r="304" ht="15.75" customHeight="1">
      <c r="A304" s="47"/>
      <c r="B304" s="47"/>
      <c r="C304" s="47"/>
      <c r="D304" s="47"/>
      <c r="E304" s="47"/>
      <c r="F304" s="47"/>
      <c r="G304" s="47"/>
    </row>
    <row r="305" ht="15.75" customHeight="1">
      <c r="A305" s="47"/>
      <c r="B305" s="47"/>
      <c r="C305" s="47"/>
      <c r="D305" s="47"/>
      <c r="E305" s="47"/>
      <c r="F305" s="47"/>
      <c r="G305" s="47"/>
    </row>
    <row r="306" ht="15.75" customHeight="1">
      <c r="A306" s="47"/>
      <c r="B306" s="47"/>
      <c r="C306" s="47"/>
      <c r="D306" s="47"/>
      <c r="E306" s="47"/>
      <c r="F306" s="47"/>
      <c r="G306" s="47"/>
    </row>
    <row r="307" ht="15.75" customHeight="1">
      <c r="A307" s="47"/>
      <c r="B307" s="47"/>
      <c r="C307" s="47"/>
      <c r="D307" s="47"/>
      <c r="E307" s="47"/>
      <c r="F307" s="47"/>
      <c r="G307" s="47"/>
    </row>
    <row r="308" ht="15.75" customHeight="1">
      <c r="A308" s="47"/>
      <c r="B308" s="47"/>
      <c r="C308" s="47"/>
      <c r="D308" s="47"/>
      <c r="E308" s="47"/>
      <c r="F308" s="47"/>
      <c r="G308" s="47"/>
    </row>
    <row r="309" ht="15.75" customHeight="1">
      <c r="A309" s="47"/>
      <c r="B309" s="47"/>
      <c r="C309" s="47"/>
      <c r="D309" s="47"/>
      <c r="E309" s="47"/>
      <c r="F309" s="47"/>
      <c r="G309" s="47"/>
    </row>
    <row r="310" ht="15.75" customHeight="1">
      <c r="A310" s="47"/>
      <c r="B310" s="47"/>
      <c r="C310" s="47"/>
      <c r="D310" s="47"/>
      <c r="E310" s="47"/>
      <c r="F310" s="47"/>
      <c r="G310" s="47"/>
    </row>
    <row r="311" ht="15.75" customHeight="1">
      <c r="A311" s="47"/>
      <c r="B311" s="47"/>
      <c r="C311" s="47"/>
      <c r="D311" s="47"/>
      <c r="E311" s="47"/>
      <c r="F311" s="47"/>
      <c r="G311" s="47"/>
    </row>
    <row r="312" ht="15.75" customHeight="1">
      <c r="A312" s="47"/>
      <c r="B312" s="47"/>
      <c r="C312" s="47"/>
      <c r="D312" s="47"/>
      <c r="E312" s="47"/>
      <c r="F312" s="47"/>
      <c r="G312" s="47"/>
    </row>
    <row r="313" ht="15.75" customHeight="1">
      <c r="A313" s="47"/>
      <c r="B313" s="47"/>
      <c r="C313" s="47"/>
      <c r="D313" s="47"/>
      <c r="E313" s="47"/>
      <c r="F313" s="47"/>
      <c r="G313" s="47"/>
    </row>
    <row r="314" ht="15.75" customHeight="1">
      <c r="A314" s="47"/>
      <c r="B314" s="47"/>
      <c r="C314" s="47"/>
      <c r="D314" s="47"/>
      <c r="E314" s="47"/>
      <c r="F314" s="47"/>
      <c r="G314" s="47"/>
    </row>
    <row r="315" ht="15.75" customHeight="1">
      <c r="A315" s="47"/>
      <c r="B315" s="47"/>
      <c r="C315" s="47"/>
      <c r="D315" s="47"/>
      <c r="E315" s="47"/>
      <c r="F315" s="47"/>
      <c r="G315" s="47"/>
    </row>
    <row r="316" ht="15.75" customHeight="1">
      <c r="A316" s="47"/>
      <c r="B316" s="47"/>
      <c r="C316" s="47"/>
      <c r="D316" s="47"/>
      <c r="E316" s="47"/>
      <c r="F316" s="47"/>
      <c r="G316" s="47"/>
    </row>
    <row r="317" ht="15.75" customHeight="1">
      <c r="A317" s="47"/>
      <c r="B317" s="47"/>
      <c r="C317" s="47"/>
      <c r="D317" s="47"/>
      <c r="E317" s="47"/>
      <c r="F317" s="47"/>
      <c r="G317" s="47"/>
    </row>
    <row r="318" ht="15.75" customHeight="1">
      <c r="A318" s="47"/>
      <c r="B318" s="47"/>
      <c r="C318" s="47"/>
      <c r="D318" s="47"/>
      <c r="E318" s="47"/>
      <c r="F318" s="47"/>
      <c r="G318" s="47"/>
    </row>
    <row r="319" ht="15.75" customHeight="1">
      <c r="A319" s="47"/>
      <c r="B319" s="47"/>
      <c r="C319" s="47"/>
      <c r="D319" s="47"/>
      <c r="E319" s="47"/>
      <c r="F319" s="47"/>
      <c r="G319" s="47"/>
    </row>
    <row r="320" ht="15.75" customHeight="1">
      <c r="A320" s="47"/>
      <c r="B320" s="47"/>
      <c r="C320" s="47"/>
      <c r="D320" s="47"/>
      <c r="E320" s="47"/>
      <c r="F320" s="47"/>
      <c r="G320" s="47"/>
    </row>
    <row r="321" ht="15.75" customHeight="1">
      <c r="A321" s="47"/>
      <c r="B321" s="47"/>
      <c r="C321" s="47"/>
      <c r="D321" s="47"/>
      <c r="E321" s="47"/>
      <c r="F321" s="47"/>
      <c r="G321" s="47"/>
    </row>
    <row r="322" ht="15.75" customHeight="1">
      <c r="A322" s="47"/>
      <c r="B322" s="47"/>
      <c r="C322" s="47"/>
      <c r="D322" s="47"/>
      <c r="E322" s="47"/>
      <c r="F322" s="47"/>
      <c r="G322" s="47"/>
    </row>
    <row r="323" ht="15.75" customHeight="1">
      <c r="A323" s="47"/>
      <c r="B323" s="47"/>
      <c r="C323" s="47"/>
      <c r="D323" s="47"/>
      <c r="E323" s="47"/>
      <c r="F323" s="47"/>
      <c r="G323" s="47"/>
    </row>
    <row r="324" ht="15.75" customHeight="1">
      <c r="A324" s="47"/>
      <c r="B324" s="47"/>
      <c r="C324" s="47"/>
      <c r="D324" s="47"/>
      <c r="E324" s="47"/>
      <c r="F324" s="47"/>
      <c r="G324" s="47"/>
    </row>
    <row r="325" ht="15.75" customHeight="1">
      <c r="A325" s="47"/>
      <c r="B325" s="47"/>
      <c r="C325" s="47"/>
      <c r="D325" s="47"/>
      <c r="E325" s="47"/>
      <c r="F325" s="47"/>
      <c r="G325" s="47"/>
    </row>
    <row r="326" ht="15.75" customHeight="1">
      <c r="A326" s="47"/>
      <c r="B326" s="47"/>
      <c r="C326" s="47"/>
      <c r="D326" s="47"/>
      <c r="E326" s="47"/>
      <c r="F326" s="47"/>
      <c r="G326" s="47"/>
    </row>
    <row r="327" ht="15.75" customHeight="1">
      <c r="A327" s="47"/>
      <c r="B327" s="47"/>
      <c r="C327" s="47"/>
      <c r="D327" s="47"/>
      <c r="E327" s="47"/>
      <c r="F327" s="47"/>
      <c r="G327" s="47"/>
    </row>
    <row r="328" ht="15.75" customHeight="1">
      <c r="A328" s="47"/>
      <c r="B328" s="47"/>
      <c r="C328" s="47"/>
      <c r="D328" s="47"/>
      <c r="E328" s="47"/>
      <c r="F328" s="47"/>
      <c r="G328" s="47"/>
    </row>
    <row r="329" ht="15.75" customHeight="1">
      <c r="A329" s="47"/>
      <c r="B329" s="47"/>
      <c r="C329" s="47"/>
      <c r="D329" s="47"/>
      <c r="E329" s="47"/>
      <c r="F329" s="47"/>
      <c r="G329" s="47"/>
    </row>
    <row r="330" ht="15.75" customHeight="1">
      <c r="A330" s="47"/>
      <c r="B330" s="47"/>
      <c r="C330" s="47"/>
      <c r="D330" s="47"/>
      <c r="E330" s="47"/>
      <c r="F330" s="47"/>
      <c r="G330" s="47"/>
    </row>
    <row r="331" ht="15.75" customHeight="1">
      <c r="A331" s="47"/>
      <c r="B331" s="47"/>
      <c r="C331" s="47"/>
      <c r="D331" s="47"/>
      <c r="E331" s="47"/>
      <c r="F331" s="47"/>
      <c r="G331" s="47"/>
    </row>
    <row r="332" ht="15.75" customHeight="1">
      <c r="A332" s="47"/>
      <c r="B332" s="47"/>
      <c r="C332" s="47"/>
      <c r="D332" s="47"/>
      <c r="E332" s="47"/>
      <c r="F332" s="47"/>
      <c r="G332" s="47"/>
    </row>
    <row r="333" ht="15.75" customHeight="1">
      <c r="A333" s="47"/>
      <c r="B333" s="47"/>
      <c r="C333" s="47"/>
      <c r="D333" s="47"/>
      <c r="E333" s="47"/>
      <c r="F333" s="47"/>
      <c r="G333" s="47"/>
    </row>
    <row r="334" ht="15.75" customHeight="1">
      <c r="A334" s="47"/>
      <c r="B334" s="47"/>
      <c r="C334" s="47"/>
      <c r="D334" s="47"/>
      <c r="E334" s="47"/>
      <c r="F334" s="47"/>
      <c r="G334" s="47"/>
    </row>
    <row r="335" ht="15.75" customHeight="1">
      <c r="A335" s="47"/>
      <c r="B335" s="47"/>
      <c r="C335" s="47"/>
      <c r="D335" s="47"/>
      <c r="E335" s="47"/>
      <c r="F335" s="47"/>
      <c r="G335" s="47"/>
    </row>
    <row r="336" ht="15.75" customHeight="1">
      <c r="A336" s="47"/>
      <c r="B336" s="47"/>
      <c r="C336" s="47"/>
      <c r="D336" s="47"/>
      <c r="E336" s="47"/>
      <c r="F336" s="47"/>
      <c r="G336" s="47"/>
    </row>
    <row r="337" ht="15.75" customHeight="1">
      <c r="A337" s="47"/>
      <c r="B337" s="47"/>
      <c r="C337" s="47"/>
      <c r="D337" s="47"/>
      <c r="E337" s="47"/>
      <c r="F337" s="47"/>
      <c r="G337" s="47"/>
    </row>
    <row r="338" ht="15.75" customHeight="1">
      <c r="A338" s="47"/>
      <c r="B338" s="47"/>
      <c r="C338" s="47"/>
      <c r="D338" s="47"/>
      <c r="E338" s="47"/>
      <c r="F338" s="47"/>
      <c r="G338" s="47"/>
    </row>
    <row r="339" ht="15.75" customHeight="1">
      <c r="A339" s="47"/>
      <c r="B339" s="47"/>
      <c r="C339" s="47"/>
      <c r="D339" s="47"/>
      <c r="E339" s="47"/>
      <c r="F339" s="47"/>
      <c r="G339" s="47"/>
    </row>
    <row r="340" ht="15.75" customHeight="1">
      <c r="A340" s="47"/>
      <c r="B340" s="47"/>
      <c r="C340" s="47"/>
      <c r="D340" s="47"/>
      <c r="E340" s="47"/>
      <c r="F340" s="47"/>
      <c r="G340" s="47"/>
    </row>
    <row r="341" ht="15.75" customHeight="1">
      <c r="A341" s="47"/>
      <c r="B341" s="47"/>
      <c r="C341" s="47"/>
      <c r="D341" s="47"/>
      <c r="E341" s="47"/>
      <c r="F341" s="47"/>
      <c r="G341" s="47"/>
    </row>
    <row r="342" ht="15.75" customHeight="1">
      <c r="A342" s="47"/>
      <c r="B342" s="47"/>
      <c r="C342" s="47"/>
      <c r="D342" s="47"/>
      <c r="E342" s="47"/>
      <c r="F342" s="47"/>
      <c r="G342" s="47"/>
    </row>
    <row r="343" ht="15.75" customHeight="1">
      <c r="A343" s="47"/>
      <c r="B343" s="47"/>
      <c r="C343" s="47"/>
      <c r="D343" s="47"/>
      <c r="E343" s="47"/>
      <c r="F343" s="47"/>
      <c r="G343" s="47"/>
    </row>
    <row r="344" ht="15.75" customHeight="1">
      <c r="A344" s="47"/>
      <c r="B344" s="47"/>
      <c r="C344" s="47"/>
      <c r="D344" s="47"/>
      <c r="E344" s="47"/>
      <c r="F344" s="47"/>
      <c r="G344" s="47"/>
    </row>
    <row r="345" ht="15.75" customHeight="1">
      <c r="A345" s="47"/>
      <c r="B345" s="47"/>
      <c r="C345" s="47"/>
      <c r="D345" s="47"/>
      <c r="E345" s="47"/>
      <c r="F345" s="47"/>
      <c r="G345" s="47"/>
    </row>
    <row r="346" ht="15.75" customHeight="1">
      <c r="A346" s="47"/>
      <c r="B346" s="47"/>
      <c r="C346" s="47"/>
      <c r="D346" s="47"/>
      <c r="E346" s="47"/>
      <c r="F346" s="47"/>
      <c r="G346" s="47"/>
    </row>
    <row r="347" ht="15.75" customHeight="1">
      <c r="A347" s="47"/>
      <c r="B347" s="47"/>
      <c r="C347" s="47"/>
      <c r="D347" s="47"/>
      <c r="E347" s="47"/>
      <c r="F347" s="47"/>
      <c r="G347" s="47"/>
    </row>
    <row r="348" ht="15.75" customHeight="1">
      <c r="A348" s="47"/>
      <c r="B348" s="47"/>
      <c r="C348" s="47"/>
      <c r="D348" s="47"/>
      <c r="E348" s="47"/>
      <c r="F348" s="47"/>
      <c r="G348" s="47"/>
    </row>
    <row r="349" ht="15.75" customHeight="1">
      <c r="A349" s="47"/>
      <c r="B349" s="47"/>
      <c r="C349" s="47"/>
      <c r="D349" s="47"/>
      <c r="E349" s="47"/>
      <c r="F349" s="47"/>
      <c r="G349" s="47"/>
    </row>
    <row r="350" ht="15.75" customHeight="1">
      <c r="A350" s="47"/>
      <c r="B350" s="47"/>
      <c r="C350" s="47"/>
      <c r="D350" s="47"/>
      <c r="E350" s="47"/>
      <c r="F350" s="47"/>
      <c r="G350" s="47"/>
    </row>
    <row r="351" ht="15.75" customHeight="1">
      <c r="A351" s="47"/>
      <c r="B351" s="47"/>
      <c r="C351" s="47"/>
      <c r="D351" s="47"/>
      <c r="E351" s="47"/>
      <c r="F351" s="47"/>
      <c r="G351" s="47"/>
    </row>
    <row r="352" ht="15.75" customHeight="1">
      <c r="A352" s="47"/>
      <c r="B352" s="47"/>
      <c r="C352" s="47"/>
      <c r="D352" s="47"/>
      <c r="E352" s="47"/>
      <c r="F352" s="47"/>
      <c r="G352" s="47"/>
    </row>
    <row r="353" ht="15.75" customHeight="1">
      <c r="A353" s="47"/>
      <c r="B353" s="47"/>
      <c r="C353" s="47"/>
      <c r="D353" s="47"/>
      <c r="E353" s="47"/>
      <c r="F353" s="47"/>
      <c r="G353" s="47"/>
    </row>
    <row r="354" ht="15.75" customHeight="1">
      <c r="A354" s="47"/>
      <c r="B354" s="47"/>
      <c r="C354" s="47"/>
      <c r="D354" s="47"/>
      <c r="E354" s="47"/>
      <c r="F354" s="47"/>
      <c r="G354" s="47"/>
    </row>
    <row r="355" ht="15.75" customHeight="1">
      <c r="A355" s="47"/>
      <c r="B355" s="47"/>
      <c r="C355" s="47"/>
      <c r="D355" s="47"/>
      <c r="E355" s="47"/>
      <c r="F355" s="47"/>
      <c r="G355" s="47"/>
    </row>
    <row r="356" ht="15.75" customHeight="1">
      <c r="A356" s="47"/>
      <c r="B356" s="47"/>
      <c r="C356" s="47"/>
      <c r="D356" s="47"/>
      <c r="E356" s="47"/>
      <c r="F356" s="47"/>
      <c r="G356" s="47"/>
    </row>
    <row r="357" ht="15.75" customHeight="1">
      <c r="A357" s="47"/>
      <c r="B357" s="47"/>
      <c r="C357" s="47"/>
      <c r="D357" s="47"/>
      <c r="E357" s="47"/>
      <c r="F357" s="47"/>
      <c r="G357" s="47"/>
    </row>
    <row r="358" ht="15.75" customHeight="1">
      <c r="A358" s="47"/>
      <c r="B358" s="47"/>
      <c r="C358" s="47"/>
      <c r="D358" s="47"/>
      <c r="E358" s="47"/>
      <c r="F358" s="47"/>
      <c r="G358" s="47"/>
    </row>
    <row r="359" ht="15.75" customHeight="1">
      <c r="A359" s="47"/>
      <c r="B359" s="47"/>
      <c r="C359" s="47"/>
      <c r="D359" s="47"/>
      <c r="E359" s="47"/>
      <c r="F359" s="47"/>
      <c r="G359" s="47"/>
    </row>
    <row r="360" ht="15.75" customHeight="1">
      <c r="A360" s="47"/>
      <c r="B360" s="47"/>
      <c r="C360" s="47"/>
      <c r="D360" s="47"/>
      <c r="E360" s="47"/>
      <c r="F360" s="47"/>
      <c r="G360" s="47"/>
    </row>
    <row r="361" ht="15.75" customHeight="1">
      <c r="A361" s="47"/>
      <c r="B361" s="47"/>
      <c r="C361" s="47"/>
      <c r="D361" s="47"/>
      <c r="E361" s="47"/>
      <c r="F361" s="47"/>
      <c r="G361" s="47"/>
    </row>
    <row r="362" ht="15.75" customHeight="1">
      <c r="A362" s="47"/>
      <c r="B362" s="47"/>
      <c r="C362" s="47"/>
      <c r="D362" s="47"/>
      <c r="E362" s="47"/>
      <c r="F362" s="47"/>
      <c r="G362" s="47"/>
    </row>
    <row r="363" ht="15.75" customHeight="1">
      <c r="A363" s="47"/>
      <c r="B363" s="47"/>
      <c r="C363" s="47"/>
      <c r="D363" s="47"/>
      <c r="E363" s="47"/>
      <c r="F363" s="47"/>
      <c r="G363" s="47"/>
    </row>
    <row r="364" ht="15.75" customHeight="1">
      <c r="A364" s="47"/>
      <c r="B364" s="47"/>
      <c r="C364" s="47"/>
      <c r="D364" s="47"/>
      <c r="E364" s="47"/>
      <c r="F364" s="47"/>
      <c r="G364" s="47"/>
    </row>
    <row r="365" ht="15.75" customHeight="1">
      <c r="A365" s="47"/>
      <c r="B365" s="47"/>
      <c r="C365" s="47"/>
      <c r="D365" s="47"/>
      <c r="E365" s="47"/>
      <c r="F365" s="47"/>
      <c r="G365" s="47"/>
    </row>
    <row r="366" ht="15.75" customHeight="1">
      <c r="A366" s="47"/>
      <c r="B366" s="47"/>
      <c r="C366" s="47"/>
      <c r="D366" s="47"/>
      <c r="E366" s="47"/>
      <c r="F366" s="47"/>
      <c r="G366" s="47"/>
    </row>
    <row r="367" ht="15.75" customHeight="1">
      <c r="A367" s="47"/>
      <c r="B367" s="47"/>
      <c r="C367" s="47"/>
      <c r="D367" s="47"/>
      <c r="E367" s="47"/>
      <c r="F367" s="47"/>
      <c r="G367" s="47"/>
    </row>
    <row r="368" ht="15.75" customHeight="1">
      <c r="A368" s="47"/>
      <c r="B368" s="47"/>
      <c r="C368" s="47"/>
      <c r="D368" s="47"/>
      <c r="E368" s="47"/>
      <c r="F368" s="47"/>
      <c r="G368" s="47"/>
    </row>
    <row r="369" ht="15.75" customHeight="1">
      <c r="A369" s="47"/>
      <c r="B369" s="47"/>
      <c r="C369" s="47"/>
      <c r="D369" s="47"/>
      <c r="E369" s="47"/>
      <c r="F369" s="47"/>
      <c r="G369" s="47"/>
    </row>
    <row r="370" ht="15.75" customHeight="1">
      <c r="A370" s="47"/>
      <c r="B370" s="47"/>
      <c r="C370" s="47"/>
      <c r="D370" s="47"/>
      <c r="E370" s="47"/>
      <c r="F370" s="47"/>
      <c r="G370" s="47"/>
    </row>
    <row r="371" ht="15.75" customHeight="1">
      <c r="A371" s="47"/>
      <c r="B371" s="47"/>
      <c r="C371" s="47"/>
      <c r="D371" s="47"/>
      <c r="E371" s="47"/>
      <c r="F371" s="47"/>
      <c r="G371" s="47"/>
    </row>
    <row r="372" ht="15.75" customHeight="1">
      <c r="A372" s="47"/>
      <c r="B372" s="47"/>
      <c r="C372" s="47"/>
      <c r="D372" s="47"/>
      <c r="E372" s="47"/>
      <c r="F372" s="47"/>
      <c r="G372" s="47"/>
    </row>
    <row r="373" ht="15.75" customHeight="1">
      <c r="A373" s="47"/>
      <c r="B373" s="47"/>
      <c r="C373" s="47"/>
      <c r="D373" s="47"/>
      <c r="E373" s="47"/>
      <c r="F373" s="47"/>
      <c r="G373" s="47"/>
    </row>
    <row r="374" ht="15.75" customHeight="1">
      <c r="A374" s="47"/>
      <c r="B374" s="47"/>
      <c r="C374" s="47"/>
      <c r="D374" s="47"/>
      <c r="E374" s="47"/>
      <c r="F374" s="47"/>
      <c r="G374" s="47"/>
    </row>
    <row r="375" ht="15.75" customHeight="1">
      <c r="A375" s="47"/>
      <c r="B375" s="47"/>
      <c r="C375" s="47"/>
      <c r="D375" s="47"/>
      <c r="E375" s="47"/>
      <c r="F375" s="47"/>
      <c r="G375" s="47"/>
    </row>
    <row r="376" ht="15.75" customHeight="1">
      <c r="A376" s="47"/>
      <c r="B376" s="47"/>
      <c r="C376" s="47"/>
      <c r="D376" s="47"/>
      <c r="E376" s="47"/>
      <c r="F376" s="47"/>
      <c r="G376" s="47"/>
    </row>
    <row r="377" ht="15.75" customHeight="1">
      <c r="A377" s="47"/>
      <c r="B377" s="47"/>
      <c r="C377" s="47"/>
      <c r="D377" s="47"/>
      <c r="E377" s="47"/>
      <c r="F377" s="47"/>
      <c r="G377" s="47"/>
    </row>
    <row r="378" ht="15.75" customHeight="1">
      <c r="A378" s="47"/>
      <c r="B378" s="47"/>
      <c r="C378" s="47"/>
      <c r="D378" s="47"/>
      <c r="E378" s="47"/>
      <c r="F378" s="47"/>
      <c r="G378" s="47"/>
    </row>
    <row r="379" ht="15.75" customHeight="1">
      <c r="A379" s="47"/>
      <c r="B379" s="47"/>
      <c r="C379" s="47"/>
      <c r="D379" s="47"/>
      <c r="E379" s="47"/>
      <c r="F379" s="47"/>
      <c r="G379" s="47"/>
    </row>
    <row r="380" ht="15.75" customHeight="1">
      <c r="A380" s="47"/>
      <c r="B380" s="47"/>
      <c r="C380" s="47"/>
      <c r="D380" s="47"/>
      <c r="E380" s="47"/>
      <c r="F380" s="47"/>
      <c r="G380" s="47"/>
    </row>
    <row r="381" ht="15.75" customHeight="1">
      <c r="A381" s="47"/>
      <c r="B381" s="47"/>
      <c r="C381" s="47"/>
      <c r="D381" s="47"/>
      <c r="E381" s="47"/>
      <c r="F381" s="47"/>
      <c r="G381" s="47"/>
    </row>
    <row r="382" ht="15.75" customHeight="1">
      <c r="A382" s="47"/>
      <c r="B382" s="47"/>
      <c r="C382" s="47"/>
      <c r="D382" s="47"/>
      <c r="E382" s="47"/>
      <c r="F382" s="47"/>
      <c r="G382" s="47"/>
    </row>
    <row r="383" ht="15.75" customHeight="1">
      <c r="A383" s="47"/>
      <c r="B383" s="47"/>
      <c r="C383" s="47"/>
      <c r="D383" s="47"/>
      <c r="E383" s="47"/>
      <c r="F383" s="47"/>
      <c r="G383" s="47"/>
    </row>
    <row r="384" ht="15.75" customHeight="1">
      <c r="A384" s="47"/>
      <c r="B384" s="47"/>
      <c r="C384" s="47"/>
      <c r="D384" s="47"/>
      <c r="E384" s="47"/>
      <c r="F384" s="47"/>
      <c r="G384" s="47"/>
    </row>
    <row r="385" ht="15.75" customHeight="1">
      <c r="A385" s="47"/>
      <c r="B385" s="47"/>
      <c r="C385" s="47"/>
      <c r="D385" s="47"/>
      <c r="E385" s="47"/>
      <c r="F385" s="47"/>
      <c r="G385" s="47"/>
    </row>
    <row r="386" ht="15.75" customHeight="1">
      <c r="A386" s="47"/>
      <c r="B386" s="47"/>
      <c r="C386" s="47"/>
      <c r="D386" s="47"/>
      <c r="E386" s="47"/>
      <c r="F386" s="47"/>
      <c r="G386" s="47"/>
    </row>
    <row r="387" ht="15.75" customHeight="1">
      <c r="A387" s="47"/>
      <c r="B387" s="47"/>
      <c r="C387" s="47"/>
      <c r="D387" s="47"/>
      <c r="E387" s="47"/>
      <c r="F387" s="47"/>
      <c r="G387" s="47"/>
    </row>
    <row r="388" ht="15.75" customHeight="1">
      <c r="A388" s="47"/>
      <c r="B388" s="47"/>
      <c r="C388" s="47"/>
      <c r="D388" s="47"/>
      <c r="E388" s="47"/>
      <c r="F388" s="47"/>
      <c r="G388" s="47"/>
    </row>
    <row r="389" ht="15.75" customHeight="1">
      <c r="A389" s="47"/>
      <c r="B389" s="47"/>
      <c r="C389" s="47"/>
      <c r="D389" s="47"/>
      <c r="E389" s="47"/>
      <c r="F389" s="47"/>
      <c r="G389" s="47"/>
    </row>
    <row r="390" ht="15.75" customHeight="1">
      <c r="A390" s="47"/>
      <c r="B390" s="47"/>
      <c r="C390" s="47"/>
      <c r="D390" s="47"/>
      <c r="E390" s="47"/>
      <c r="F390" s="47"/>
      <c r="G390" s="47"/>
    </row>
    <row r="391" ht="15.75" customHeight="1">
      <c r="A391" s="47"/>
      <c r="B391" s="47"/>
      <c r="C391" s="47"/>
      <c r="D391" s="47"/>
      <c r="E391" s="47"/>
      <c r="F391" s="47"/>
      <c r="G391" s="47"/>
    </row>
    <row r="392" ht="15.75" customHeight="1">
      <c r="A392" s="47"/>
      <c r="B392" s="47"/>
      <c r="C392" s="47"/>
      <c r="D392" s="47"/>
      <c r="E392" s="47"/>
      <c r="F392" s="47"/>
      <c r="G392" s="47"/>
    </row>
    <row r="393" ht="15.75" customHeight="1">
      <c r="A393" s="47"/>
      <c r="B393" s="47"/>
      <c r="C393" s="47"/>
      <c r="D393" s="47"/>
      <c r="E393" s="47"/>
      <c r="F393" s="47"/>
      <c r="G393" s="47"/>
    </row>
    <row r="394" ht="15.75" customHeight="1">
      <c r="A394" s="47"/>
      <c r="B394" s="47"/>
      <c r="C394" s="47"/>
      <c r="D394" s="47"/>
      <c r="E394" s="47"/>
      <c r="F394" s="47"/>
      <c r="G394" s="47"/>
    </row>
    <row r="395" ht="15.75" customHeight="1">
      <c r="A395" s="47"/>
      <c r="B395" s="47"/>
      <c r="C395" s="47"/>
      <c r="D395" s="47"/>
      <c r="E395" s="47"/>
      <c r="F395" s="47"/>
      <c r="G395" s="47"/>
    </row>
    <row r="396" ht="15.75" customHeight="1">
      <c r="A396" s="47"/>
      <c r="B396" s="47"/>
      <c r="C396" s="47"/>
      <c r="D396" s="47"/>
      <c r="E396" s="47"/>
      <c r="F396" s="47"/>
      <c r="G396" s="47"/>
    </row>
    <row r="397" ht="15.75" customHeight="1">
      <c r="A397" s="47"/>
      <c r="B397" s="47"/>
      <c r="C397" s="47"/>
      <c r="D397" s="47"/>
      <c r="E397" s="47"/>
      <c r="F397" s="47"/>
      <c r="G397" s="47"/>
    </row>
    <row r="398" ht="15.75" customHeight="1">
      <c r="A398" s="47"/>
      <c r="B398" s="47"/>
      <c r="C398" s="47"/>
      <c r="D398" s="47"/>
      <c r="E398" s="47"/>
      <c r="F398" s="47"/>
      <c r="G398" s="47"/>
    </row>
    <row r="399" ht="15.75" customHeight="1">
      <c r="A399" s="47"/>
      <c r="B399" s="47"/>
      <c r="C399" s="47"/>
      <c r="D399" s="47"/>
      <c r="E399" s="47"/>
      <c r="F399" s="47"/>
      <c r="G399" s="47"/>
    </row>
    <row r="400" ht="15.75" customHeight="1">
      <c r="A400" s="47"/>
      <c r="B400" s="47"/>
      <c r="C400" s="47"/>
      <c r="D400" s="47"/>
      <c r="E400" s="47"/>
      <c r="F400" s="47"/>
      <c r="G400" s="47"/>
    </row>
    <row r="401" ht="15.75" customHeight="1">
      <c r="A401" s="47"/>
      <c r="B401" s="47"/>
      <c r="C401" s="47"/>
      <c r="D401" s="47"/>
      <c r="E401" s="47"/>
      <c r="F401" s="47"/>
      <c r="G401" s="47"/>
    </row>
    <row r="402" ht="15.75" customHeight="1">
      <c r="A402" s="47"/>
      <c r="B402" s="47"/>
      <c r="C402" s="47"/>
      <c r="D402" s="47"/>
      <c r="E402" s="47"/>
      <c r="F402" s="47"/>
      <c r="G402" s="47"/>
    </row>
    <row r="403" ht="15.75" customHeight="1">
      <c r="A403" s="47"/>
      <c r="B403" s="47"/>
      <c r="C403" s="47"/>
      <c r="D403" s="47"/>
      <c r="E403" s="47"/>
      <c r="F403" s="47"/>
      <c r="G403" s="47"/>
    </row>
    <row r="404" ht="15.75" customHeight="1">
      <c r="A404" s="47"/>
      <c r="B404" s="47"/>
      <c r="C404" s="47"/>
      <c r="D404" s="47"/>
      <c r="E404" s="47"/>
      <c r="F404" s="47"/>
      <c r="G404" s="47"/>
    </row>
    <row r="405" ht="15.75" customHeight="1">
      <c r="A405" s="47"/>
      <c r="B405" s="47"/>
      <c r="C405" s="47"/>
      <c r="D405" s="47"/>
      <c r="E405" s="47"/>
      <c r="F405" s="47"/>
      <c r="G405" s="47"/>
    </row>
    <row r="406" ht="15.75" customHeight="1">
      <c r="A406" s="47"/>
      <c r="B406" s="47"/>
      <c r="C406" s="47"/>
      <c r="D406" s="47"/>
      <c r="E406" s="47"/>
      <c r="F406" s="47"/>
      <c r="G406" s="47"/>
    </row>
    <row r="407" ht="15.75" customHeight="1">
      <c r="A407" s="47"/>
      <c r="B407" s="47"/>
      <c r="C407" s="47"/>
      <c r="D407" s="47"/>
      <c r="E407" s="47"/>
      <c r="F407" s="47"/>
      <c r="G407" s="47"/>
    </row>
    <row r="408" ht="15.75" customHeight="1">
      <c r="A408" s="47"/>
      <c r="B408" s="47"/>
      <c r="C408" s="47"/>
      <c r="D408" s="47"/>
      <c r="E408" s="47"/>
      <c r="F408" s="47"/>
      <c r="G408" s="47"/>
    </row>
    <row r="409" ht="15.75" customHeight="1">
      <c r="A409" s="47"/>
      <c r="B409" s="47"/>
      <c r="C409" s="47"/>
      <c r="D409" s="47"/>
      <c r="E409" s="47"/>
      <c r="F409" s="47"/>
      <c r="G409" s="47"/>
    </row>
    <row r="410" ht="15.75" customHeight="1">
      <c r="A410" s="47"/>
      <c r="B410" s="47"/>
      <c r="C410" s="47"/>
      <c r="D410" s="47"/>
      <c r="E410" s="47"/>
      <c r="F410" s="47"/>
      <c r="G410" s="47"/>
    </row>
    <row r="411" ht="15.75" customHeight="1">
      <c r="A411" s="47"/>
      <c r="B411" s="47"/>
      <c r="C411" s="47"/>
      <c r="D411" s="47"/>
      <c r="E411" s="47"/>
      <c r="F411" s="47"/>
      <c r="G411" s="47"/>
    </row>
    <row r="412" ht="15.75" customHeight="1">
      <c r="A412" s="47"/>
      <c r="B412" s="47"/>
      <c r="C412" s="47"/>
      <c r="D412" s="47"/>
      <c r="E412" s="47"/>
      <c r="F412" s="47"/>
      <c r="G412" s="47"/>
    </row>
    <row r="413" ht="15.75" customHeight="1">
      <c r="A413" s="47"/>
      <c r="B413" s="47"/>
      <c r="C413" s="47"/>
      <c r="D413" s="47"/>
      <c r="E413" s="47"/>
      <c r="F413" s="47"/>
      <c r="G413" s="47"/>
    </row>
    <row r="414" ht="15.75" customHeight="1">
      <c r="A414" s="47"/>
      <c r="B414" s="47"/>
      <c r="C414" s="47"/>
      <c r="D414" s="47"/>
      <c r="E414" s="47"/>
      <c r="F414" s="47"/>
      <c r="G414" s="47"/>
    </row>
    <row r="415" ht="15.75" customHeight="1">
      <c r="A415" s="47"/>
      <c r="B415" s="47"/>
      <c r="C415" s="47"/>
      <c r="D415" s="47"/>
      <c r="E415" s="47"/>
      <c r="F415" s="47"/>
      <c r="G415" s="47"/>
    </row>
    <row r="416" ht="15.75" customHeight="1">
      <c r="A416" s="47"/>
      <c r="B416" s="47"/>
      <c r="C416" s="47"/>
      <c r="D416" s="47"/>
      <c r="E416" s="47"/>
      <c r="F416" s="47"/>
      <c r="G416" s="47"/>
    </row>
    <row r="417" ht="15.75" customHeight="1">
      <c r="A417" s="47"/>
      <c r="B417" s="47"/>
      <c r="C417" s="47"/>
      <c r="D417" s="47"/>
      <c r="E417" s="47"/>
      <c r="F417" s="47"/>
      <c r="G417" s="47"/>
    </row>
    <row r="418" ht="15.75" customHeight="1">
      <c r="A418" s="47"/>
      <c r="B418" s="47"/>
      <c r="C418" s="47"/>
      <c r="D418" s="47"/>
      <c r="E418" s="47"/>
      <c r="F418" s="47"/>
      <c r="G418" s="47"/>
    </row>
    <row r="419" ht="15.75" customHeight="1">
      <c r="A419" s="47"/>
      <c r="B419" s="47"/>
      <c r="C419" s="47"/>
      <c r="D419" s="47"/>
      <c r="E419" s="47"/>
      <c r="F419" s="47"/>
      <c r="G419" s="47"/>
    </row>
    <row r="420" ht="15.75" customHeight="1">
      <c r="A420" s="47"/>
      <c r="B420" s="47"/>
      <c r="C420" s="47"/>
      <c r="D420" s="47"/>
      <c r="E420" s="47"/>
      <c r="F420" s="47"/>
      <c r="G420" s="47"/>
    </row>
    <row r="421" ht="15.75" customHeight="1">
      <c r="A421" s="47"/>
      <c r="B421" s="47"/>
      <c r="C421" s="47"/>
      <c r="D421" s="47"/>
      <c r="E421" s="47"/>
      <c r="F421" s="47"/>
      <c r="G421" s="47"/>
    </row>
    <row r="422" ht="15.75" customHeight="1">
      <c r="A422" s="47"/>
      <c r="B422" s="47"/>
      <c r="C422" s="47"/>
      <c r="D422" s="47"/>
      <c r="E422" s="47"/>
      <c r="F422" s="47"/>
      <c r="G422" s="47"/>
    </row>
    <row r="423" ht="15.75" customHeight="1">
      <c r="A423" s="47"/>
      <c r="B423" s="47"/>
      <c r="C423" s="47"/>
      <c r="D423" s="47"/>
      <c r="E423" s="47"/>
      <c r="F423" s="47"/>
      <c r="G423" s="47"/>
    </row>
    <row r="424" ht="15.75" customHeight="1">
      <c r="A424" s="47"/>
      <c r="B424" s="47"/>
      <c r="C424" s="47"/>
      <c r="D424" s="47"/>
      <c r="E424" s="47"/>
      <c r="F424" s="47"/>
      <c r="G424" s="47"/>
    </row>
    <row r="425" ht="15.75" customHeight="1">
      <c r="A425" s="47"/>
      <c r="B425" s="47"/>
      <c r="C425" s="47"/>
      <c r="D425" s="47"/>
      <c r="E425" s="47"/>
      <c r="F425" s="47"/>
      <c r="G425" s="47"/>
    </row>
    <row r="426" ht="15.75" customHeight="1">
      <c r="A426" s="47"/>
      <c r="B426" s="47"/>
      <c r="C426" s="47"/>
      <c r="D426" s="47"/>
      <c r="E426" s="47"/>
      <c r="F426" s="47"/>
      <c r="G426" s="47"/>
    </row>
    <row r="427" ht="15.75" customHeight="1">
      <c r="A427" s="47"/>
      <c r="B427" s="47"/>
      <c r="C427" s="47"/>
      <c r="D427" s="47"/>
      <c r="E427" s="47"/>
      <c r="F427" s="47"/>
      <c r="G427" s="47"/>
    </row>
    <row r="428" ht="15.75" customHeight="1">
      <c r="A428" s="47"/>
      <c r="B428" s="47"/>
      <c r="C428" s="47"/>
      <c r="D428" s="47"/>
      <c r="E428" s="47"/>
      <c r="F428" s="47"/>
      <c r="G428" s="47"/>
    </row>
    <row r="429" ht="15.75" customHeight="1">
      <c r="A429" s="47"/>
      <c r="B429" s="47"/>
      <c r="C429" s="47"/>
      <c r="D429" s="47"/>
      <c r="E429" s="47"/>
      <c r="F429" s="47"/>
      <c r="G429" s="47"/>
    </row>
    <row r="430" ht="15.75" customHeight="1">
      <c r="A430" s="47"/>
      <c r="B430" s="47"/>
      <c r="C430" s="47"/>
      <c r="D430" s="47"/>
      <c r="E430" s="47"/>
      <c r="F430" s="47"/>
      <c r="G430" s="47"/>
    </row>
    <row r="431" ht="15.75" customHeight="1">
      <c r="A431" s="47"/>
      <c r="B431" s="47"/>
      <c r="C431" s="47"/>
      <c r="D431" s="47"/>
      <c r="E431" s="47"/>
      <c r="F431" s="47"/>
      <c r="G431" s="47"/>
    </row>
    <row r="432" ht="15.75" customHeight="1">
      <c r="A432" s="47"/>
      <c r="B432" s="47"/>
      <c r="C432" s="47"/>
      <c r="D432" s="47"/>
      <c r="E432" s="47"/>
      <c r="F432" s="47"/>
      <c r="G432" s="47"/>
    </row>
    <row r="433" ht="15.75" customHeight="1">
      <c r="A433" s="47"/>
      <c r="B433" s="47"/>
      <c r="C433" s="47"/>
      <c r="D433" s="47"/>
      <c r="E433" s="47"/>
      <c r="F433" s="47"/>
      <c r="G433" s="47"/>
    </row>
    <row r="434" ht="15.75" customHeight="1">
      <c r="A434" s="47"/>
      <c r="B434" s="47"/>
      <c r="C434" s="47"/>
      <c r="D434" s="47"/>
      <c r="E434" s="47"/>
      <c r="F434" s="47"/>
      <c r="G434" s="47"/>
    </row>
    <row r="435" ht="15.75" customHeight="1">
      <c r="A435" s="47"/>
      <c r="B435" s="47"/>
      <c r="C435" s="47"/>
      <c r="D435" s="47"/>
      <c r="E435" s="47"/>
      <c r="F435" s="47"/>
      <c r="G435" s="47"/>
    </row>
    <row r="436" ht="15.75" customHeight="1">
      <c r="A436" s="47"/>
      <c r="B436" s="47"/>
      <c r="C436" s="47"/>
      <c r="D436" s="47"/>
      <c r="E436" s="47"/>
      <c r="F436" s="47"/>
      <c r="G436" s="47"/>
    </row>
    <row r="437" ht="15.75" customHeight="1">
      <c r="A437" s="47"/>
      <c r="B437" s="47"/>
      <c r="C437" s="47"/>
      <c r="D437" s="47"/>
      <c r="E437" s="47"/>
      <c r="F437" s="47"/>
      <c r="G437" s="47"/>
    </row>
    <row r="438" ht="15.75" customHeight="1">
      <c r="A438" s="47"/>
      <c r="B438" s="47"/>
      <c r="C438" s="47"/>
      <c r="D438" s="47"/>
      <c r="E438" s="47"/>
      <c r="F438" s="47"/>
      <c r="G438" s="47"/>
    </row>
    <row r="439" ht="15.75" customHeight="1">
      <c r="A439" s="47"/>
      <c r="B439" s="47"/>
      <c r="C439" s="47"/>
      <c r="D439" s="47"/>
      <c r="E439" s="47"/>
      <c r="F439" s="47"/>
      <c r="G439" s="47"/>
    </row>
    <row r="440" ht="15.75" customHeight="1">
      <c r="A440" s="47"/>
      <c r="B440" s="47"/>
      <c r="C440" s="47"/>
      <c r="D440" s="47"/>
      <c r="E440" s="47"/>
      <c r="F440" s="47"/>
      <c r="G440" s="47"/>
    </row>
    <row r="441" ht="15.75" customHeight="1">
      <c r="A441" s="47"/>
      <c r="B441" s="47"/>
      <c r="C441" s="47"/>
      <c r="D441" s="47"/>
      <c r="E441" s="47"/>
      <c r="F441" s="47"/>
      <c r="G441" s="47"/>
    </row>
    <row r="442" ht="15.75" customHeight="1">
      <c r="A442" s="47"/>
      <c r="B442" s="47"/>
      <c r="C442" s="47"/>
      <c r="D442" s="47"/>
      <c r="E442" s="47"/>
      <c r="F442" s="47"/>
      <c r="G442" s="47"/>
    </row>
    <row r="443" ht="15.75" customHeight="1">
      <c r="A443" s="47"/>
      <c r="B443" s="47"/>
      <c r="C443" s="47"/>
      <c r="D443" s="47"/>
      <c r="E443" s="47"/>
      <c r="F443" s="47"/>
      <c r="G443" s="47"/>
    </row>
    <row r="444" ht="15.75" customHeight="1">
      <c r="A444" s="47"/>
      <c r="B444" s="47"/>
      <c r="C444" s="47"/>
      <c r="D444" s="47"/>
      <c r="E444" s="47"/>
      <c r="F444" s="47"/>
      <c r="G444" s="47"/>
    </row>
    <row r="445" ht="15.75" customHeight="1">
      <c r="A445" s="47"/>
      <c r="B445" s="47"/>
      <c r="C445" s="47"/>
      <c r="D445" s="47"/>
      <c r="E445" s="47"/>
      <c r="F445" s="47"/>
      <c r="G445" s="47"/>
    </row>
    <row r="446" ht="15.75" customHeight="1">
      <c r="A446" s="47"/>
      <c r="B446" s="47"/>
      <c r="C446" s="47"/>
      <c r="D446" s="47"/>
      <c r="E446" s="47"/>
      <c r="F446" s="47"/>
      <c r="G446" s="47"/>
    </row>
    <row r="447" ht="15.75" customHeight="1">
      <c r="A447" s="47"/>
      <c r="B447" s="47"/>
      <c r="C447" s="47"/>
      <c r="D447" s="47"/>
      <c r="E447" s="47"/>
      <c r="F447" s="47"/>
      <c r="G447" s="47"/>
    </row>
    <row r="448" ht="15.75" customHeight="1">
      <c r="A448" s="47"/>
      <c r="B448" s="47"/>
      <c r="C448" s="47"/>
      <c r="D448" s="47"/>
      <c r="E448" s="47"/>
      <c r="F448" s="47"/>
      <c r="G448" s="47"/>
    </row>
    <row r="449" ht="15.75" customHeight="1">
      <c r="A449" s="47"/>
      <c r="B449" s="47"/>
      <c r="C449" s="47"/>
      <c r="D449" s="47"/>
      <c r="E449" s="47"/>
      <c r="F449" s="47"/>
      <c r="G449" s="47"/>
    </row>
    <row r="450" ht="15.75" customHeight="1">
      <c r="A450" s="47"/>
      <c r="B450" s="47"/>
      <c r="C450" s="47"/>
      <c r="D450" s="47"/>
      <c r="E450" s="47"/>
      <c r="F450" s="47"/>
      <c r="G450" s="47"/>
    </row>
    <row r="451" ht="15.75" customHeight="1">
      <c r="A451" s="47"/>
      <c r="B451" s="47"/>
      <c r="C451" s="47"/>
      <c r="D451" s="47"/>
      <c r="E451" s="47"/>
      <c r="F451" s="47"/>
      <c r="G451" s="47"/>
    </row>
    <row r="452" ht="15.75" customHeight="1">
      <c r="A452" s="47"/>
      <c r="B452" s="47"/>
      <c r="C452" s="47"/>
      <c r="D452" s="47"/>
      <c r="E452" s="47"/>
      <c r="F452" s="47"/>
      <c r="G452" s="47"/>
    </row>
    <row r="453" ht="15.75" customHeight="1">
      <c r="A453" s="47"/>
      <c r="B453" s="47"/>
      <c r="C453" s="47"/>
      <c r="D453" s="47"/>
      <c r="E453" s="47"/>
      <c r="F453" s="47"/>
      <c r="G453" s="47"/>
    </row>
    <row r="454" ht="15.75" customHeight="1">
      <c r="A454" s="47"/>
      <c r="B454" s="47"/>
      <c r="C454" s="47"/>
      <c r="D454" s="47"/>
      <c r="E454" s="47"/>
      <c r="F454" s="47"/>
      <c r="G454" s="47"/>
    </row>
    <row r="455" ht="15.75" customHeight="1">
      <c r="A455" s="47"/>
      <c r="B455" s="47"/>
      <c r="C455" s="47"/>
      <c r="D455" s="47"/>
      <c r="E455" s="47"/>
      <c r="F455" s="47"/>
      <c r="G455" s="47"/>
    </row>
    <row r="456" ht="15.75" customHeight="1">
      <c r="A456" s="47"/>
      <c r="B456" s="47"/>
      <c r="C456" s="47"/>
      <c r="D456" s="47"/>
      <c r="E456" s="47"/>
      <c r="F456" s="47"/>
      <c r="G456" s="47"/>
    </row>
    <row r="457" ht="15.75" customHeight="1">
      <c r="A457" s="47"/>
      <c r="B457" s="47"/>
      <c r="C457" s="47"/>
      <c r="D457" s="47"/>
      <c r="E457" s="47"/>
      <c r="F457" s="47"/>
      <c r="G457" s="47"/>
    </row>
    <row r="458" ht="15.75" customHeight="1">
      <c r="A458" s="47"/>
      <c r="B458" s="47"/>
      <c r="C458" s="47"/>
      <c r="D458" s="47"/>
      <c r="E458" s="47"/>
      <c r="F458" s="47"/>
      <c r="G458" s="47"/>
    </row>
    <row r="459" ht="15.75" customHeight="1">
      <c r="A459" s="47"/>
      <c r="B459" s="47"/>
      <c r="C459" s="47"/>
      <c r="D459" s="47"/>
      <c r="E459" s="47"/>
      <c r="F459" s="47"/>
      <c r="G459" s="47"/>
    </row>
    <row r="460" ht="15.75" customHeight="1">
      <c r="A460" s="47"/>
      <c r="B460" s="47"/>
      <c r="C460" s="47"/>
      <c r="D460" s="47"/>
      <c r="E460" s="47"/>
      <c r="F460" s="47"/>
      <c r="G460" s="47"/>
    </row>
    <row r="461" ht="15.75" customHeight="1">
      <c r="A461" s="47"/>
      <c r="B461" s="47"/>
      <c r="C461" s="47"/>
      <c r="D461" s="47"/>
      <c r="E461" s="47"/>
      <c r="F461" s="47"/>
      <c r="G461" s="47"/>
    </row>
    <row r="462" ht="15.75" customHeight="1">
      <c r="A462" s="47"/>
      <c r="B462" s="47"/>
      <c r="C462" s="47"/>
      <c r="D462" s="47"/>
      <c r="E462" s="47"/>
      <c r="F462" s="47"/>
      <c r="G462" s="47"/>
    </row>
    <row r="463" ht="15.75" customHeight="1">
      <c r="A463" s="47"/>
      <c r="B463" s="47"/>
      <c r="C463" s="47"/>
      <c r="D463" s="47"/>
      <c r="E463" s="47"/>
      <c r="F463" s="47"/>
      <c r="G463" s="47"/>
    </row>
    <row r="464" ht="15.75" customHeight="1">
      <c r="A464" s="47"/>
      <c r="B464" s="47"/>
      <c r="C464" s="47"/>
      <c r="D464" s="47"/>
      <c r="E464" s="47"/>
      <c r="F464" s="47"/>
      <c r="G464" s="47"/>
    </row>
    <row r="465" ht="15.75" customHeight="1">
      <c r="A465" s="47"/>
      <c r="B465" s="47"/>
      <c r="C465" s="47"/>
      <c r="D465" s="47"/>
      <c r="E465" s="47"/>
      <c r="F465" s="47"/>
      <c r="G465" s="47"/>
    </row>
    <row r="466" ht="15.75" customHeight="1">
      <c r="A466" s="47"/>
      <c r="B466" s="47"/>
      <c r="C466" s="47"/>
      <c r="D466" s="47"/>
      <c r="E466" s="47"/>
      <c r="F466" s="47"/>
      <c r="G466" s="47"/>
    </row>
    <row r="467" ht="15.75" customHeight="1">
      <c r="A467" s="47"/>
      <c r="B467" s="47"/>
      <c r="C467" s="47"/>
      <c r="D467" s="47"/>
      <c r="E467" s="47"/>
      <c r="F467" s="47"/>
      <c r="G467" s="47"/>
    </row>
    <row r="468" ht="15.75" customHeight="1">
      <c r="A468" s="47"/>
      <c r="B468" s="47"/>
      <c r="C468" s="47"/>
      <c r="D468" s="47"/>
      <c r="E468" s="47"/>
      <c r="F468" s="47"/>
      <c r="G468" s="47"/>
    </row>
    <row r="469" ht="15.75" customHeight="1">
      <c r="A469" s="47"/>
      <c r="B469" s="47"/>
      <c r="C469" s="47"/>
      <c r="D469" s="47"/>
      <c r="E469" s="47"/>
      <c r="F469" s="47"/>
      <c r="G469" s="47"/>
    </row>
    <row r="470" ht="15.75" customHeight="1">
      <c r="A470" s="47"/>
      <c r="B470" s="47"/>
      <c r="C470" s="47"/>
      <c r="D470" s="47"/>
      <c r="E470" s="47"/>
      <c r="F470" s="47"/>
      <c r="G470" s="47"/>
    </row>
    <row r="471" ht="15.75" customHeight="1">
      <c r="A471" s="47"/>
      <c r="B471" s="47"/>
      <c r="C471" s="47"/>
      <c r="D471" s="47"/>
      <c r="E471" s="47"/>
      <c r="F471" s="47"/>
      <c r="G471" s="47"/>
    </row>
    <row r="472" ht="15.75" customHeight="1">
      <c r="A472" s="47"/>
      <c r="B472" s="47"/>
      <c r="C472" s="47"/>
      <c r="D472" s="47"/>
      <c r="E472" s="47"/>
      <c r="F472" s="47"/>
      <c r="G472" s="47"/>
    </row>
    <row r="473" ht="15.75" customHeight="1">
      <c r="A473" s="47"/>
      <c r="B473" s="47"/>
      <c r="C473" s="47"/>
      <c r="D473" s="47"/>
      <c r="E473" s="47"/>
      <c r="F473" s="47"/>
      <c r="G473" s="47"/>
    </row>
    <row r="474" ht="15.75" customHeight="1">
      <c r="A474" s="47"/>
      <c r="B474" s="47"/>
      <c r="C474" s="47"/>
      <c r="D474" s="47"/>
      <c r="E474" s="47"/>
      <c r="F474" s="47"/>
      <c r="G474" s="47"/>
    </row>
    <row r="475" ht="15.75" customHeight="1">
      <c r="A475" s="47"/>
      <c r="B475" s="47"/>
      <c r="C475" s="47"/>
      <c r="D475" s="47"/>
      <c r="E475" s="47"/>
      <c r="F475" s="47"/>
      <c r="G475" s="47"/>
    </row>
    <row r="476" ht="15.75" customHeight="1">
      <c r="A476" s="47"/>
      <c r="B476" s="47"/>
      <c r="C476" s="47"/>
      <c r="D476" s="47"/>
      <c r="E476" s="47"/>
      <c r="F476" s="47"/>
      <c r="G476" s="47"/>
    </row>
    <row r="477" ht="15.75" customHeight="1">
      <c r="A477" s="47"/>
      <c r="B477" s="47"/>
      <c r="C477" s="47"/>
      <c r="D477" s="47"/>
      <c r="E477" s="47"/>
      <c r="F477" s="47"/>
      <c r="G477" s="47"/>
    </row>
    <row r="478" ht="15.75" customHeight="1">
      <c r="A478" s="47"/>
      <c r="B478" s="47"/>
      <c r="C478" s="47"/>
      <c r="D478" s="47"/>
      <c r="E478" s="47"/>
      <c r="F478" s="47"/>
      <c r="G478" s="47"/>
    </row>
    <row r="479" ht="15.75" customHeight="1">
      <c r="A479" s="47"/>
      <c r="B479" s="47"/>
      <c r="C479" s="47"/>
      <c r="D479" s="47"/>
      <c r="E479" s="47"/>
      <c r="F479" s="47"/>
      <c r="G479" s="47"/>
    </row>
    <row r="480" ht="15.75" customHeight="1">
      <c r="A480" s="47"/>
      <c r="B480" s="47"/>
      <c r="C480" s="47"/>
      <c r="D480" s="47"/>
      <c r="E480" s="47"/>
      <c r="F480" s="47"/>
      <c r="G480" s="47"/>
    </row>
    <row r="481" ht="15.75" customHeight="1">
      <c r="A481" s="47"/>
      <c r="B481" s="47"/>
      <c r="C481" s="47"/>
      <c r="D481" s="47"/>
      <c r="E481" s="47"/>
      <c r="F481" s="47"/>
      <c r="G481" s="47"/>
    </row>
    <row r="482" ht="15.75" customHeight="1">
      <c r="A482" s="47"/>
      <c r="B482" s="47"/>
      <c r="C482" s="47"/>
      <c r="D482" s="47"/>
      <c r="E482" s="47"/>
      <c r="F482" s="47"/>
      <c r="G482" s="47"/>
    </row>
    <row r="483" ht="15.75" customHeight="1">
      <c r="A483" s="47"/>
      <c r="B483" s="47"/>
      <c r="C483" s="47"/>
      <c r="D483" s="47"/>
      <c r="E483" s="47"/>
      <c r="F483" s="47"/>
      <c r="G483" s="47"/>
    </row>
    <row r="484" ht="15.75" customHeight="1">
      <c r="A484" s="47"/>
      <c r="B484" s="47"/>
      <c r="C484" s="47"/>
      <c r="D484" s="47"/>
      <c r="E484" s="47"/>
      <c r="F484" s="47"/>
      <c r="G484" s="47"/>
    </row>
    <row r="485" ht="15.75" customHeight="1">
      <c r="A485" s="47"/>
      <c r="B485" s="47"/>
      <c r="C485" s="47"/>
      <c r="D485" s="47"/>
      <c r="E485" s="47"/>
      <c r="F485" s="47"/>
      <c r="G485" s="47"/>
    </row>
    <row r="486" ht="15.75" customHeight="1">
      <c r="A486" s="47"/>
      <c r="B486" s="47"/>
      <c r="C486" s="47"/>
      <c r="D486" s="47"/>
      <c r="E486" s="47"/>
      <c r="F486" s="47"/>
      <c r="G486" s="47"/>
    </row>
    <row r="487" ht="15.75" customHeight="1">
      <c r="A487" s="47"/>
      <c r="B487" s="47"/>
      <c r="C487" s="47"/>
      <c r="D487" s="47"/>
      <c r="E487" s="47"/>
      <c r="F487" s="47"/>
      <c r="G487" s="47"/>
    </row>
    <row r="488" ht="15.75" customHeight="1">
      <c r="A488" s="47"/>
      <c r="B488" s="47"/>
      <c r="C488" s="47"/>
      <c r="D488" s="47"/>
      <c r="E488" s="47"/>
      <c r="F488" s="47"/>
      <c r="G488" s="47"/>
    </row>
    <row r="489" ht="15.75" customHeight="1">
      <c r="A489" s="47"/>
      <c r="B489" s="47"/>
      <c r="C489" s="47"/>
      <c r="D489" s="47"/>
      <c r="E489" s="47"/>
      <c r="F489" s="47"/>
      <c r="G489" s="47"/>
    </row>
    <row r="490" ht="15.75" customHeight="1">
      <c r="A490" s="47"/>
      <c r="B490" s="47"/>
      <c r="C490" s="47"/>
      <c r="D490" s="47"/>
      <c r="E490" s="47"/>
      <c r="F490" s="47"/>
      <c r="G490" s="47"/>
    </row>
    <row r="491" ht="15.75" customHeight="1">
      <c r="A491" s="47"/>
      <c r="B491" s="47"/>
      <c r="C491" s="47"/>
      <c r="D491" s="47"/>
      <c r="E491" s="47"/>
      <c r="F491" s="47"/>
      <c r="G491" s="47"/>
    </row>
    <row r="492" ht="15.75" customHeight="1">
      <c r="A492" s="47"/>
      <c r="B492" s="47"/>
      <c r="C492" s="47"/>
      <c r="D492" s="47"/>
      <c r="E492" s="47"/>
      <c r="F492" s="47"/>
      <c r="G492" s="47"/>
    </row>
    <row r="493" ht="15.75" customHeight="1">
      <c r="A493" s="47"/>
      <c r="B493" s="47"/>
      <c r="C493" s="47"/>
      <c r="D493" s="47"/>
      <c r="E493" s="47"/>
      <c r="F493" s="47"/>
      <c r="G493" s="47"/>
    </row>
    <row r="494" ht="15.75" customHeight="1">
      <c r="A494" s="47"/>
      <c r="B494" s="47"/>
      <c r="C494" s="47"/>
      <c r="D494" s="47"/>
      <c r="E494" s="47"/>
      <c r="F494" s="47"/>
      <c r="G494" s="47"/>
    </row>
    <row r="495" ht="15.75" customHeight="1">
      <c r="A495" s="47"/>
      <c r="B495" s="47"/>
      <c r="C495" s="47"/>
      <c r="D495" s="47"/>
      <c r="E495" s="47"/>
      <c r="F495" s="47"/>
      <c r="G495" s="47"/>
    </row>
    <row r="496" ht="15.75" customHeight="1">
      <c r="A496" s="47"/>
      <c r="B496" s="47"/>
      <c r="C496" s="47"/>
      <c r="D496" s="47"/>
      <c r="E496" s="47"/>
      <c r="F496" s="47"/>
      <c r="G496" s="47"/>
    </row>
    <row r="497" ht="15.75" customHeight="1">
      <c r="A497" s="47"/>
      <c r="B497" s="47"/>
      <c r="C497" s="47"/>
      <c r="D497" s="47"/>
      <c r="E497" s="47"/>
      <c r="F497" s="47"/>
      <c r="G497" s="47"/>
    </row>
    <row r="498" ht="15.75" customHeight="1">
      <c r="A498" s="47"/>
      <c r="B498" s="47"/>
      <c r="C498" s="47"/>
      <c r="D498" s="47"/>
      <c r="E498" s="47"/>
      <c r="F498" s="47"/>
      <c r="G498" s="47"/>
    </row>
    <row r="499" ht="15.75" customHeight="1">
      <c r="A499" s="47"/>
      <c r="B499" s="47"/>
      <c r="C499" s="47"/>
      <c r="D499" s="47"/>
      <c r="E499" s="47"/>
      <c r="F499" s="47"/>
      <c r="G499" s="47"/>
    </row>
    <row r="500" ht="15.75" customHeight="1">
      <c r="A500" s="47"/>
      <c r="B500" s="47"/>
      <c r="C500" s="47"/>
      <c r="D500" s="47"/>
      <c r="E500" s="47"/>
      <c r="F500" s="47"/>
      <c r="G500" s="47"/>
    </row>
    <row r="501" ht="15.75" customHeight="1">
      <c r="A501" s="47"/>
      <c r="B501" s="47"/>
      <c r="C501" s="47"/>
      <c r="D501" s="47"/>
      <c r="E501" s="47"/>
      <c r="F501" s="47"/>
      <c r="G501" s="47"/>
    </row>
    <row r="502" ht="15.75" customHeight="1">
      <c r="A502" s="47"/>
      <c r="B502" s="47"/>
      <c r="C502" s="47"/>
      <c r="D502" s="47"/>
      <c r="E502" s="47"/>
      <c r="F502" s="47"/>
      <c r="G502" s="47"/>
    </row>
    <row r="503" ht="15.75" customHeight="1">
      <c r="A503" s="47"/>
      <c r="B503" s="47"/>
      <c r="C503" s="47"/>
      <c r="D503" s="47"/>
      <c r="E503" s="47"/>
      <c r="F503" s="47"/>
      <c r="G503" s="47"/>
    </row>
    <row r="504" ht="15.75" customHeight="1">
      <c r="A504" s="47"/>
      <c r="B504" s="47"/>
      <c r="C504" s="47"/>
      <c r="D504" s="47"/>
      <c r="E504" s="47"/>
      <c r="F504" s="47"/>
      <c r="G504" s="47"/>
    </row>
    <row r="505" ht="15.75" customHeight="1">
      <c r="A505" s="47"/>
      <c r="B505" s="47"/>
      <c r="C505" s="47"/>
      <c r="D505" s="47"/>
      <c r="E505" s="47"/>
      <c r="F505" s="47"/>
      <c r="G505" s="47"/>
    </row>
    <row r="506" ht="15.75" customHeight="1">
      <c r="A506" s="47"/>
      <c r="B506" s="47"/>
      <c r="C506" s="47"/>
      <c r="D506" s="47"/>
      <c r="E506" s="47"/>
      <c r="F506" s="47"/>
      <c r="G506" s="47"/>
    </row>
    <row r="507" ht="15.75" customHeight="1">
      <c r="A507" s="47"/>
      <c r="B507" s="47"/>
      <c r="C507" s="47"/>
      <c r="D507" s="47"/>
      <c r="E507" s="47"/>
      <c r="F507" s="47"/>
      <c r="G507" s="47"/>
    </row>
    <row r="508" ht="15.75" customHeight="1">
      <c r="A508" s="47"/>
      <c r="B508" s="47"/>
      <c r="C508" s="47"/>
      <c r="D508" s="47"/>
      <c r="E508" s="47"/>
      <c r="F508" s="47"/>
      <c r="G508" s="47"/>
    </row>
    <row r="509" ht="15.75" customHeight="1">
      <c r="A509" s="47"/>
      <c r="B509" s="47"/>
      <c r="C509" s="47"/>
      <c r="D509" s="47"/>
      <c r="E509" s="47"/>
      <c r="F509" s="47"/>
      <c r="G509" s="47"/>
    </row>
    <row r="510" ht="15.75" customHeight="1">
      <c r="A510" s="47"/>
      <c r="B510" s="47"/>
      <c r="C510" s="47"/>
      <c r="D510" s="47"/>
      <c r="E510" s="47"/>
      <c r="F510" s="47"/>
      <c r="G510" s="47"/>
    </row>
    <row r="511" ht="15.75" customHeight="1">
      <c r="A511" s="47"/>
      <c r="B511" s="47"/>
      <c r="C511" s="47"/>
      <c r="D511" s="47"/>
      <c r="E511" s="47"/>
      <c r="F511" s="47"/>
      <c r="G511" s="47"/>
    </row>
    <row r="512" ht="15.75" customHeight="1">
      <c r="A512" s="47"/>
      <c r="B512" s="47"/>
      <c r="C512" s="47"/>
      <c r="D512" s="47"/>
      <c r="E512" s="47"/>
      <c r="F512" s="47"/>
      <c r="G512" s="47"/>
    </row>
    <row r="513" ht="15.75" customHeight="1">
      <c r="A513" s="47"/>
      <c r="B513" s="47"/>
      <c r="C513" s="47"/>
      <c r="D513" s="47"/>
      <c r="E513" s="47"/>
      <c r="F513" s="47"/>
      <c r="G513" s="47"/>
    </row>
    <row r="514" ht="15.75" customHeight="1">
      <c r="A514" s="47"/>
      <c r="B514" s="47"/>
      <c r="C514" s="47"/>
      <c r="D514" s="47"/>
      <c r="E514" s="47"/>
      <c r="F514" s="47"/>
      <c r="G514" s="47"/>
    </row>
    <row r="515" ht="15.75" customHeight="1">
      <c r="A515" s="47"/>
      <c r="B515" s="47"/>
      <c r="C515" s="47"/>
      <c r="D515" s="47"/>
      <c r="E515" s="47"/>
      <c r="F515" s="47"/>
      <c r="G515" s="47"/>
    </row>
    <row r="516" ht="15.75" customHeight="1">
      <c r="A516" s="47"/>
      <c r="B516" s="47"/>
      <c r="C516" s="47"/>
      <c r="D516" s="47"/>
      <c r="E516" s="47"/>
      <c r="F516" s="47"/>
      <c r="G516" s="47"/>
    </row>
    <row r="517" ht="15.75" customHeight="1">
      <c r="A517" s="47"/>
      <c r="B517" s="47"/>
      <c r="C517" s="47"/>
      <c r="D517" s="47"/>
      <c r="E517" s="47"/>
      <c r="F517" s="47"/>
      <c r="G517" s="47"/>
    </row>
    <row r="518" ht="15.75" customHeight="1">
      <c r="A518" s="47"/>
      <c r="B518" s="47"/>
      <c r="C518" s="47"/>
      <c r="D518" s="47"/>
      <c r="E518" s="47"/>
      <c r="F518" s="47"/>
      <c r="G518" s="47"/>
    </row>
    <row r="519" ht="15.75" customHeight="1">
      <c r="A519" s="47"/>
      <c r="B519" s="47"/>
      <c r="C519" s="47"/>
      <c r="D519" s="47"/>
      <c r="E519" s="47"/>
      <c r="F519" s="47"/>
      <c r="G519" s="47"/>
    </row>
    <row r="520" ht="15.75" customHeight="1">
      <c r="A520" s="47"/>
      <c r="B520" s="47"/>
      <c r="C520" s="47"/>
      <c r="D520" s="47"/>
      <c r="E520" s="47"/>
      <c r="F520" s="47"/>
      <c r="G520" s="47"/>
    </row>
    <row r="521" ht="15.75" customHeight="1">
      <c r="A521" s="47"/>
      <c r="B521" s="47"/>
      <c r="C521" s="47"/>
      <c r="D521" s="47"/>
      <c r="E521" s="47"/>
      <c r="F521" s="47"/>
      <c r="G521" s="47"/>
    </row>
    <row r="522" ht="15.75" customHeight="1">
      <c r="A522" s="47"/>
      <c r="B522" s="47"/>
      <c r="C522" s="47"/>
      <c r="D522" s="47"/>
      <c r="E522" s="47"/>
      <c r="F522" s="47"/>
      <c r="G522" s="47"/>
    </row>
    <row r="523" ht="15.75" customHeight="1">
      <c r="A523" s="47"/>
      <c r="B523" s="47"/>
      <c r="C523" s="47"/>
      <c r="D523" s="47"/>
      <c r="E523" s="47"/>
      <c r="F523" s="47"/>
      <c r="G523" s="47"/>
    </row>
    <row r="524" ht="15.75" customHeight="1">
      <c r="A524" s="47"/>
      <c r="B524" s="47"/>
      <c r="C524" s="47"/>
      <c r="D524" s="47"/>
      <c r="E524" s="47"/>
      <c r="F524" s="47"/>
      <c r="G524" s="47"/>
    </row>
    <row r="525" ht="15.75" customHeight="1">
      <c r="A525" s="47"/>
      <c r="B525" s="47"/>
      <c r="C525" s="47"/>
      <c r="D525" s="47"/>
      <c r="E525" s="47"/>
      <c r="F525" s="47"/>
      <c r="G525" s="47"/>
    </row>
    <row r="526" ht="15.75" customHeight="1">
      <c r="A526" s="47"/>
      <c r="B526" s="47"/>
      <c r="C526" s="47"/>
      <c r="D526" s="47"/>
      <c r="E526" s="47"/>
      <c r="F526" s="47"/>
      <c r="G526" s="47"/>
    </row>
    <row r="527" ht="15.75" customHeight="1">
      <c r="A527" s="47"/>
      <c r="B527" s="47"/>
      <c r="C527" s="47"/>
      <c r="D527" s="47"/>
      <c r="E527" s="47"/>
      <c r="F527" s="47"/>
      <c r="G527" s="47"/>
    </row>
    <row r="528" ht="15.75" customHeight="1">
      <c r="A528" s="47"/>
      <c r="B528" s="47"/>
      <c r="C528" s="47"/>
      <c r="D528" s="47"/>
      <c r="E528" s="47"/>
      <c r="F528" s="47"/>
      <c r="G528" s="47"/>
    </row>
    <row r="529" ht="15.75" customHeight="1">
      <c r="A529" s="47"/>
      <c r="B529" s="47"/>
      <c r="C529" s="47"/>
      <c r="D529" s="47"/>
      <c r="E529" s="47"/>
      <c r="F529" s="47"/>
      <c r="G529" s="47"/>
    </row>
    <row r="530" ht="15.75" customHeight="1">
      <c r="A530" s="47"/>
      <c r="B530" s="47"/>
      <c r="C530" s="47"/>
      <c r="D530" s="47"/>
      <c r="E530" s="47"/>
      <c r="F530" s="47"/>
      <c r="G530" s="47"/>
    </row>
    <row r="531" ht="15.75" customHeight="1">
      <c r="A531" s="47"/>
      <c r="B531" s="47"/>
      <c r="C531" s="47"/>
      <c r="D531" s="47"/>
      <c r="E531" s="47"/>
      <c r="F531" s="47"/>
      <c r="G531" s="47"/>
    </row>
    <row r="532" ht="15.75" customHeight="1">
      <c r="A532" s="47"/>
      <c r="B532" s="47"/>
      <c r="C532" s="47"/>
      <c r="D532" s="47"/>
      <c r="E532" s="47"/>
      <c r="F532" s="47"/>
      <c r="G532" s="47"/>
    </row>
    <row r="533" ht="15.75" customHeight="1">
      <c r="A533" s="47"/>
      <c r="B533" s="47"/>
      <c r="C533" s="47"/>
      <c r="D533" s="47"/>
      <c r="E533" s="47"/>
      <c r="F533" s="47"/>
      <c r="G533" s="47"/>
    </row>
    <row r="534" ht="15.75" customHeight="1">
      <c r="A534" s="47"/>
      <c r="B534" s="47"/>
      <c r="C534" s="47"/>
      <c r="D534" s="47"/>
      <c r="E534" s="47"/>
      <c r="F534" s="47"/>
      <c r="G534" s="47"/>
    </row>
    <row r="535" ht="15.75" customHeight="1">
      <c r="A535" s="47"/>
      <c r="B535" s="47"/>
      <c r="C535" s="47"/>
      <c r="D535" s="47"/>
      <c r="E535" s="47"/>
      <c r="F535" s="47"/>
      <c r="G535" s="47"/>
    </row>
    <row r="536" ht="15.75" customHeight="1">
      <c r="A536" s="47"/>
      <c r="B536" s="47"/>
      <c r="C536" s="47"/>
      <c r="D536" s="47"/>
      <c r="E536" s="47"/>
      <c r="F536" s="47"/>
      <c r="G536" s="47"/>
    </row>
    <row r="537" ht="15.75" customHeight="1">
      <c r="A537" s="47"/>
      <c r="B537" s="47"/>
      <c r="C537" s="47"/>
      <c r="D537" s="47"/>
      <c r="E537" s="47"/>
      <c r="F537" s="47"/>
      <c r="G537" s="47"/>
    </row>
    <row r="538" ht="15.75" customHeight="1">
      <c r="A538" s="47"/>
      <c r="B538" s="47"/>
      <c r="C538" s="47"/>
      <c r="D538" s="47"/>
      <c r="E538" s="47"/>
      <c r="F538" s="47"/>
      <c r="G538" s="47"/>
    </row>
    <row r="539" ht="15.75" customHeight="1">
      <c r="A539" s="47"/>
      <c r="B539" s="47"/>
      <c r="C539" s="47"/>
      <c r="D539" s="47"/>
      <c r="E539" s="47"/>
      <c r="F539" s="47"/>
      <c r="G539" s="47"/>
    </row>
    <row r="540" ht="15.75" customHeight="1">
      <c r="A540" s="47"/>
      <c r="B540" s="47"/>
      <c r="C540" s="47"/>
      <c r="D540" s="47"/>
      <c r="E540" s="47"/>
      <c r="F540" s="47"/>
      <c r="G540" s="47"/>
    </row>
    <row r="541" ht="15.75" customHeight="1">
      <c r="A541" s="47"/>
      <c r="B541" s="47"/>
      <c r="C541" s="47"/>
      <c r="D541" s="47"/>
      <c r="E541" s="47"/>
      <c r="F541" s="47"/>
      <c r="G541" s="47"/>
    </row>
    <row r="542" ht="15.75" customHeight="1">
      <c r="A542" s="47"/>
      <c r="B542" s="47"/>
      <c r="C542" s="47"/>
      <c r="D542" s="47"/>
      <c r="E542" s="47"/>
      <c r="F542" s="47"/>
      <c r="G542" s="47"/>
    </row>
    <row r="543" ht="15.75" customHeight="1">
      <c r="A543" s="47"/>
      <c r="B543" s="47"/>
      <c r="C543" s="47"/>
      <c r="D543" s="47"/>
      <c r="E543" s="47"/>
      <c r="F543" s="47"/>
      <c r="G543" s="47"/>
    </row>
    <row r="544" ht="15.75" customHeight="1">
      <c r="A544" s="47"/>
      <c r="B544" s="47"/>
      <c r="C544" s="47"/>
      <c r="D544" s="47"/>
      <c r="E544" s="47"/>
      <c r="F544" s="47"/>
      <c r="G544" s="47"/>
    </row>
    <row r="545" ht="15.75" customHeight="1">
      <c r="A545" s="47"/>
      <c r="B545" s="47"/>
      <c r="C545" s="47"/>
      <c r="D545" s="47"/>
      <c r="E545" s="47"/>
      <c r="F545" s="47"/>
      <c r="G545" s="47"/>
    </row>
    <row r="546" ht="15.75" customHeight="1">
      <c r="A546" s="47"/>
      <c r="B546" s="47"/>
      <c r="C546" s="47"/>
      <c r="D546" s="47"/>
      <c r="E546" s="47"/>
      <c r="F546" s="47"/>
      <c r="G546" s="47"/>
    </row>
    <row r="547" ht="15.75" customHeight="1">
      <c r="A547" s="47"/>
      <c r="B547" s="47"/>
      <c r="C547" s="47"/>
      <c r="D547" s="47"/>
      <c r="E547" s="47"/>
      <c r="F547" s="47"/>
      <c r="G547" s="47"/>
    </row>
    <row r="548" ht="15.75" customHeight="1">
      <c r="A548" s="47"/>
      <c r="B548" s="47"/>
      <c r="C548" s="47"/>
      <c r="D548" s="47"/>
      <c r="E548" s="47"/>
      <c r="F548" s="47"/>
      <c r="G548" s="47"/>
    </row>
    <row r="549" ht="15.75" customHeight="1">
      <c r="A549" s="47"/>
      <c r="B549" s="47"/>
      <c r="C549" s="47"/>
      <c r="D549" s="47"/>
      <c r="E549" s="47"/>
      <c r="F549" s="47"/>
      <c r="G549" s="47"/>
    </row>
    <row r="550" ht="15.75" customHeight="1">
      <c r="A550" s="47"/>
      <c r="B550" s="47"/>
      <c r="C550" s="47"/>
      <c r="D550" s="47"/>
      <c r="E550" s="47"/>
      <c r="F550" s="47"/>
      <c r="G550" s="47"/>
    </row>
    <row r="551" ht="15.75" customHeight="1">
      <c r="A551" s="47"/>
      <c r="B551" s="47"/>
      <c r="C551" s="47"/>
      <c r="D551" s="47"/>
      <c r="E551" s="47"/>
      <c r="F551" s="47"/>
      <c r="G551" s="47"/>
    </row>
    <row r="552" ht="15.75" customHeight="1">
      <c r="A552" s="47"/>
      <c r="B552" s="47"/>
      <c r="C552" s="47"/>
      <c r="D552" s="47"/>
      <c r="E552" s="47"/>
      <c r="F552" s="47"/>
      <c r="G552" s="47"/>
    </row>
    <row r="553" ht="15.75" customHeight="1">
      <c r="A553" s="47"/>
      <c r="B553" s="47"/>
      <c r="C553" s="47"/>
      <c r="D553" s="47"/>
      <c r="E553" s="47"/>
      <c r="F553" s="47"/>
      <c r="G553" s="47"/>
    </row>
    <row r="554" ht="15.75" customHeight="1">
      <c r="A554" s="47"/>
      <c r="B554" s="47"/>
      <c r="C554" s="47"/>
      <c r="D554" s="47"/>
      <c r="E554" s="47"/>
      <c r="F554" s="47"/>
      <c r="G554" s="47"/>
    </row>
    <row r="555" ht="15.75" customHeight="1">
      <c r="A555" s="47"/>
      <c r="B555" s="47"/>
      <c r="C555" s="47"/>
      <c r="D555" s="47"/>
      <c r="E555" s="47"/>
      <c r="F555" s="47"/>
      <c r="G555" s="47"/>
    </row>
    <row r="556" ht="15.75" customHeight="1">
      <c r="A556" s="47"/>
      <c r="B556" s="47"/>
      <c r="C556" s="47"/>
      <c r="D556" s="47"/>
      <c r="E556" s="47"/>
      <c r="F556" s="47"/>
      <c r="G556" s="47"/>
    </row>
    <row r="557" ht="15.75" customHeight="1">
      <c r="A557" s="47"/>
      <c r="B557" s="47"/>
      <c r="C557" s="47"/>
      <c r="D557" s="47"/>
      <c r="E557" s="47"/>
      <c r="F557" s="47"/>
      <c r="G557" s="47"/>
    </row>
    <row r="558" ht="15.75" customHeight="1">
      <c r="A558" s="47"/>
      <c r="B558" s="47"/>
      <c r="C558" s="47"/>
      <c r="D558" s="47"/>
      <c r="E558" s="47"/>
      <c r="F558" s="47"/>
      <c r="G558" s="47"/>
    </row>
    <row r="559" ht="15.75" customHeight="1">
      <c r="A559" s="47"/>
      <c r="B559" s="47"/>
      <c r="C559" s="47"/>
      <c r="D559" s="47"/>
      <c r="E559" s="47"/>
      <c r="F559" s="47"/>
      <c r="G559" s="47"/>
    </row>
    <row r="560" ht="15.75" customHeight="1">
      <c r="A560" s="47"/>
      <c r="B560" s="47"/>
      <c r="C560" s="47"/>
      <c r="D560" s="47"/>
      <c r="E560" s="47"/>
      <c r="F560" s="47"/>
      <c r="G560" s="47"/>
    </row>
    <row r="561" ht="15.75" customHeight="1">
      <c r="A561" s="47"/>
      <c r="B561" s="47"/>
      <c r="C561" s="47"/>
      <c r="D561" s="47"/>
      <c r="E561" s="47"/>
      <c r="F561" s="47"/>
      <c r="G561" s="47"/>
    </row>
    <row r="562" ht="15.75" customHeight="1">
      <c r="A562" s="47"/>
      <c r="B562" s="47"/>
      <c r="C562" s="47"/>
      <c r="D562" s="47"/>
      <c r="E562" s="47"/>
      <c r="F562" s="47"/>
      <c r="G562" s="47"/>
    </row>
    <row r="563" ht="15.75" customHeight="1">
      <c r="A563" s="47"/>
      <c r="B563" s="47"/>
      <c r="C563" s="47"/>
      <c r="D563" s="47"/>
      <c r="E563" s="47"/>
      <c r="F563" s="47"/>
      <c r="G563" s="47"/>
    </row>
    <row r="564" ht="15.75" customHeight="1">
      <c r="A564" s="47"/>
      <c r="B564" s="47"/>
      <c r="C564" s="47"/>
      <c r="D564" s="47"/>
      <c r="E564" s="47"/>
      <c r="F564" s="47"/>
      <c r="G564" s="47"/>
    </row>
    <row r="565" ht="15.75" customHeight="1">
      <c r="A565" s="47"/>
      <c r="B565" s="47"/>
      <c r="C565" s="47"/>
      <c r="D565" s="47"/>
      <c r="E565" s="47"/>
      <c r="F565" s="47"/>
      <c r="G565" s="47"/>
    </row>
    <row r="566" ht="15.75" customHeight="1">
      <c r="A566" s="47"/>
      <c r="B566" s="47"/>
      <c r="C566" s="47"/>
      <c r="D566" s="47"/>
      <c r="E566" s="47"/>
      <c r="F566" s="47"/>
      <c r="G566" s="47"/>
    </row>
    <row r="567" ht="15.75" customHeight="1">
      <c r="A567" s="47"/>
      <c r="B567" s="47"/>
      <c r="C567" s="47"/>
      <c r="D567" s="47"/>
      <c r="E567" s="47"/>
      <c r="F567" s="47"/>
      <c r="G567" s="47"/>
    </row>
    <row r="568" ht="15.75" customHeight="1">
      <c r="A568" s="47"/>
      <c r="B568" s="47"/>
      <c r="C568" s="47"/>
      <c r="D568" s="47"/>
      <c r="E568" s="47"/>
      <c r="F568" s="47"/>
      <c r="G568" s="47"/>
    </row>
    <row r="569" ht="15.75" customHeight="1">
      <c r="A569" s="47"/>
      <c r="B569" s="47"/>
      <c r="C569" s="47"/>
      <c r="D569" s="47"/>
      <c r="E569" s="47"/>
      <c r="F569" s="47"/>
      <c r="G569" s="47"/>
    </row>
    <row r="570" ht="15.75" customHeight="1">
      <c r="A570" s="47"/>
      <c r="B570" s="47"/>
      <c r="C570" s="47"/>
      <c r="D570" s="47"/>
      <c r="E570" s="47"/>
      <c r="F570" s="47"/>
      <c r="G570" s="47"/>
    </row>
    <row r="571" ht="15.75" customHeight="1">
      <c r="A571" s="47"/>
      <c r="B571" s="47"/>
      <c r="C571" s="47"/>
      <c r="D571" s="47"/>
      <c r="E571" s="47"/>
      <c r="F571" s="47"/>
      <c r="G571" s="47"/>
    </row>
    <row r="572" ht="15.75" customHeight="1">
      <c r="A572" s="47"/>
      <c r="B572" s="47"/>
      <c r="C572" s="47"/>
      <c r="D572" s="47"/>
      <c r="E572" s="47"/>
      <c r="F572" s="47"/>
      <c r="G572" s="47"/>
    </row>
    <row r="573" ht="15.75" customHeight="1">
      <c r="A573" s="47"/>
      <c r="B573" s="47"/>
      <c r="C573" s="47"/>
      <c r="D573" s="47"/>
      <c r="E573" s="47"/>
      <c r="F573" s="47"/>
      <c r="G573" s="47"/>
    </row>
    <row r="574" ht="15.75" customHeight="1">
      <c r="A574" s="47"/>
      <c r="B574" s="47"/>
      <c r="C574" s="47"/>
      <c r="D574" s="47"/>
      <c r="E574" s="47"/>
      <c r="F574" s="47"/>
      <c r="G574" s="47"/>
    </row>
    <row r="575" ht="15.75" customHeight="1">
      <c r="A575" s="47"/>
      <c r="B575" s="47"/>
      <c r="C575" s="47"/>
      <c r="D575" s="47"/>
      <c r="E575" s="47"/>
      <c r="F575" s="47"/>
      <c r="G575" s="47"/>
    </row>
    <row r="576" ht="15.75" customHeight="1">
      <c r="A576" s="47"/>
      <c r="B576" s="47"/>
      <c r="C576" s="47"/>
      <c r="D576" s="47"/>
      <c r="E576" s="47"/>
      <c r="F576" s="47"/>
      <c r="G576" s="47"/>
    </row>
    <row r="577" ht="15.75" customHeight="1">
      <c r="A577" s="47"/>
      <c r="B577" s="47"/>
      <c r="C577" s="47"/>
      <c r="D577" s="47"/>
      <c r="E577" s="47"/>
      <c r="F577" s="47"/>
      <c r="G577" s="47"/>
    </row>
    <row r="578" ht="15.75" customHeight="1">
      <c r="A578" s="47"/>
      <c r="B578" s="47"/>
      <c r="C578" s="47"/>
      <c r="D578" s="47"/>
      <c r="E578" s="47"/>
      <c r="F578" s="47"/>
      <c r="G578" s="47"/>
    </row>
    <row r="579" ht="15.75" customHeight="1">
      <c r="A579" s="47"/>
      <c r="B579" s="47"/>
      <c r="C579" s="47"/>
      <c r="D579" s="47"/>
      <c r="E579" s="47"/>
      <c r="F579" s="47"/>
      <c r="G579" s="47"/>
    </row>
    <row r="580" ht="15.75" customHeight="1">
      <c r="A580" s="47"/>
      <c r="B580" s="47"/>
      <c r="C580" s="47"/>
      <c r="D580" s="47"/>
      <c r="E580" s="47"/>
      <c r="F580" s="47"/>
      <c r="G580" s="47"/>
    </row>
    <row r="581" ht="15.75" customHeight="1">
      <c r="A581" s="47"/>
      <c r="B581" s="47"/>
      <c r="C581" s="47"/>
      <c r="D581" s="47"/>
      <c r="E581" s="47"/>
      <c r="F581" s="47"/>
      <c r="G581" s="47"/>
    </row>
    <row r="582" ht="15.75" customHeight="1">
      <c r="A582" s="47"/>
      <c r="B582" s="47"/>
      <c r="C582" s="47"/>
      <c r="D582" s="47"/>
      <c r="E582" s="47"/>
      <c r="F582" s="47"/>
      <c r="G582" s="47"/>
    </row>
    <row r="583" ht="15.75" customHeight="1">
      <c r="A583" s="47"/>
      <c r="B583" s="47"/>
      <c r="C583" s="47"/>
      <c r="D583" s="47"/>
      <c r="E583" s="47"/>
      <c r="F583" s="47"/>
      <c r="G583" s="47"/>
    </row>
    <row r="584" ht="15.75" customHeight="1">
      <c r="A584" s="47"/>
      <c r="B584" s="47"/>
      <c r="C584" s="47"/>
      <c r="D584" s="47"/>
      <c r="E584" s="47"/>
      <c r="F584" s="47"/>
      <c r="G584" s="47"/>
    </row>
    <row r="585" ht="15.75" customHeight="1">
      <c r="A585" s="47"/>
      <c r="B585" s="47"/>
      <c r="C585" s="47"/>
      <c r="D585" s="47"/>
      <c r="E585" s="47"/>
      <c r="F585" s="47"/>
      <c r="G585" s="47"/>
    </row>
    <row r="586" ht="15.75" customHeight="1">
      <c r="A586" s="47"/>
      <c r="B586" s="47"/>
      <c r="C586" s="47"/>
      <c r="D586" s="47"/>
      <c r="E586" s="47"/>
      <c r="F586" s="47"/>
      <c r="G586" s="47"/>
    </row>
    <row r="587" ht="15.75" customHeight="1">
      <c r="A587" s="47"/>
      <c r="B587" s="47"/>
      <c r="C587" s="47"/>
      <c r="D587" s="47"/>
      <c r="E587" s="47"/>
      <c r="F587" s="47"/>
      <c r="G587" s="47"/>
    </row>
    <row r="588" ht="15.75" customHeight="1">
      <c r="A588" s="47"/>
      <c r="B588" s="47"/>
      <c r="C588" s="47"/>
      <c r="D588" s="47"/>
      <c r="E588" s="47"/>
      <c r="F588" s="47"/>
      <c r="G588" s="47"/>
    </row>
    <row r="589" ht="15.75" customHeight="1">
      <c r="A589" s="47"/>
      <c r="B589" s="47"/>
      <c r="C589" s="47"/>
      <c r="D589" s="47"/>
      <c r="E589" s="47"/>
      <c r="F589" s="47"/>
      <c r="G589" s="47"/>
    </row>
    <row r="590" ht="15.75" customHeight="1">
      <c r="A590" s="47"/>
      <c r="B590" s="47"/>
      <c r="C590" s="47"/>
      <c r="D590" s="47"/>
      <c r="E590" s="47"/>
      <c r="F590" s="47"/>
      <c r="G590" s="47"/>
    </row>
    <row r="591" ht="15.75" customHeight="1">
      <c r="A591" s="47"/>
      <c r="B591" s="47"/>
      <c r="C591" s="47"/>
      <c r="D591" s="47"/>
      <c r="E591" s="47"/>
      <c r="F591" s="47"/>
      <c r="G591" s="47"/>
    </row>
    <row r="592" ht="15.75" customHeight="1">
      <c r="A592" s="47"/>
      <c r="B592" s="47"/>
      <c r="C592" s="47"/>
      <c r="D592" s="47"/>
      <c r="E592" s="47"/>
      <c r="F592" s="47"/>
      <c r="G592" s="47"/>
    </row>
    <row r="593" ht="15.75" customHeight="1">
      <c r="A593" s="47"/>
      <c r="B593" s="47"/>
      <c r="C593" s="47"/>
      <c r="D593" s="47"/>
      <c r="E593" s="47"/>
      <c r="F593" s="47"/>
      <c r="G593" s="47"/>
    </row>
    <row r="594" ht="15.75" customHeight="1">
      <c r="A594" s="47"/>
      <c r="B594" s="47"/>
      <c r="C594" s="47"/>
      <c r="D594" s="47"/>
      <c r="E594" s="47"/>
      <c r="F594" s="47"/>
      <c r="G594" s="47"/>
    </row>
    <row r="595" ht="15.75" customHeight="1">
      <c r="A595" s="47"/>
      <c r="B595" s="47"/>
      <c r="C595" s="47"/>
      <c r="D595" s="47"/>
      <c r="E595" s="47"/>
      <c r="F595" s="47"/>
      <c r="G595" s="47"/>
    </row>
    <row r="596" ht="15.75" customHeight="1">
      <c r="A596" s="47"/>
      <c r="B596" s="47"/>
      <c r="C596" s="47"/>
      <c r="D596" s="47"/>
      <c r="E596" s="47"/>
      <c r="F596" s="47"/>
      <c r="G596" s="47"/>
    </row>
    <row r="597" ht="15.75" customHeight="1">
      <c r="A597" s="47"/>
      <c r="B597" s="47"/>
      <c r="C597" s="47"/>
      <c r="D597" s="47"/>
      <c r="E597" s="47"/>
      <c r="F597" s="47"/>
      <c r="G597" s="47"/>
    </row>
    <row r="598" ht="15.75" customHeight="1">
      <c r="A598" s="47"/>
      <c r="B598" s="47"/>
      <c r="C598" s="47"/>
      <c r="D598" s="47"/>
      <c r="E598" s="47"/>
      <c r="F598" s="47"/>
      <c r="G598" s="47"/>
    </row>
    <row r="599" ht="15.75" customHeight="1">
      <c r="A599" s="47"/>
      <c r="B599" s="47"/>
      <c r="C599" s="47"/>
      <c r="D599" s="47"/>
      <c r="E599" s="47"/>
      <c r="F599" s="47"/>
      <c r="G599" s="47"/>
    </row>
    <row r="600" ht="15.75" customHeight="1">
      <c r="A600" s="47"/>
      <c r="B600" s="47"/>
      <c r="C600" s="47"/>
      <c r="D600" s="47"/>
      <c r="E600" s="47"/>
      <c r="F600" s="47"/>
      <c r="G600" s="47"/>
    </row>
    <row r="601" ht="15.75" customHeight="1">
      <c r="A601" s="47"/>
      <c r="B601" s="47"/>
      <c r="C601" s="47"/>
      <c r="D601" s="47"/>
      <c r="E601" s="47"/>
      <c r="F601" s="47"/>
      <c r="G601" s="47"/>
    </row>
    <row r="602" ht="15.75" customHeight="1">
      <c r="A602" s="47"/>
      <c r="B602" s="47"/>
      <c r="C602" s="47"/>
      <c r="D602" s="47"/>
      <c r="E602" s="47"/>
      <c r="F602" s="47"/>
      <c r="G602" s="47"/>
    </row>
    <row r="603" ht="15.75" customHeight="1">
      <c r="A603" s="47"/>
      <c r="B603" s="47"/>
      <c r="C603" s="47"/>
      <c r="D603" s="47"/>
      <c r="E603" s="47"/>
      <c r="F603" s="47"/>
      <c r="G603" s="47"/>
    </row>
    <row r="604" ht="15.75" customHeight="1">
      <c r="A604" s="47"/>
      <c r="B604" s="47"/>
      <c r="C604" s="47"/>
      <c r="D604" s="47"/>
      <c r="E604" s="47"/>
      <c r="F604" s="47"/>
      <c r="G604" s="47"/>
    </row>
    <row r="605" ht="15.75" customHeight="1">
      <c r="A605" s="47"/>
      <c r="B605" s="47"/>
      <c r="C605" s="47"/>
      <c r="D605" s="47"/>
      <c r="E605" s="47"/>
      <c r="F605" s="47"/>
      <c r="G605" s="47"/>
    </row>
    <row r="606" ht="15.75" customHeight="1">
      <c r="A606" s="47"/>
      <c r="B606" s="47"/>
      <c r="C606" s="47"/>
      <c r="D606" s="47"/>
      <c r="E606" s="47"/>
      <c r="F606" s="47"/>
      <c r="G606" s="47"/>
    </row>
    <row r="607" ht="15.75" customHeight="1">
      <c r="A607" s="47"/>
      <c r="B607" s="47"/>
      <c r="C607" s="47"/>
      <c r="D607" s="47"/>
      <c r="E607" s="47"/>
      <c r="F607" s="47"/>
      <c r="G607" s="47"/>
    </row>
    <row r="608" ht="15.75" customHeight="1">
      <c r="A608" s="47"/>
      <c r="B608" s="47"/>
      <c r="C608" s="47"/>
      <c r="D608" s="47"/>
      <c r="E608" s="47"/>
      <c r="F608" s="47"/>
      <c r="G608" s="47"/>
    </row>
    <row r="609" ht="15.75" customHeight="1">
      <c r="A609" s="47"/>
      <c r="B609" s="47"/>
      <c r="C609" s="47"/>
      <c r="D609" s="47"/>
      <c r="E609" s="47"/>
      <c r="F609" s="47"/>
      <c r="G609" s="47"/>
    </row>
    <row r="610" ht="15.75" customHeight="1">
      <c r="A610" s="47"/>
      <c r="B610" s="47"/>
      <c r="C610" s="47"/>
      <c r="D610" s="47"/>
      <c r="E610" s="47"/>
      <c r="F610" s="47"/>
      <c r="G610" s="47"/>
    </row>
    <row r="611" ht="15.75" customHeight="1">
      <c r="A611" s="47"/>
      <c r="B611" s="47"/>
      <c r="C611" s="47"/>
      <c r="D611" s="47"/>
      <c r="E611" s="47"/>
      <c r="F611" s="47"/>
      <c r="G611" s="47"/>
    </row>
    <row r="612" ht="15.75" customHeight="1">
      <c r="A612" s="47"/>
      <c r="B612" s="47"/>
      <c r="C612" s="47"/>
      <c r="D612" s="47"/>
      <c r="E612" s="47"/>
      <c r="F612" s="47"/>
      <c r="G612" s="47"/>
    </row>
    <row r="613" ht="15.75" customHeight="1">
      <c r="A613" s="47"/>
      <c r="B613" s="47"/>
      <c r="C613" s="47"/>
      <c r="D613" s="47"/>
      <c r="E613" s="47"/>
      <c r="F613" s="47"/>
      <c r="G613" s="47"/>
    </row>
    <row r="614" ht="15.75" customHeight="1">
      <c r="A614" s="47"/>
      <c r="B614" s="47"/>
      <c r="C614" s="47"/>
      <c r="D614" s="47"/>
      <c r="E614" s="47"/>
      <c r="F614" s="47"/>
      <c r="G614" s="47"/>
    </row>
    <row r="615" ht="15.75" customHeight="1">
      <c r="A615" s="47"/>
      <c r="B615" s="47"/>
      <c r="C615" s="47"/>
      <c r="D615" s="47"/>
      <c r="E615" s="47"/>
      <c r="F615" s="47"/>
      <c r="G615" s="47"/>
    </row>
    <row r="616" ht="15.75" customHeight="1">
      <c r="A616" s="47"/>
      <c r="B616" s="47"/>
      <c r="C616" s="47"/>
      <c r="D616" s="47"/>
      <c r="E616" s="47"/>
      <c r="F616" s="47"/>
      <c r="G616" s="47"/>
    </row>
    <row r="617" ht="15.75" customHeight="1">
      <c r="A617" s="47"/>
      <c r="B617" s="47"/>
      <c r="C617" s="47"/>
      <c r="D617" s="47"/>
      <c r="E617" s="47"/>
      <c r="F617" s="47"/>
      <c r="G617" s="47"/>
    </row>
    <row r="618" ht="15.75" customHeight="1">
      <c r="A618" s="47"/>
      <c r="B618" s="47"/>
      <c r="C618" s="47"/>
      <c r="D618" s="47"/>
      <c r="E618" s="47"/>
      <c r="F618" s="47"/>
      <c r="G618" s="47"/>
    </row>
    <row r="619" ht="15.75" customHeight="1">
      <c r="A619" s="47"/>
      <c r="B619" s="47"/>
      <c r="C619" s="47"/>
      <c r="D619" s="47"/>
      <c r="E619" s="47"/>
      <c r="F619" s="47"/>
      <c r="G619" s="47"/>
    </row>
    <row r="620" ht="15.75" customHeight="1">
      <c r="A620" s="47"/>
      <c r="B620" s="47"/>
      <c r="C620" s="47"/>
      <c r="D620" s="47"/>
      <c r="E620" s="47"/>
      <c r="F620" s="47"/>
      <c r="G620" s="47"/>
    </row>
    <row r="621" ht="15.75" customHeight="1">
      <c r="A621" s="47"/>
      <c r="B621" s="47"/>
      <c r="C621" s="47"/>
      <c r="D621" s="47"/>
      <c r="E621" s="47"/>
      <c r="F621" s="47"/>
      <c r="G621" s="47"/>
    </row>
    <row r="622" ht="15.75" customHeight="1">
      <c r="A622" s="47"/>
      <c r="B622" s="47"/>
      <c r="C622" s="47"/>
      <c r="D622" s="47"/>
      <c r="E622" s="47"/>
      <c r="F622" s="47"/>
      <c r="G622" s="47"/>
    </row>
    <row r="623" ht="15.75" customHeight="1">
      <c r="A623" s="47"/>
      <c r="B623" s="47"/>
      <c r="C623" s="47"/>
      <c r="D623" s="47"/>
      <c r="E623" s="47"/>
      <c r="F623" s="47"/>
      <c r="G623" s="47"/>
    </row>
    <row r="624" ht="15.75" customHeight="1">
      <c r="A624" s="47"/>
      <c r="B624" s="47"/>
      <c r="C624" s="47"/>
      <c r="D624" s="47"/>
      <c r="E624" s="47"/>
      <c r="F624" s="47"/>
      <c r="G624" s="47"/>
    </row>
    <row r="625" ht="15.75" customHeight="1">
      <c r="A625" s="47"/>
      <c r="B625" s="47"/>
      <c r="C625" s="47"/>
      <c r="D625" s="47"/>
      <c r="E625" s="47"/>
      <c r="F625" s="47"/>
      <c r="G625" s="47"/>
    </row>
    <row r="626" ht="15.75" customHeight="1">
      <c r="A626" s="47"/>
      <c r="B626" s="47"/>
      <c r="C626" s="47"/>
      <c r="D626" s="47"/>
      <c r="E626" s="47"/>
      <c r="F626" s="47"/>
      <c r="G626" s="47"/>
    </row>
    <row r="627" ht="15.75" customHeight="1">
      <c r="A627" s="47"/>
      <c r="B627" s="47"/>
      <c r="C627" s="47"/>
      <c r="D627" s="47"/>
      <c r="E627" s="47"/>
      <c r="F627" s="47"/>
      <c r="G627" s="47"/>
    </row>
    <row r="628" ht="15.75" customHeight="1">
      <c r="A628" s="47"/>
      <c r="B628" s="47"/>
      <c r="C628" s="47"/>
      <c r="D628" s="47"/>
      <c r="E628" s="47"/>
      <c r="F628" s="47"/>
      <c r="G628" s="47"/>
    </row>
    <row r="629" ht="15.75" customHeight="1">
      <c r="A629" s="47"/>
      <c r="B629" s="47"/>
      <c r="C629" s="47"/>
      <c r="D629" s="47"/>
      <c r="E629" s="47"/>
      <c r="F629" s="47"/>
      <c r="G629" s="47"/>
    </row>
    <row r="630" ht="15.75" customHeight="1">
      <c r="A630" s="47"/>
      <c r="B630" s="47"/>
      <c r="C630" s="47"/>
      <c r="D630" s="47"/>
      <c r="E630" s="47"/>
      <c r="F630" s="47"/>
      <c r="G630" s="47"/>
    </row>
    <row r="631" ht="15.75" customHeight="1">
      <c r="A631" s="47"/>
      <c r="B631" s="47"/>
      <c r="C631" s="47"/>
      <c r="D631" s="47"/>
      <c r="E631" s="47"/>
      <c r="F631" s="47"/>
      <c r="G631" s="47"/>
    </row>
    <row r="632" ht="15.75" customHeight="1">
      <c r="A632" s="47"/>
      <c r="B632" s="47"/>
      <c r="C632" s="47"/>
      <c r="D632" s="47"/>
      <c r="E632" s="47"/>
      <c r="F632" s="47"/>
      <c r="G632" s="47"/>
    </row>
    <row r="633" ht="15.75" customHeight="1">
      <c r="A633" s="47"/>
      <c r="B633" s="47"/>
      <c r="C633" s="47"/>
      <c r="D633" s="47"/>
      <c r="E633" s="47"/>
      <c r="F633" s="47"/>
      <c r="G633" s="47"/>
    </row>
    <row r="634" ht="15.75" customHeight="1">
      <c r="A634" s="47"/>
      <c r="B634" s="47"/>
      <c r="C634" s="47"/>
      <c r="D634" s="47"/>
      <c r="E634" s="47"/>
      <c r="F634" s="47"/>
      <c r="G634" s="47"/>
    </row>
    <row r="635" ht="15.75" customHeight="1">
      <c r="A635" s="47"/>
      <c r="B635" s="47"/>
      <c r="C635" s="47"/>
      <c r="D635" s="47"/>
      <c r="E635" s="47"/>
      <c r="F635" s="47"/>
      <c r="G635" s="47"/>
    </row>
    <row r="636" ht="15.75" customHeight="1">
      <c r="A636" s="47"/>
      <c r="B636" s="47"/>
      <c r="C636" s="47"/>
      <c r="D636" s="47"/>
      <c r="E636" s="47"/>
      <c r="F636" s="47"/>
      <c r="G636" s="47"/>
    </row>
    <row r="637" ht="15.75" customHeight="1">
      <c r="A637" s="47"/>
      <c r="B637" s="47"/>
      <c r="C637" s="47"/>
      <c r="D637" s="47"/>
      <c r="E637" s="47"/>
      <c r="F637" s="47"/>
      <c r="G637" s="47"/>
    </row>
    <row r="638" ht="15.75" customHeight="1">
      <c r="A638" s="47"/>
      <c r="B638" s="47"/>
      <c r="C638" s="47"/>
      <c r="D638" s="47"/>
      <c r="E638" s="47"/>
      <c r="F638" s="47"/>
      <c r="G638" s="47"/>
    </row>
    <row r="639" ht="15.75" customHeight="1">
      <c r="A639" s="47"/>
      <c r="B639" s="47"/>
      <c r="C639" s="47"/>
      <c r="D639" s="47"/>
      <c r="E639" s="47"/>
      <c r="F639" s="47"/>
      <c r="G639" s="47"/>
    </row>
    <row r="640" ht="15.75" customHeight="1">
      <c r="A640" s="47"/>
      <c r="B640" s="47"/>
      <c r="C640" s="47"/>
      <c r="D640" s="47"/>
      <c r="E640" s="47"/>
      <c r="F640" s="47"/>
      <c r="G640" s="47"/>
    </row>
    <row r="641" ht="15.75" customHeight="1">
      <c r="A641" s="47"/>
      <c r="B641" s="47"/>
      <c r="C641" s="47"/>
      <c r="D641" s="47"/>
      <c r="E641" s="47"/>
      <c r="F641" s="47"/>
      <c r="G641" s="47"/>
    </row>
    <row r="642" ht="15.75" customHeight="1">
      <c r="A642" s="47"/>
      <c r="B642" s="47"/>
      <c r="C642" s="47"/>
      <c r="D642" s="47"/>
      <c r="E642" s="47"/>
      <c r="F642" s="47"/>
      <c r="G642" s="47"/>
    </row>
    <row r="643" ht="15.75" customHeight="1">
      <c r="A643" s="47"/>
      <c r="B643" s="47"/>
      <c r="C643" s="47"/>
      <c r="D643" s="47"/>
      <c r="E643" s="47"/>
      <c r="F643" s="47"/>
      <c r="G643" s="47"/>
    </row>
    <row r="644" ht="15.75" customHeight="1">
      <c r="A644" s="47"/>
      <c r="B644" s="47"/>
      <c r="C644" s="47"/>
      <c r="D644" s="47"/>
      <c r="E644" s="47"/>
      <c r="F644" s="47"/>
      <c r="G644" s="47"/>
    </row>
    <row r="645" ht="15.75" customHeight="1">
      <c r="A645" s="47"/>
      <c r="B645" s="47"/>
      <c r="C645" s="47"/>
      <c r="D645" s="47"/>
      <c r="E645" s="47"/>
      <c r="F645" s="47"/>
      <c r="G645" s="47"/>
    </row>
    <row r="646" ht="15.75" customHeight="1">
      <c r="A646" s="47"/>
      <c r="B646" s="47"/>
      <c r="C646" s="47"/>
      <c r="D646" s="47"/>
      <c r="E646" s="47"/>
      <c r="F646" s="47"/>
      <c r="G646" s="47"/>
    </row>
    <row r="647" ht="15.75" customHeight="1">
      <c r="A647" s="47"/>
      <c r="B647" s="47"/>
      <c r="C647" s="47"/>
      <c r="D647" s="47"/>
      <c r="E647" s="47"/>
      <c r="F647" s="47"/>
      <c r="G647" s="47"/>
    </row>
    <row r="648" ht="15.75" customHeight="1">
      <c r="A648" s="47"/>
      <c r="B648" s="47"/>
      <c r="C648" s="47"/>
      <c r="D648" s="47"/>
      <c r="E648" s="47"/>
      <c r="F648" s="47"/>
      <c r="G648" s="47"/>
    </row>
    <row r="649" ht="15.75" customHeight="1">
      <c r="A649" s="47"/>
      <c r="B649" s="47"/>
      <c r="C649" s="47"/>
      <c r="D649" s="47"/>
      <c r="E649" s="47"/>
      <c r="F649" s="47"/>
      <c r="G649" s="47"/>
    </row>
    <row r="650" ht="15.75" customHeight="1">
      <c r="A650" s="47"/>
      <c r="B650" s="47"/>
      <c r="C650" s="47"/>
      <c r="D650" s="47"/>
      <c r="E650" s="47"/>
      <c r="F650" s="47"/>
      <c r="G650" s="47"/>
    </row>
    <row r="651" ht="15.75" customHeight="1">
      <c r="A651" s="47"/>
      <c r="B651" s="47"/>
      <c r="C651" s="47"/>
      <c r="D651" s="47"/>
      <c r="E651" s="47"/>
      <c r="F651" s="47"/>
      <c r="G651" s="47"/>
    </row>
    <row r="652" ht="15.75" customHeight="1">
      <c r="A652" s="47"/>
      <c r="B652" s="47"/>
      <c r="C652" s="47"/>
      <c r="D652" s="47"/>
      <c r="E652" s="47"/>
      <c r="F652" s="47"/>
      <c r="G652" s="47"/>
    </row>
    <row r="653" ht="15.75" customHeight="1">
      <c r="A653" s="47"/>
      <c r="B653" s="47"/>
      <c r="C653" s="47"/>
      <c r="D653" s="47"/>
      <c r="E653" s="47"/>
      <c r="F653" s="47"/>
      <c r="G653" s="47"/>
    </row>
    <row r="654" ht="15.75" customHeight="1">
      <c r="A654" s="47"/>
      <c r="B654" s="47"/>
      <c r="C654" s="47"/>
      <c r="D654" s="47"/>
      <c r="E654" s="47"/>
      <c r="F654" s="47"/>
      <c r="G654" s="47"/>
    </row>
    <row r="655" ht="15.75" customHeight="1">
      <c r="A655" s="47"/>
      <c r="B655" s="47"/>
      <c r="C655" s="47"/>
      <c r="D655" s="47"/>
      <c r="E655" s="47"/>
      <c r="F655" s="47"/>
      <c r="G655" s="47"/>
    </row>
    <row r="656" ht="15.75" customHeight="1">
      <c r="A656" s="47"/>
      <c r="B656" s="47"/>
      <c r="C656" s="47"/>
      <c r="D656" s="47"/>
      <c r="E656" s="47"/>
      <c r="F656" s="47"/>
      <c r="G656" s="47"/>
    </row>
    <row r="657" ht="15.75" customHeight="1">
      <c r="A657" s="47"/>
      <c r="B657" s="47"/>
      <c r="C657" s="47"/>
      <c r="D657" s="47"/>
      <c r="E657" s="47"/>
      <c r="F657" s="47"/>
      <c r="G657" s="47"/>
    </row>
    <row r="658" ht="15.75" customHeight="1">
      <c r="A658" s="47"/>
      <c r="B658" s="47"/>
      <c r="C658" s="47"/>
      <c r="D658" s="47"/>
      <c r="E658" s="47"/>
      <c r="F658" s="47"/>
      <c r="G658" s="47"/>
    </row>
    <row r="659" ht="15.75" customHeight="1">
      <c r="A659" s="47"/>
      <c r="B659" s="47"/>
      <c r="C659" s="47"/>
      <c r="D659" s="47"/>
      <c r="E659" s="47"/>
      <c r="F659" s="47"/>
      <c r="G659" s="47"/>
    </row>
    <row r="660" ht="15.75" customHeight="1">
      <c r="A660" s="47"/>
      <c r="B660" s="47"/>
      <c r="C660" s="47"/>
      <c r="D660" s="47"/>
      <c r="E660" s="47"/>
      <c r="F660" s="47"/>
      <c r="G660" s="47"/>
    </row>
    <row r="661" ht="15.75" customHeight="1">
      <c r="A661" s="47"/>
      <c r="B661" s="47"/>
      <c r="C661" s="47"/>
      <c r="D661" s="47"/>
      <c r="E661" s="47"/>
      <c r="F661" s="47"/>
      <c r="G661" s="47"/>
    </row>
    <row r="662" ht="15.75" customHeight="1">
      <c r="A662" s="47"/>
      <c r="B662" s="47"/>
      <c r="C662" s="47"/>
      <c r="D662" s="47"/>
      <c r="E662" s="47"/>
      <c r="F662" s="47"/>
      <c r="G662" s="47"/>
    </row>
    <row r="663" ht="15.75" customHeight="1">
      <c r="A663" s="47"/>
      <c r="B663" s="47"/>
      <c r="C663" s="47"/>
      <c r="D663" s="47"/>
      <c r="E663" s="47"/>
      <c r="F663" s="47"/>
      <c r="G663" s="47"/>
    </row>
    <row r="664" ht="15.75" customHeight="1">
      <c r="A664" s="47"/>
      <c r="B664" s="47"/>
      <c r="C664" s="47"/>
      <c r="D664" s="47"/>
      <c r="E664" s="47"/>
      <c r="F664" s="47"/>
      <c r="G664" s="47"/>
    </row>
    <row r="665" ht="15.75" customHeight="1">
      <c r="A665" s="47"/>
      <c r="B665" s="47"/>
      <c r="C665" s="47"/>
      <c r="D665" s="47"/>
      <c r="E665" s="47"/>
      <c r="F665" s="47"/>
      <c r="G665" s="47"/>
    </row>
    <row r="666" ht="15.75" customHeight="1">
      <c r="A666" s="47"/>
      <c r="B666" s="47"/>
      <c r="C666" s="47"/>
      <c r="D666" s="47"/>
      <c r="E666" s="47"/>
      <c r="F666" s="47"/>
      <c r="G666" s="47"/>
    </row>
    <row r="667" ht="15.75" customHeight="1">
      <c r="A667" s="47"/>
      <c r="B667" s="47"/>
      <c r="C667" s="47"/>
      <c r="D667" s="47"/>
      <c r="E667" s="47"/>
      <c r="F667" s="47"/>
      <c r="G667" s="47"/>
    </row>
    <row r="668" ht="15.75" customHeight="1">
      <c r="A668" s="47"/>
      <c r="B668" s="47"/>
      <c r="C668" s="47"/>
      <c r="D668" s="47"/>
      <c r="E668" s="47"/>
      <c r="F668" s="47"/>
      <c r="G668" s="47"/>
    </row>
    <row r="669" ht="15.75" customHeight="1">
      <c r="A669" s="47"/>
      <c r="B669" s="47"/>
      <c r="C669" s="47"/>
      <c r="D669" s="47"/>
      <c r="E669" s="47"/>
      <c r="F669" s="47"/>
      <c r="G669" s="47"/>
    </row>
    <row r="670" ht="15.75" customHeight="1">
      <c r="A670" s="47"/>
      <c r="B670" s="47"/>
      <c r="C670" s="47"/>
      <c r="D670" s="47"/>
      <c r="E670" s="47"/>
      <c r="F670" s="47"/>
      <c r="G670" s="47"/>
    </row>
    <row r="671" ht="15.75" customHeight="1">
      <c r="A671" s="47"/>
      <c r="B671" s="47"/>
      <c r="C671" s="47"/>
      <c r="D671" s="47"/>
      <c r="E671" s="47"/>
      <c r="F671" s="47"/>
      <c r="G671" s="47"/>
    </row>
    <row r="672" ht="15.75" customHeight="1">
      <c r="A672" s="47"/>
      <c r="B672" s="47"/>
      <c r="C672" s="47"/>
      <c r="D672" s="47"/>
      <c r="E672" s="47"/>
      <c r="F672" s="47"/>
      <c r="G672" s="47"/>
    </row>
    <row r="673" ht="15.75" customHeight="1">
      <c r="A673" s="47"/>
      <c r="B673" s="47"/>
      <c r="C673" s="47"/>
      <c r="D673" s="47"/>
      <c r="E673" s="47"/>
      <c r="F673" s="47"/>
      <c r="G673" s="47"/>
    </row>
    <row r="674" ht="15.75" customHeight="1">
      <c r="A674" s="47"/>
      <c r="B674" s="47"/>
      <c r="C674" s="47"/>
      <c r="D674" s="47"/>
      <c r="E674" s="47"/>
      <c r="F674" s="47"/>
      <c r="G674" s="47"/>
    </row>
    <row r="675" ht="15.75" customHeight="1">
      <c r="A675" s="47"/>
      <c r="B675" s="47"/>
      <c r="C675" s="47"/>
      <c r="D675" s="47"/>
      <c r="E675" s="47"/>
      <c r="F675" s="47"/>
      <c r="G675" s="47"/>
    </row>
    <row r="676" ht="15.75" customHeight="1">
      <c r="A676" s="47"/>
      <c r="B676" s="47"/>
      <c r="C676" s="47"/>
      <c r="D676" s="47"/>
      <c r="E676" s="47"/>
      <c r="F676" s="47"/>
      <c r="G676" s="47"/>
    </row>
    <row r="677" ht="15.75" customHeight="1">
      <c r="A677" s="47"/>
      <c r="B677" s="47"/>
      <c r="C677" s="47"/>
      <c r="D677" s="47"/>
      <c r="E677" s="47"/>
      <c r="F677" s="47"/>
      <c r="G677" s="47"/>
    </row>
    <row r="678" ht="15.75" customHeight="1">
      <c r="A678" s="47"/>
      <c r="B678" s="47"/>
      <c r="C678" s="47"/>
      <c r="D678" s="47"/>
      <c r="E678" s="47"/>
      <c r="F678" s="47"/>
      <c r="G678" s="47"/>
    </row>
    <row r="679" ht="15.75" customHeight="1">
      <c r="A679" s="47"/>
      <c r="B679" s="47"/>
      <c r="C679" s="47"/>
      <c r="D679" s="47"/>
      <c r="E679" s="47"/>
      <c r="F679" s="47"/>
      <c r="G679" s="47"/>
    </row>
    <row r="680" ht="15.75" customHeight="1">
      <c r="A680" s="47"/>
      <c r="B680" s="47"/>
      <c r="C680" s="47"/>
      <c r="D680" s="47"/>
      <c r="E680" s="47"/>
      <c r="F680" s="47"/>
      <c r="G680" s="47"/>
    </row>
    <row r="681" ht="15.75" customHeight="1">
      <c r="A681" s="47"/>
      <c r="B681" s="47"/>
      <c r="C681" s="47"/>
      <c r="D681" s="47"/>
      <c r="E681" s="47"/>
      <c r="F681" s="47"/>
      <c r="G681" s="47"/>
    </row>
    <row r="682" ht="15.75" customHeight="1">
      <c r="A682" s="47"/>
      <c r="B682" s="47"/>
      <c r="C682" s="47"/>
      <c r="D682" s="47"/>
      <c r="E682" s="47"/>
      <c r="F682" s="47"/>
      <c r="G682" s="47"/>
    </row>
    <row r="683" ht="15.75" customHeight="1">
      <c r="A683" s="47"/>
      <c r="B683" s="47"/>
      <c r="C683" s="47"/>
      <c r="D683" s="47"/>
      <c r="E683" s="47"/>
      <c r="F683" s="47"/>
      <c r="G683" s="47"/>
    </row>
    <row r="684" ht="15.75" customHeight="1">
      <c r="A684" s="47"/>
      <c r="B684" s="47"/>
      <c r="C684" s="47"/>
      <c r="D684" s="47"/>
      <c r="E684" s="47"/>
      <c r="F684" s="47"/>
      <c r="G684" s="47"/>
    </row>
    <row r="685" ht="15.75" customHeight="1">
      <c r="A685" s="47"/>
      <c r="B685" s="47"/>
      <c r="C685" s="47"/>
      <c r="D685" s="47"/>
      <c r="E685" s="47"/>
      <c r="F685" s="47"/>
      <c r="G685" s="47"/>
    </row>
    <row r="686" ht="15.75" customHeight="1">
      <c r="A686" s="47"/>
      <c r="B686" s="47"/>
      <c r="C686" s="47"/>
      <c r="D686" s="47"/>
      <c r="E686" s="47"/>
      <c r="F686" s="47"/>
      <c r="G686" s="47"/>
    </row>
    <row r="687" ht="15.75" customHeight="1">
      <c r="A687" s="47"/>
      <c r="B687" s="47"/>
      <c r="C687" s="47"/>
      <c r="D687" s="47"/>
      <c r="E687" s="47"/>
      <c r="F687" s="47"/>
      <c r="G687" s="47"/>
    </row>
    <row r="688" ht="15.75" customHeight="1">
      <c r="A688" s="47"/>
      <c r="B688" s="47"/>
      <c r="C688" s="47"/>
      <c r="D688" s="47"/>
      <c r="E688" s="47"/>
      <c r="F688" s="47"/>
      <c r="G688" s="47"/>
    </row>
    <row r="689" ht="15.75" customHeight="1">
      <c r="A689" s="47"/>
      <c r="B689" s="47"/>
      <c r="C689" s="47"/>
      <c r="D689" s="47"/>
      <c r="E689" s="47"/>
      <c r="F689" s="47"/>
      <c r="G689" s="47"/>
    </row>
    <row r="690" ht="15.75" customHeight="1">
      <c r="A690" s="47"/>
      <c r="B690" s="47"/>
      <c r="C690" s="47"/>
      <c r="D690" s="47"/>
      <c r="E690" s="47"/>
      <c r="F690" s="47"/>
      <c r="G690" s="47"/>
    </row>
    <row r="691" ht="15.75" customHeight="1">
      <c r="A691" s="47"/>
      <c r="B691" s="47"/>
      <c r="C691" s="47"/>
      <c r="D691" s="47"/>
      <c r="E691" s="47"/>
      <c r="F691" s="47"/>
      <c r="G691" s="47"/>
    </row>
    <row r="692" ht="15.75" customHeight="1">
      <c r="A692" s="47"/>
      <c r="B692" s="47"/>
      <c r="C692" s="47"/>
      <c r="D692" s="47"/>
      <c r="E692" s="47"/>
      <c r="F692" s="47"/>
      <c r="G692" s="47"/>
    </row>
    <row r="693" ht="15.75" customHeight="1">
      <c r="A693" s="47"/>
      <c r="B693" s="47"/>
      <c r="C693" s="47"/>
      <c r="D693" s="47"/>
      <c r="E693" s="47"/>
      <c r="F693" s="47"/>
      <c r="G693" s="47"/>
    </row>
    <row r="694" ht="15.75" customHeight="1">
      <c r="A694" s="47"/>
      <c r="B694" s="47"/>
      <c r="C694" s="47"/>
      <c r="D694" s="47"/>
      <c r="E694" s="47"/>
      <c r="F694" s="47"/>
      <c r="G694" s="47"/>
    </row>
    <row r="695" ht="15.75" customHeight="1">
      <c r="A695" s="47"/>
      <c r="B695" s="47"/>
      <c r="C695" s="47"/>
      <c r="D695" s="47"/>
      <c r="E695" s="47"/>
      <c r="F695" s="47"/>
      <c r="G695" s="47"/>
    </row>
    <row r="696" ht="15.75" customHeight="1">
      <c r="A696" s="47"/>
      <c r="B696" s="47"/>
      <c r="C696" s="47"/>
      <c r="D696" s="47"/>
      <c r="E696" s="47"/>
      <c r="F696" s="47"/>
      <c r="G696" s="47"/>
    </row>
    <row r="697" ht="15.75" customHeight="1">
      <c r="A697" s="47"/>
      <c r="B697" s="47"/>
      <c r="C697" s="47"/>
      <c r="D697" s="47"/>
      <c r="E697" s="47"/>
      <c r="F697" s="47"/>
      <c r="G697" s="47"/>
    </row>
    <row r="698" ht="15.75" customHeight="1">
      <c r="A698" s="47"/>
      <c r="B698" s="47"/>
      <c r="C698" s="47"/>
      <c r="D698" s="47"/>
      <c r="E698" s="47"/>
      <c r="F698" s="47"/>
      <c r="G698" s="47"/>
    </row>
    <row r="699" ht="15.75" customHeight="1">
      <c r="A699" s="47"/>
      <c r="B699" s="47"/>
      <c r="C699" s="47"/>
      <c r="D699" s="47"/>
      <c r="E699" s="47"/>
      <c r="F699" s="47"/>
      <c r="G699" s="47"/>
    </row>
    <row r="700" ht="15.75" customHeight="1">
      <c r="A700" s="47"/>
      <c r="B700" s="47"/>
      <c r="C700" s="47"/>
      <c r="D700" s="47"/>
      <c r="E700" s="47"/>
      <c r="F700" s="47"/>
      <c r="G700" s="47"/>
    </row>
    <row r="701" ht="15.75" customHeight="1">
      <c r="A701" s="47"/>
      <c r="B701" s="47"/>
      <c r="C701" s="47"/>
      <c r="D701" s="47"/>
      <c r="E701" s="47"/>
      <c r="F701" s="47"/>
      <c r="G701" s="47"/>
    </row>
    <row r="702" ht="15.75" customHeight="1">
      <c r="A702" s="47"/>
      <c r="B702" s="47"/>
      <c r="C702" s="47"/>
      <c r="D702" s="47"/>
      <c r="E702" s="47"/>
      <c r="F702" s="47"/>
      <c r="G702" s="47"/>
    </row>
    <row r="703" ht="15.75" customHeight="1">
      <c r="A703" s="47"/>
      <c r="B703" s="47"/>
      <c r="C703" s="47"/>
      <c r="D703" s="47"/>
      <c r="E703" s="47"/>
      <c r="F703" s="47"/>
      <c r="G703" s="47"/>
    </row>
    <row r="704" ht="15.75" customHeight="1">
      <c r="A704" s="47"/>
      <c r="B704" s="47"/>
      <c r="C704" s="47"/>
      <c r="D704" s="47"/>
      <c r="E704" s="47"/>
      <c r="F704" s="47"/>
      <c r="G704" s="47"/>
    </row>
    <row r="705" ht="15.75" customHeight="1">
      <c r="A705" s="47"/>
      <c r="B705" s="47"/>
      <c r="C705" s="47"/>
      <c r="D705" s="47"/>
      <c r="E705" s="47"/>
      <c r="F705" s="47"/>
      <c r="G705" s="47"/>
    </row>
    <row r="706" ht="15.75" customHeight="1">
      <c r="A706" s="47"/>
      <c r="B706" s="47"/>
      <c r="C706" s="47"/>
      <c r="D706" s="47"/>
      <c r="E706" s="47"/>
      <c r="F706" s="47"/>
      <c r="G706" s="47"/>
    </row>
    <row r="707" ht="15.75" customHeight="1">
      <c r="A707" s="47"/>
      <c r="B707" s="47"/>
      <c r="C707" s="47"/>
      <c r="D707" s="47"/>
      <c r="E707" s="47"/>
      <c r="F707" s="47"/>
      <c r="G707" s="47"/>
    </row>
    <row r="708" ht="15.75" customHeight="1">
      <c r="A708" s="47"/>
      <c r="B708" s="47"/>
      <c r="C708" s="47"/>
      <c r="D708" s="47"/>
      <c r="E708" s="47"/>
      <c r="F708" s="47"/>
      <c r="G708" s="47"/>
    </row>
    <row r="709" ht="15.75" customHeight="1">
      <c r="A709" s="47"/>
      <c r="B709" s="47"/>
      <c r="C709" s="47"/>
      <c r="D709" s="47"/>
      <c r="E709" s="47"/>
      <c r="F709" s="47"/>
      <c r="G709" s="47"/>
    </row>
    <row r="710" ht="15.75" customHeight="1">
      <c r="A710" s="47"/>
      <c r="B710" s="47"/>
      <c r="C710" s="47"/>
      <c r="D710" s="47"/>
      <c r="E710" s="47"/>
      <c r="F710" s="47"/>
      <c r="G710" s="47"/>
    </row>
    <row r="711" ht="15.75" customHeight="1">
      <c r="A711" s="47"/>
      <c r="B711" s="47"/>
      <c r="C711" s="47"/>
      <c r="D711" s="47"/>
      <c r="E711" s="47"/>
      <c r="F711" s="47"/>
      <c r="G711" s="47"/>
    </row>
    <row r="712" ht="15.75" customHeight="1">
      <c r="A712" s="47"/>
      <c r="B712" s="47"/>
      <c r="C712" s="47"/>
      <c r="D712" s="47"/>
      <c r="E712" s="47"/>
      <c r="F712" s="47"/>
      <c r="G712" s="47"/>
    </row>
    <row r="713" ht="15.75" customHeight="1">
      <c r="A713" s="47"/>
      <c r="B713" s="47"/>
      <c r="C713" s="47"/>
      <c r="D713" s="47"/>
      <c r="E713" s="47"/>
      <c r="F713" s="47"/>
      <c r="G713" s="47"/>
    </row>
    <row r="714" ht="15.75" customHeight="1">
      <c r="A714" s="47"/>
      <c r="B714" s="47"/>
      <c r="C714" s="47"/>
      <c r="D714" s="47"/>
      <c r="E714" s="47"/>
      <c r="F714" s="47"/>
      <c r="G714" s="47"/>
    </row>
    <row r="715" ht="15.75" customHeight="1">
      <c r="A715" s="47"/>
      <c r="B715" s="47"/>
      <c r="C715" s="47"/>
      <c r="D715" s="47"/>
      <c r="E715" s="47"/>
      <c r="F715" s="47"/>
      <c r="G715" s="47"/>
    </row>
    <row r="716" ht="15.75" customHeight="1">
      <c r="A716" s="47"/>
      <c r="B716" s="47"/>
      <c r="C716" s="47"/>
      <c r="D716" s="47"/>
      <c r="E716" s="47"/>
      <c r="F716" s="47"/>
      <c r="G716" s="47"/>
    </row>
    <row r="717" ht="15.75" customHeight="1">
      <c r="A717" s="47"/>
      <c r="B717" s="47"/>
      <c r="C717" s="47"/>
      <c r="D717" s="47"/>
      <c r="E717" s="47"/>
      <c r="F717" s="47"/>
      <c r="G717" s="47"/>
    </row>
    <row r="718" ht="15.75" customHeight="1">
      <c r="A718" s="47"/>
      <c r="B718" s="47"/>
      <c r="C718" s="47"/>
      <c r="D718" s="47"/>
      <c r="E718" s="47"/>
      <c r="F718" s="47"/>
      <c r="G718" s="47"/>
    </row>
    <row r="719" ht="15.75" customHeight="1">
      <c r="A719" s="47"/>
      <c r="B719" s="47"/>
      <c r="C719" s="47"/>
      <c r="D719" s="47"/>
      <c r="E719" s="47"/>
      <c r="F719" s="47"/>
      <c r="G719" s="47"/>
    </row>
    <row r="720" ht="15.75" customHeight="1">
      <c r="A720" s="47"/>
      <c r="B720" s="47"/>
      <c r="C720" s="47"/>
      <c r="D720" s="47"/>
      <c r="E720" s="47"/>
      <c r="F720" s="47"/>
      <c r="G720" s="47"/>
    </row>
    <row r="721" ht="15.75" customHeight="1">
      <c r="A721" s="47"/>
      <c r="B721" s="47"/>
      <c r="C721" s="47"/>
      <c r="D721" s="47"/>
      <c r="E721" s="47"/>
      <c r="F721" s="47"/>
      <c r="G721" s="47"/>
    </row>
    <row r="722" ht="15.75" customHeight="1">
      <c r="A722" s="47"/>
      <c r="B722" s="47"/>
      <c r="C722" s="47"/>
      <c r="D722" s="47"/>
      <c r="E722" s="47"/>
      <c r="F722" s="47"/>
      <c r="G722" s="47"/>
    </row>
    <row r="723" ht="15.75" customHeight="1">
      <c r="A723" s="47"/>
      <c r="B723" s="47"/>
      <c r="C723" s="47"/>
      <c r="D723" s="47"/>
      <c r="E723" s="47"/>
      <c r="F723" s="47"/>
      <c r="G723" s="47"/>
    </row>
    <row r="724" ht="15.75" customHeight="1">
      <c r="A724" s="47"/>
      <c r="B724" s="47"/>
      <c r="C724" s="47"/>
      <c r="D724" s="47"/>
      <c r="E724" s="47"/>
      <c r="F724" s="47"/>
      <c r="G724" s="47"/>
    </row>
    <row r="725" ht="15.75" customHeight="1">
      <c r="A725" s="47"/>
      <c r="B725" s="47"/>
      <c r="C725" s="47"/>
      <c r="D725" s="47"/>
      <c r="E725" s="47"/>
      <c r="F725" s="47"/>
      <c r="G725" s="47"/>
    </row>
    <row r="726" ht="15.75" customHeight="1">
      <c r="A726" s="47"/>
      <c r="B726" s="47"/>
      <c r="C726" s="47"/>
      <c r="D726" s="47"/>
      <c r="E726" s="47"/>
      <c r="F726" s="47"/>
      <c r="G726" s="47"/>
    </row>
    <row r="727" ht="15.75" customHeight="1">
      <c r="A727" s="47"/>
      <c r="B727" s="47"/>
      <c r="C727" s="47"/>
      <c r="D727" s="47"/>
      <c r="E727" s="47"/>
      <c r="F727" s="47"/>
      <c r="G727" s="47"/>
    </row>
    <row r="728" ht="15.75" customHeight="1">
      <c r="A728" s="47"/>
      <c r="B728" s="47"/>
      <c r="C728" s="47"/>
      <c r="D728" s="47"/>
      <c r="E728" s="47"/>
      <c r="F728" s="47"/>
      <c r="G728" s="47"/>
    </row>
    <row r="729" ht="15.75" customHeight="1">
      <c r="A729" s="47"/>
      <c r="B729" s="47"/>
      <c r="C729" s="47"/>
      <c r="D729" s="47"/>
      <c r="E729" s="47"/>
      <c r="F729" s="47"/>
      <c r="G729" s="47"/>
    </row>
    <row r="730" ht="15.75" customHeight="1">
      <c r="A730" s="47"/>
      <c r="B730" s="47"/>
      <c r="C730" s="47"/>
      <c r="D730" s="47"/>
      <c r="E730" s="47"/>
      <c r="F730" s="47"/>
      <c r="G730" s="47"/>
    </row>
    <row r="731" ht="15.75" customHeight="1">
      <c r="A731" s="47"/>
      <c r="B731" s="47"/>
      <c r="C731" s="47"/>
      <c r="D731" s="47"/>
      <c r="E731" s="47"/>
      <c r="F731" s="47"/>
      <c r="G731" s="47"/>
    </row>
    <row r="732" ht="15.75" customHeight="1">
      <c r="A732" s="47"/>
      <c r="B732" s="47"/>
      <c r="C732" s="47"/>
      <c r="D732" s="47"/>
      <c r="E732" s="47"/>
      <c r="F732" s="47"/>
      <c r="G732" s="47"/>
    </row>
    <row r="733" ht="15.75" customHeight="1">
      <c r="A733" s="47"/>
      <c r="B733" s="47"/>
      <c r="C733" s="47"/>
      <c r="D733" s="47"/>
      <c r="E733" s="47"/>
      <c r="F733" s="47"/>
      <c r="G733" s="47"/>
    </row>
    <row r="734" ht="15.75" customHeight="1">
      <c r="A734" s="47"/>
      <c r="B734" s="47"/>
      <c r="C734" s="47"/>
      <c r="D734" s="47"/>
      <c r="E734" s="47"/>
      <c r="F734" s="47"/>
      <c r="G734" s="47"/>
    </row>
    <row r="735" ht="15.75" customHeight="1">
      <c r="A735" s="47"/>
      <c r="B735" s="47"/>
      <c r="C735" s="47"/>
      <c r="D735" s="47"/>
      <c r="E735" s="47"/>
      <c r="F735" s="47"/>
      <c r="G735" s="47"/>
    </row>
    <row r="736" ht="15.75" customHeight="1">
      <c r="A736" s="47"/>
      <c r="B736" s="47"/>
      <c r="C736" s="47"/>
      <c r="D736" s="47"/>
      <c r="E736" s="47"/>
      <c r="F736" s="47"/>
      <c r="G736" s="47"/>
    </row>
    <row r="737" ht="15.75" customHeight="1">
      <c r="A737" s="47"/>
      <c r="B737" s="47"/>
      <c r="C737" s="47"/>
      <c r="D737" s="47"/>
      <c r="E737" s="47"/>
      <c r="F737" s="47"/>
      <c r="G737" s="47"/>
    </row>
    <row r="738" ht="15.75" customHeight="1">
      <c r="A738" s="47"/>
      <c r="B738" s="47"/>
      <c r="C738" s="47"/>
      <c r="D738" s="47"/>
      <c r="E738" s="47"/>
      <c r="F738" s="47"/>
      <c r="G738" s="47"/>
    </row>
    <row r="739" ht="15.75" customHeight="1">
      <c r="A739" s="47"/>
      <c r="B739" s="47"/>
      <c r="C739" s="47"/>
      <c r="D739" s="47"/>
      <c r="E739" s="47"/>
      <c r="F739" s="47"/>
      <c r="G739" s="47"/>
    </row>
    <row r="740" ht="15.75" customHeight="1">
      <c r="A740" s="47"/>
      <c r="B740" s="47"/>
      <c r="C740" s="47"/>
      <c r="D740" s="47"/>
      <c r="E740" s="47"/>
      <c r="F740" s="47"/>
      <c r="G740" s="47"/>
    </row>
    <row r="741" ht="15.75" customHeight="1">
      <c r="A741" s="47"/>
      <c r="B741" s="47"/>
      <c r="C741" s="47"/>
      <c r="D741" s="47"/>
      <c r="E741" s="47"/>
      <c r="F741" s="47"/>
      <c r="G741" s="47"/>
    </row>
    <row r="742" ht="15.75" customHeight="1">
      <c r="A742" s="47"/>
      <c r="B742" s="47"/>
      <c r="C742" s="47"/>
      <c r="D742" s="47"/>
      <c r="E742" s="47"/>
      <c r="F742" s="47"/>
      <c r="G742" s="47"/>
    </row>
    <row r="743" ht="15.75" customHeight="1">
      <c r="A743" s="47"/>
      <c r="B743" s="47"/>
      <c r="C743" s="47"/>
      <c r="D743" s="47"/>
      <c r="E743" s="47"/>
      <c r="F743" s="47"/>
      <c r="G743" s="47"/>
    </row>
    <row r="744" ht="15.75" customHeight="1">
      <c r="A744" s="47"/>
      <c r="B744" s="47"/>
      <c r="C744" s="47"/>
      <c r="D744" s="47"/>
      <c r="E744" s="47"/>
      <c r="F744" s="47"/>
      <c r="G744" s="47"/>
    </row>
    <row r="745" ht="15.75" customHeight="1">
      <c r="A745" s="47"/>
      <c r="B745" s="47"/>
      <c r="C745" s="47"/>
      <c r="D745" s="47"/>
      <c r="E745" s="47"/>
      <c r="F745" s="47"/>
      <c r="G745" s="47"/>
    </row>
    <row r="746" ht="15.75" customHeight="1">
      <c r="A746" s="47"/>
      <c r="B746" s="47"/>
      <c r="C746" s="47"/>
      <c r="D746" s="47"/>
      <c r="E746" s="47"/>
      <c r="F746" s="47"/>
      <c r="G746" s="47"/>
    </row>
    <row r="747" ht="15.75" customHeight="1">
      <c r="A747" s="47"/>
      <c r="B747" s="47"/>
      <c r="C747" s="47"/>
      <c r="D747" s="47"/>
      <c r="E747" s="47"/>
      <c r="F747" s="47"/>
      <c r="G747" s="47"/>
    </row>
    <row r="748" ht="15.75" customHeight="1">
      <c r="A748" s="47"/>
      <c r="B748" s="47"/>
      <c r="C748" s="47"/>
      <c r="D748" s="47"/>
      <c r="E748" s="47"/>
      <c r="F748" s="47"/>
      <c r="G748" s="47"/>
    </row>
    <row r="749" ht="15.75" customHeight="1">
      <c r="A749" s="47"/>
      <c r="B749" s="47"/>
      <c r="C749" s="47"/>
      <c r="D749" s="47"/>
      <c r="E749" s="47"/>
      <c r="F749" s="47"/>
      <c r="G749" s="47"/>
    </row>
    <row r="750" ht="15.75" customHeight="1">
      <c r="A750" s="47"/>
      <c r="B750" s="47"/>
      <c r="C750" s="47"/>
      <c r="D750" s="47"/>
      <c r="E750" s="47"/>
      <c r="F750" s="47"/>
      <c r="G750" s="47"/>
    </row>
    <row r="751" ht="15.75" customHeight="1">
      <c r="A751" s="47"/>
      <c r="B751" s="47"/>
      <c r="C751" s="47"/>
      <c r="D751" s="47"/>
      <c r="E751" s="47"/>
      <c r="F751" s="47"/>
      <c r="G751" s="47"/>
    </row>
    <row r="752" ht="15.75" customHeight="1">
      <c r="A752" s="47"/>
      <c r="B752" s="47"/>
      <c r="C752" s="47"/>
      <c r="D752" s="47"/>
      <c r="E752" s="47"/>
      <c r="F752" s="47"/>
      <c r="G752" s="47"/>
    </row>
    <row r="753" ht="15.75" customHeight="1">
      <c r="A753" s="47"/>
      <c r="B753" s="47"/>
      <c r="C753" s="47"/>
      <c r="D753" s="47"/>
      <c r="E753" s="47"/>
      <c r="F753" s="47"/>
      <c r="G753" s="47"/>
    </row>
    <row r="754" ht="15.75" customHeight="1">
      <c r="A754" s="47"/>
      <c r="B754" s="47"/>
      <c r="C754" s="47"/>
      <c r="D754" s="47"/>
      <c r="E754" s="47"/>
      <c r="F754" s="47"/>
      <c r="G754" s="47"/>
    </row>
    <row r="755" ht="15.75" customHeight="1">
      <c r="A755" s="47"/>
      <c r="B755" s="47"/>
      <c r="C755" s="47"/>
      <c r="D755" s="47"/>
      <c r="E755" s="47"/>
      <c r="F755" s="47"/>
      <c r="G755" s="47"/>
    </row>
    <row r="756" ht="15.75" customHeight="1">
      <c r="A756" s="47"/>
      <c r="B756" s="47"/>
      <c r="C756" s="47"/>
      <c r="D756" s="47"/>
      <c r="E756" s="47"/>
      <c r="F756" s="47"/>
      <c r="G756" s="47"/>
    </row>
    <row r="757" ht="15.75" customHeight="1">
      <c r="A757" s="47"/>
      <c r="B757" s="47"/>
      <c r="C757" s="47"/>
      <c r="D757" s="47"/>
      <c r="E757" s="47"/>
      <c r="F757" s="47"/>
      <c r="G757" s="47"/>
    </row>
    <row r="758" ht="15.75" customHeight="1">
      <c r="A758" s="47"/>
      <c r="B758" s="47"/>
      <c r="C758" s="47"/>
      <c r="D758" s="47"/>
      <c r="E758" s="47"/>
      <c r="F758" s="47"/>
      <c r="G758" s="47"/>
    </row>
    <row r="759" ht="15.75" customHeight="1">
      <c r="A759" s="47"/>
      <c r="B759" s="47"/>
      <c r="C759" s="47"/>
      <c r="D759" s="47"/>
      <c r="E759" s="47"/>
      <c r="F759" s="47"/>
      <c r="G759" s="47"/>
    </row>
    <row r="760" ht="15.75" customHeight="1">
      <c r="A760" s="47"/>
      <c r="B760" s="47"/>
      <c r="C760" s="47"/>
      <c r="D760" s="47"/>
      <c r="E760" s="47"/>
      <c r="F760" s="47"/>
      <c r="G760" s="47"/>
    </row>
    <row r="761" ht="15.75" customHeight="1">
      <c r="A761" s="47"/>
      <c r="B761" s="47"/>
      <c r="C761" s="47"/>
      <c r="D761" s="47"/>
      <c r="E761" s="47"/>
      <c r="F761" s="47"/>
      <c r="G761" s="47"/>
    </row>
    <row r="762" ht="15.75" customHeight="1">
      <c r="A762" s="47"/>
      <c r="B762" s="47"/>
      <c r="C762" s="47"/>
      <c r="D762" s="47"/>
      <c r="E762" s="47"/>
      <c r="F762" s="47"/>
      <c r="G762" s="47"/>
    </row>
    <row r="763" ht="15.75" customHeight="1">
      <c r="A763" s="47"/>
      <c r="B763" s="47"/>
      <c r="C763" s="47"/>
      <c r="D763" s="47"/>
      <c r="E763" s="47"/>
      <c r="F763" s="47"/>
      <c r="G763" s="47"/>
    </row>
    <row r="764" ht="15.75" customHeight="1">
      <c r="A764" s="47"/>
      <c r="B764" s="47"/>
      <c r="C764" s="47"/>
      <c r="D764" s="47"/>
      <c r="E764" s="47"/>
      <c r="F764" s="47"/>
      <c r="G764" s="47"/>
    </row>
    <row r="765" ht="15.75" customHeight="1">
      <c r="A765" s="47"/>
      <c r="B765" s="47"/>
      <c r="C765" s="47"/>
      <c r="D765" s="47"/>
      <c r="E765" s="47"/>
      <c r="F765" s="47"/>
      <c r="G765" s="47"/>
    </row>
    <row r="766" ht="15.75" customHeight="1">
      <c r="A766" s="47"/>
      <c r="B766" s="47"/>
      <c r="C766" s="47"/>
      <c r="D766" s="47"/>
      <c r="E766" s="47"/>
      <c r="F766" s="47"/>
      <c r="G766" s="47"/>
    </row>
    <row r="767" ht="15.75" customHeight="1">
      <c r="A767" s="47"/>
      <c r="B767" s="47"/>
      <c r="C767" s="47"/>
      <c r="D767" s="47"/>
      <c r="E767" s="47"/>
      <c r="F767" s="47"/>
      <c r="G767" s="47"/>
    </row>
    <row r="768" ht="15.75" customHeight="1">
      <c r="A768" s="47"/>
      <c r="B768" s="47"/>
      <c r="C768" s="47"/>
      <c r="D768" s="47"/>
      <c r="E768" s="47"/>
      <c r="F768" s="47"/>
      <c r="G768" s="47"/>
    </row>
    <row r="769" ht="15.75" customHeight="1">
      <c r="A769" s="47"/>
      <c r="B769" s="47"/>
      <c r="C769" s="47"/>
      <c r="D769" s="47"/>
      <c r="E769" s="47"/>
      <c r="F769" s="47"/>
      <c r="G769" s="47"/>
    </row>
    <row r="770" ht="15.75" customHeight="1">
      <c r="A770" s="47"/>
      <c r="B770" s="47"/>
      <c r="C770" s="47"/>
      <c r="D770" s="47"/>
      <c r="E770" s="47"/>
      <c r="F770" s="47"/>
      <c r="G770" s="47"/>
    </row>
    <row r="771" ht="15.75" customHeight="1">
      <c r="A771" s="47"/>
      <c r="B771" s="47"/>
      <c r="C771" s="47"/>
      <c r="D771" s="47"/>
      <c r="E771" s="47"/>
      <c r="F771" s="47"/>
      <c r="G771" s="47"/>
    </row>
    <row r="772" ht="15.75" customHeight="1">
      <c r="A772" s="47"/>
      <c r="B772" s="47"/>
      <c r="C772" s="47"/>
      <c r="D772" s="47"/>
      <c r="E772" s="47"/>
      <c r="F772" s="47"/>
      <c r="G772" s="47"/>
    </row>
    <row r="773" ht="15.75" customHeight="1">
      <c r="A773" s="47"/>
      <c r="B773" s="47"/>
      <c r="C773" s="47"/>
      <c r="D773" s="47"/>
      <c r="E773" s="47"/>
      <c r="F773" s="47"/>
      <c r="G773" s="47"/>
    </row>
    <row r="774" ht="15.75" customHeight="1">
      <c r="A774" s="47"/>
      <c r="B774" s="47"/>
      <c r="C774" s="47"/>
      <c r="D774" s="47"/>
      <c r="E774" s="47"/>
      <c r="F774" s="47"/>
      <c r="G774" s="47"/>
    </row>
    <row r="775" ht="15.75" customHeight="1">
      <c r="A775" s="47"/>
      <c r="B775" s="47"/>
      <c r="C775" s="47"/>
      <c r="D775" s="47"/>
      <c r="E775" s="47"/>
      <c r="F775" s="47"/>
      <c r="G775" s="47"/>
    </row>
    <row r="776" ht="15.75" customHeight="1">
      <c r="A776" s="47"/>
      <c r="B776" s="47"/>
      <c r="C776" s="47"/>
      <c r="D776" s="47"/>
      <c r="E776" s="47"/>
      <c r="F776" s="47"/>
      <c r="G776" s="47"/>
    </row>
    <row r="777" ht="15.75" customHeight="1">
      <c r="A777" s="47"/>
      <c r="B777" s="47"/>
      <c r="C777" s="47"/>
      <c r="D777" s="47"/>
      <c r="E777" s="47"/>
      <c r="F777" s="47"/>
      <c r="G777" s="47"/>
    </row>
    <row r="778" ht="15.75" customHeight="1">
      <c r="A778" s="47"/>
      <c r="B778" s="47"/>
      <c r="C778" s="47"/>
      <c r="D778" s="47"/>
      <c r="E778" s="47"/>
      <c r="F778" s="47"/>
      <c r="G778" s="47"/>
    </row>
    <row r="779" ht="15.75" customHeight="1">
      <c r="A779" s="47"/>
      <c r="B779" s="47"/>
      <c r="C779" s="47"/>
      <c r="D779" s="47"/>
      <c r="E779" s="47"/>
      <c r="F779" s="47"/>
      <c r="G779" s="47"/>
    </row>
    <row r="780" ht="15.75" customHeight="1">
      <c r="A780" s="47"/>
      <c r="B780" s="47"/>
      <c r="C780" s="47"/>
      <c r="D780" s="47"/>
      <c r="E780" s="47"/>
      <c r="F780" s="47"/>
      <c r="G780" s="47"/>
    </row>
    <row r="781" ht="15.75" customHeight="1">
      <c r="A781" s="47"/>
      <c r="B781" s="47"/>
      <c r="C781" s="47"/>
      <c r="D781" s="47"/>
      <c r="E781" s="47"/>
      <c r="F781" s="47"/>
      <c r="G781" s="47"/>
    </row>
    <row r="782" ht="15.75" customHeight="1">
      <c r="A782" s="47"/>
      <c r="B782" s="47"/>
      <c r="C782" s="47"/>
      <c r="D782" s="47"/>
      <c r="E782" s="47"/>
      <c r="F782" s="47"/>
      <c r="G782" s="47"/>
    </row>
    <row r="783" ht="15.75" customHeight="1">
      <c r="A783" s="47"/>
      <c r="B783" s="47"/>
      <c r="C783" s="47"/>
      <c r="D783" s="47"/>
      <c r="E783" s="47"/>
      <c r="F783" s="47"/>
      <c r="G783" s="47"/>
    </row>
    <row r="784" ht="15.75" customHeight="1">
      <c r="A784" s="47"/>
      <c r="B784" s="47"/>
      <c r="C784" s="47"/>
      <c r="D784" s="47"/>
      <c r="E784" s="47"/>
      <c r="F784" s="47"/>
      <c r="G784" s="47"/>
    </row>
    <row r="785" ht="15.75" customHeight="1">
      <c r="A785" s="47"/>
      <c r="B785" s="47"/>
      <c r="C785" s="47"/>
      <c r="D785" s="47"/>
      <c r="E785" s="47"/>
      <c r="F785" s="47"/>
      <c r="G785" s="47"/>
    </row>
    <row r="786" ht="15.75" customHeight="1">
      <c r="A786" s="47"/>
      <c r="B786" s="47"/>
      <c r="C786" s="47"/>
      <c r="D786" s="47"/>
      <c r="E786" s="47"/>
      <c r="F786" s="47"/>
      <c r="G786" s="47"/>
    </row>
    <row r="787" ht="15.75" customHeight="1">
      <c r="A787" s="47"/>
      <c r="B787" s="47"/>
      <c r="C787" s="47"/>
      <c r="D787" s="47"/>
      <c r="E787" s="47"/>
      <c r="F787" s="47"/>
      <c r="G787" s="47"/>
    </row>
    <row r="788" ht="15.75" customHeight="1">
      <c r="A788" s="47"/>
      <c r="B788" s="47"/>
      <c r="C788" s="47"/>
      <c r="D788" s="47"/>
      <c r="E788" s="47"/>
      <c r="F788" s="47"/>
      <c r="G788" s="47"/>
    </row>
    <row r="789" ht="15.75" customHeight="1">
      <c r="A789" s="47"/>
      <c r="B789" s="47"/>
      <c r="C789" s="47"/>
      <c r="D789" s="47"/>
      <c r="E789" s="47"/>
      <c r="F789" s="47"/>
      <c r="G789" s="47"/>
    </row>
    <row r="790" ht="15.75" customHeight="1">
      <c r="A790" s="47"/>
      <c r="B790" s="47"/>
      <c r="C790" s="47"/>
      <c r="D790" s="47"/>
      <c r="E790" s="47"/>
      <c r="F790" s="47"/>
      <c r="G790" s="47"/>
    </row>
    <row r="791" ht="15.75" customHeight="1">
      <c r="A791" s="47"/>
      <c r="B791" s="47"/>
      <c r="C791" s="47"/>
      <c r="D791" s="47"/>
      <c r="E791" s="47"/>
      <c r="F791" s="47"/>
      <c r="G791" s="47"/>
    </row>
    <row r="792" ht="15.75" customHeight="1">
      <c r="A792" s="47"/>
      <c r="B792" s="47"/>
      <c r="C792" s="47"/>
      <c r="D792" s="47"/>
      <c r="E792" s="47"/>
      <c r="F792" s="47"/>
      <c r="G792" s="47"/>
    </row>
    <row r="793" ht="15.75" customHeight="1">
      <c r="A793" s="47"/>
      <c r="B793" s="47"/>
      <c r="C793" s="47"/>
      <c r="D793" s="47"/>
      <c r="E793" s="47"/>
      <c r="F793" s="47"/>
      <c r="G793" s="47"/>
    </row>
    <row r="794" ht="15.75" customHeight="1">
      <c r="A794" s="47"/>
      <c r="B794" s="47"/>
      <c r="C794" s="47"/>
      <c r="D794" s="47"/>
      <c r="E794" s="47"/>
      <c r="F794" s="47"/>
      <c r="G794" s="47"/>
    </row>
    <row r="795" ht="15.75" customHeight="1">
      <c r="A795" s="47"/>
      <c r="B795" s="47"/>
      <c r="C795" s="47"/>
      <c r="D795" s="47"/>
      <c r="E795" s="47"/>
      <c r="F795" s="47"/>
      <c r="G795" s="47"/>
    </row>
    <row r="796" ht="15.75" customHeight="1">
      <c r="A796" s="47"/>
      <c r="B796" s="47"/>
      <c r="C796" s="47"/>
      <c r="D796" s="47"/>
      <c r="E796" s="47"/>
      <c r="F796" s="47"/>
      <c r="G796" s="47"/>
    </row>
    <row r="797" ht="15.75" customHeight="1">
      <c r="A797" s="47"/>
      <c r="B797" s="47"/>
      <c r="C797" s="47"/>
      <c r="D797" s="47"/>
      <c r="E797" s="47"/>
      <c r="F797" s="47"/>
      <c r="G797" s="47"/>
    </row>
    <row r="798" ht="15.75" customHeight="1">
      <c r="A798" s="47"/>
      <c r="B798" s="47"/>
      <c r="C798" s="47"/>
      <c r="D798" s="47"/>
      <c r="E798" s="47"/>
      <c r="F798" s="47"/>
      <c r="G798" s="47"/>
    </row>
    <row r="799" ht="15.75" customHeight="1">
      <c r="A799" s="47"/>
      <c r="B799" s="47"/>
      <c r="C799" s="47"/>
      <c r="D799" s="47"/>
      <c r="E799" s="47"/>
      <c r="F799" s="47"/>
      <c r="G799" s="47"/>
    </row>
    <row r="800" ht="15.75" customHeight="1">
      <c r="A800" s="47"/>
      <c r="B800" s="47"/>
      <c r="C800" s="47"/>
      <c r="D800" s="47"/>
      <c r="E800" s="47"/>
      <c r="F800" s="47"/>
      <c r="G800" s="47"/>
    </row>
    <row r="801" ht="15.75" customHeight="1">
      <c r="A801" s="47"/>
      <c r="B801" s="47"/>
      <c r="C801" s="47"/>
      <c r="D801" s="47"/>
      <c r="E801" s="47"/>
      <c r="F801" s="47"/>
      <c r="G801" s="47"/>
    </row>
    <row r="802" ht="15.75" customHeight="1">
      <c r="A802" s="47"/>
      <c r="B802" s="47"/>
      <c r="C802" s="47"/>
      <c r="D802" s="47"/>
      <c r="E802" s="47"/>
      <c r="F802" s="47"/>
      <c r="G802" s="47"/>
    </row>
    <row r="803" ht="15.75" customHeight="1">
      <c r="A803" s="47"/>
      <c r="B803" s="47"/>
      <c r="C803" s="47"/>
      <c r="D803" s="47"/>
      <c r="E803" s="47"/>
      <c r="F803" s="47"/>
      <c r="G803" s="47"/>
    </row>
    <row r="804" ht="15.75" customHeight="1">
      <c r="A804" s="47"/>
      <c r="B804" s="47"/>
      <c r="C804" s="47"/>
      <c r="D804" s="47"/>
      <c r="E804" s="47"/>
      <c r="F804" s="47"/>
      <c r="G804" s="47"/>
    </row>
    <row r="805" ht="15.75" customHeight="1">
      <c r="A805" s="47"/>
      <c r="B805" s="47"/>
      <c r="C805" s="47"/>
      <c r="D805" s="47"/>
      <c r="E805" s="47"/>
      <c r="F805" s="47"/>
      <c r="G805" s="47"/>
    </row>
    <row r="806" ht="15.75" customHeight="1">
      <c r="A806" s="47"/>
      <c r="B806" s="47"/>
      <c r="C806" s="47"/>
      <c r="D806" s="47"/>
      <c r="E806" s="47"/>
      <c r="F806" s="47"/>
      <c r="G806" s="47"/>
    </row>
    <row r="807" ht="15.75" customHeight="1">
      <c r="A807" s="47"/>
      <c r="B807" s="47"/>
      <c r="C807" s="47"/>
      <c r="D807" s="47"/>
      <c r="E807" s="47"/>
      <c r="F807" s="47"/>
      <c r="G807" s="47"/>
    </row>
    <row r="808" ht="15.75" customHeight="1">
      <c r="A808" s="47"/>
      <c r="B808" s="47"/>
      <c r="C808" s="47"/>
      <c r="D808" s="47"/>
      <c r="E808" s="47"/>
      <c r="F808" s="47"/>
      <c r="G808" s="47"/>
    </row>
    <row r="809" ht="15.75" customHeight="1">
      <c r="A809" s="47"/>
      <c r="B809" s="47"/>
      <c r="C809" s="47"/>
      <c r="D809" s="47"/>
      <c r="E809" s="47"/>
      <c r="F809" s="47"/>
      <c r="G809" s="47"/>
    </row>
    <row r="810" ht="15.75" customHeight="1">
      <c r="A810" s="47"/>
      <c r="B810" s="47"/>
      <c r="C810" s="47"/>
      <c r="D810" s="47"/>
      <c r="E810" s="47"/>
      <c r="F810" s="47"/>
      <c r="G810" s="47"/>
    </row>
    <row r="811" ht="15.75" customHeight="1">
      <c r="A811" s="47"/>
      <c r="B811" s="47"/>
      <c r="C811" s="47"/>
      <c r="D811" s="47"/>
      <c r="E811" s="47"/>
      <c r="F811" s="47"/>
      <c r="G811" s="47"/>
    </row>
    <row r="812" ht="15.75" customHeight="1">
      <c r="A812" s="47"/>
      <c r="B812" s="47"/>
      <c r="C812" s="47"/>
      <c r="D812" s="47"/>
      <c r="E812" s="47"/>
      <c r="F812" s="47"/>
      <c r="G812" s="47"/>
    </row>
    <row r="813" ht="15.75" customHeight="1">
      <c r="A813" s="47"/>
      <c r="B813" s="47"/>
      <c r="C813" s="47"/>
      <c r="D813" s="47"/>
      <c r="E813" s="47"/>
      <c r="F813" s="47"/>
      <c r="G813" s="47"/>
    </row>
    <row r="814" ht="15.75" customHeight="1">
      <c r="A814" s="47"/>
      <c r="B814" s="47"/>
      <c r="C814" s="47"/>
      <c r="D814" s="47"/>
      <c r="E814" s="47"/>
      <c r="F814" s="47"/>
      <c r="G814" s="47"/>
    </row>
    <row r="815" ht="15.75" customHeight="1">
      <c r="A815" s="47"/>
      <c r="B815" s="47"/>
      <c r="C815" s="47"/>
      <c r="D815" s="47"/>
      <c r="E815" s="47"/>
      <c r="F815" s="47"/>
      <c r="G815" s="47"/>
    </row>
    <row r="816" ht="15.75" customHeight="1">
      <c r="A816" s="47"/>
      <c r="B816" s="47"/>
      <c r="C816" s="47"/>
      <c r="D816" s="47"/>
      <c r="E816" s="47"/>
      <c r="F816" s="47"/>
      <c r="G816" s="47"/>
    </row>
    <row r="817" ht="15.75" customHeight="1">
      <c r="A817" s="47"/>
      <c r="B817" s="47"/>
      <c r="C817" s="47"/>
      <c r="D817" s="47"/>
      <c r="E817" s="47"/>
      <c r="F817" s="47"/>
      <c r="G817" s="47"/>
    </row>
    <row r="818" ht="15.75" customHeight="1">
      <c r="A818" s="47"/>
      <c r="B818" s="47"/>
      <c r="C818" s="47"/>
      <c r="D818" s="47"/>
      <c r="E818" s="47"/>
      <c r="F818" s="47"/>
      <c r="G818" s="47"/>
    </row>
    <row r="819" ht="15.75" customHeight="1">
      <c r="A819" s="47"/>
      <c r="B819" s="47"/>
      <c r="C819" s="47"/>
      <c r="D819" s="47"/>
      <c r="E819" s="47"/>
      <c r="F819" s="47"/>
      <c r="G819" s="47"/>
    </row>
    <row r="820" ht="15.75" customHeight="1">
      <c r="A820" s="47"/>
      <c r="B820" s="47"/>
      <c r="C820" s="47"/>
      <c r="D820" s="47"/>
      <c r="E820" s="47"/>
      <c r="F820" s="47"/>
      <c r="G820" s="47"/>
    </row>
    <row r="821" ht="15.75" customHeight="1">
      <c r="A821" s="47"/>
      <c r="B821" s="47"/>
      <c r="C821" s="47"/>
      <c r="D821" s="47"/>
      <c r="E821" s="47"/>
      <c r="F821" s="47"/>
      <c r="G821" s="47"/>
    </row>
    <row r="822" ht="15.75" customHeight="1">
      <c r="A822" s="47"/>
      <c r="B822" s="47"/>
      <c r="C822" s="47"/>
      <c r="D822" s="47"/>
      <c r="E822" s="47"/>
      <c r="F822" s="47"/>
      <c r="G822" s="47"/>
    </row>
    <row r="823" ht="15.75" customHeight="1">
      <c r="A823" s="47"/>
      <c r="B823" s="47"/>
      <c r="C823" s="47"/>
      <c r="D823" s="47"/>
      <c r="E823" s="47"/>
      <c r="F823" s="47"/>
      <c r="G823" s="47"/>
    </row>
    <row r="824" ht="15.75" customHeight="1">
      <c r="A824" s="47"/>
      <c r="B824" s="47"/>
      <c r="C824" s="47"/>
      <c r="D824" s="47"/>
      <c r="E824" s="47"/>
      <c r="F824" s="47"/>
      <c r="G824" s="47"/>
    </row>
    <row r="825" ht="15.75" customHeight="1">
      <c r="A825" s="47"/>
      <c r="B825" s="47"/>
      <c r="C825" s="47"/>
      <c r="D825" s="47"/>
      <c r="E825" s="47"/>
      <c r="F825" s="47"/>
      <c r="G825" s="47"/>
    </row>
    <row r="826" ht="15.75" customHeight="1">
      <c r="A826" s="47"/>
      <c r="B826" s="47"/>
      <c r="C826" s="47"/>
      <c r="D826" s="47"/>
      <c r="E826" s="47"/>
      <c r="F826" s="47"/>
      <c r="G826" s="47"/>
    </row>
    <row r="827" ht="15.75" customHeight="1">
      <c r="A827" s="47"/>
      <c r="B827" s="47"/>
      <c r="C827" s="47"/>
      <c r="D827" s="47"/>
      <c r="E827" s="47"/>
      <c r="F827" s="47"/>
      <c r="G827" s="47"/>
    </row>
    <row r="828" ht="15.75" customHeight="1">
      <c r="A828" s="47"/>
      <c r="B828" s="47"/>
      <c r="C828" s="47"/>
      <c r="D828" s="47"/>
      <c r="E828" s="47"/>
      <c r="F828" s="47"/>
      <c r="G828" s="47"/>
    </row>
    <row r="829" ht="15.75" customHeight="1">
      <c r="A829" s="47"/>
      <c r="B829" s="47"/>
      <c r="C829" s="47"/>
      <c r="D829" s="47"/>
      <c r="E829" s="47"/>
      <c r="F829" s="47"/>
      <c r="G829" s="47"/>
    </row>
    <row r="830" ht="15.75" customHeight="1">
      <c r="A830" s="47"/>
      <c r="B830" s="47"/>
      <c r="C830" s="47"/>
      <c r="D830" s="47"/>
      <c r="E830" s="47"/>
      <c r="F830" s="47"/>
      <c r="G830" s="47"/>
    </row>
    <row r="831" ht="15.75" customHeight="1">
      <c r="A831" s="47"/>
      <c r="B831" s="47"/>
      <c r="C831" s="47"/>
      <c r="D831" s="47"/>
      <c r="E831" s="47"/>
      <c r="F831" s="47"/>
      <c r="G831" s="47"/>
    </row>
    <row r="832" ht="15.75" customHeight="1">
      <c r="A832" s="47"/>
      <c r="B832" s="47"/>
      <c r="C832" s="47"/>
      <c r="D832" s="47"/>
      <c r="E832" s="47"/>
      <c r="F832" s="47"/>
      <c r="G832" s="47"/>
    </row>
    <row r="833" ht="15.75" customHeight="1">
      <c r="A833" s="47"/>
      <c r="B833" s="47"/>
      <c r="C833" s="47"/>
      <c r="D833" s="47"/>
      <c r="E833" s="47"/>
      <c r="F833" s="47"/>
      <c r="G833" s="47"/>
    </row>
    <row r="834" ht="15.75" customHeight="1">
      <c r="A834" s="47"/>
      <c r="B834" s="47"/>
      <c r="C834" s="47"/>
      <c r="D834" s="47"/>
      <c r="E834" s="47"/>
      <c r="F834" s="47"/>
      <c r="G834" s="47"/>
    </row>
    <row r="835" ht="15.75" customHeight="1">
      <c r="A835" s="47"/>
      <c r="B835" s="47"/>
      <c r="C835" s="47"/>
      <c r="D835" s="47"/>
      <c r="E835" s="47"/>
      <c r="F835" s="47"/>
      <c r="G835" s="47"/>
    </row>
    <row r="836" ht="15.75" customHeight="1">
      <c r="A836" s="47"/>
      <c r="B836" s="47"/>
      <c r="C836" s="47"/>
      <c r="D836" s="47"/>
      <c r="E836" s="47"/>
      <c r="F836" s="47"/>
      <c r="G836" s="47"/>
    </row>
    <row r="837" ht="15.75" customHeight="1">
      <c r="A837" s="47"/>
      <c r="B837" s="47"/>
      <c r="C837" s="47"/>
      <c r="D837" s="47"/>
      <c r="E837" s="47"/>
      <c r="F837" s="47"/>
      <c r="G837" s="47"/>
    </row>
    <row r="838" ht="15.75" customHeight="1">
      <c r="A838" s="47"/>
      <c r="B838" s="47"/>
      <c r="C838" s="47"/>
      <c r="D838" s="47"/>
      <c r="E838" s="47"/>
      <c r="F838" s="47"/>
      <c r="G838" s="47"/>
    </row>
    <row r="839" ht="15.75" customHeight="1">
      <c r="A839" s="47"/>
      <c r="B839" s="47"/>
      <c r="C839" s="47"/>
      <c r="D839" s="47"/>
      <c r="E839" s="47"/>
      <c r="F839" s="47"/>
      <c r="G839" s="47"/>
    </row>
    <row r="840" ht="15.75" customHeight="1">
      <c r="A840" s="47"/>
      <c r="B840" s="47"/>
      <c r="C840" s="47"/>
      <c r="D840" s="47"/>
      <c r="E840" s="47"/>
      <c r="F840" s="47"/>
      <c r="G840" s="47"/>
    </row>
    <row r="841" ht="15.75" customHeight="1">
      <c r="A841" s="47"/>
      <c r="B841" s="47"/>
      <c r="C841" s="47"/>
      <c r="D841" s="47"/>
      <c r="E841" s="47"/>
      <c r="F841" s="47"/>
      <c r="G841" s="47"/>
    </row>
    <row r="842" ht="15.75" customHeight="1">
      <c r="A842" s="47"/>
      <c r="B842" s="47"/>
      <c r="C842" s="47"/>
      <c r="D842" s="47"/>
      <c r="E842" s="47"/>
      <c r="F842" s="47"/>
      <c r="G842" s="47"/>
    </row>
    <row r="843" ht="15.75" customHeight="1">
      <c r="A843" s="47"/>
      <c r="B843" s="47"/>
      <c r="C843" s="47"/>
      <c r="D843" s="47"/>
      <c r="E843" s="47"/>
      <c r="F843" s="47"/>
      <c r="G843" s="47"/>
    </row>
    <row r="844" ht="15.75" customHeight="1">
      <c r="A844" s="47"/>
      <c r="B844" s="47"/>
      <c r="C844" s="47"/>
      <c r="D844" s="47"/>
      <c r="E844" s="47"/>
      <c r="F844" s="47"/>
      <c r="G844" s="47"/>
    </row>
    <row r="845" ht="15.75" customHeight="1">
      <c r="A845" s="47"/>
      <c r="B845" s="47"/>
      <c r="C845" s="47"/>
      <c r="D845" s="47"/>
      <c r="E845" s="47"/>
      <c r="F845" s="47"/>
      <c r="G845" s="47"/>
    </row>
    <row r="846" ht="15.75" customHeight="1">
      <c r="A846" s="47"/>
      <c r="B846" s="47"/>
      <c r="C846" s="47"/>
      <c r="D846" s="47"/>
      <c r="E846" s="47"/>
      <c r="F846" s="47"/>
      <c r="G846" s="47"/>
    </row>
    <row r="847" ht="15.75" customHeight="1">
      <c r="A847" s="47"/>
      <c r="B847" s="47"/>
      <c r="C847" s="47"/>
      <c r="D847" s="47"/>
      <c r="E847" s="47"/>
      <c r="F847" s="47"/>
      <c r="G847" s="47"/>
    </row>
    <row r="848" ht="15.75" customHeight="1">
      <c r="A848" s="47"/>
      <c r="B848" s="47"/>
      <c r="C848" s="47"/>
      <c r="D848" s="47"/>
      <c r="E848" s="47"/>
      <c r="F848" s="47"/>
      <c r="G848" s="47"/>
    </row>
    <row r="849" ht="15.75" customHeight="1">
      <c r="A849" s="47"/>
      <c r="B849" s="47"/>
      <c r="C849" s="47"/>
      <c r="D849" s="47"/>
      <c r="E849" s="47"/>
      <c r="F849" s="47"/>
      <c r="G849" s="47"/>
    </row>
    <row r="850" ht="15.75" customHeight="1">
      <c r="A850" s="47"/>
      <c r="B850" s="47"/>
      <c r="C850" s="47"/>
      <c r="D850" s="47"/>
      <c r="E850" s="47"/>
      <c r="F850" s="47"/>
      <c r="G850" s="47"/>
    </row>
    <row r="851" ht="15.75" customHeight="1">
      <c r="A851" s="47"/>
      <c r="B851" s="47"/>
      <c r="C851" s="47"/>
      <c r="D851" s="47"/>
      <c r="E851" s="47"/>
      <c r="F851" s="47"/>
      <c r="G851" s="47"/>
    </row>
    <row r="852" ht="15.75" customHeight="1">
      <c r="A852" s="47"/>
      <c r="B852" s="47"/>
      <c r="C852" s="47"/>
      <c r="D852" s="47"/>
      <c r="E852" s="47"/>
      <c r="F852" s="47"/>
      <c r="G852" s="47"/>
    </row>
    <row r="853" ht="15.75" customHeight="1">
      <c r="A853" s="47"/>
      <c r="B853" s="47"/>
      <c r="C853" s="47"/>
      <c r="D853" s="47"/>
      <c r="E853" s="47"/>
      <c r="F853" s="47"/>
      <c r="G853" s="47"/>
    </row>
    <row r="854" ht="15.75" customHeight="1">
      <c r="A854" s="47"/>
      <c r="B854" s="47"/>
      <c r="C854" s="47"/>
      <c r="D854" s="47"/>
      <c r="E854" s="47"/>
      <c r="F854" s="47"/>
      <c r="G854" s="47"/>
    </row>
    <row r="855" ht="15.75" customHeight="1">
      <c r="A855" s="47"/>
      <c r="B855" s="47"/>
      <c r="C855" s="47"/>
      <c r="D855" s="47"/>
      <c r="E855" s="47"/>
      <c r="F855" s="47"/>
      <c r="G855" s="47"/>
    </row>
    <row r="856" ht="15.75" customHeight="1">
      <c r="A856" s="47"/>
      <c r="B856" s="47"/>
      <c r="C856" s="47"/>
      <c r="D856" s="47"/>
      <c r="E856" s="47"/>
      <c r="F856" s="47"/>
      <c r="G856" s="47"/>
    </row>
    <row r="857" ht="15.75" customHeight="1">
      <c r="A857" s="47"/>
      <c r="B857" s="47"/>
      <c r="C857" s="47"/>
      <c r="D857" s="47"/>
      <c r="E857" s="47"/>
      <c r="F857" s="47"/>
      <c r="G857" s="47"/>
    </row>
    <row r="858" ht="15.75" customHeight="1">
      <c r="A858" s="47"/>
      <c r="B858" s="47"/>
      <c r="C858" s="47"/>
      <c r="D858" s="47"/>
      <c r="E858" s="47"/>
      <c r="F858" s="47"/>
      <c r="G858" s="47"/>
    </row>
    <row r="859" ht="15.75" customHeight="1">
      <c r="A859" s="47"/>
      <c r="B859" s="47"/>
      <c r="C859" s="47"/>
      <c r="D859" s="47"/>
      <c r="E859" s="47"/>
      <c r="F859" s="47"/>
      <c r="G859" s="47"/>
    </row>
    <row r="860" ht="15.75" customHeight="1">
      <c r="A860" s="47"/>
      <c r="B860" s="47"/>
      <c r="C860" s="47"/>
      <c r="D860" s="47"/>
      <c r="E860" s="47"/>
      <c r="F860" s="47"/>
      <c r="G860" s="47"/>
    </row>
    <row r="861" ht="15.75" customHeight="1">
      <c r="A861" s="47"/>
      <c r="B861" s="47"/>
      <c r="C861" s="47"/>
      <c r="D861" s="47"/>
      <c r="E861" s="47"/>
      <c r="F861" s="47"/>
      <c r="G861" s="47"/>
    </row>
    <row r="862" ht="15.75" customHeight="1">
      <c r="A862" s="47"/>
      <c r="B862" s="47"/>
      <c r="C862" s="47"/>
      <c r="D862" s="47"/>
      <c r="E862" s="47"/>
      <c r="F862" s="47"/>
      <c r="G862" s="47"/>
    </row>
    <row r="863" ht="15.75" customHeight="1">
      <c r="A863" s="47"/>
      <c r="B863" s="47"/>
      <c r="C863" s="47"/>
      <c r="D863" s="47"/>
      <c r="E863" s="47"/>
      <c r="F863" s="47"/>
      <c r="G863" s="47"/>
    </row>
    <row r="864" ht="15.75" customHeight="1">
      <c r="A864" s="47"/>
      <c r="B864" s="47"/>
      <c r="C864" s="47"/>
      <c r="D864" s="47"/>
      <c r="E864" s="47"/>
      <c r="F864" s="47"/>
      <c r="G864" s="47"/>
    </row>
    <row r="865" ht="15.75" customHeight="1">
      <c r="A865" s="47"/>
      <c r="B865" s="47"/>
      <c r="C865" s="47"/>
      <c r="D865" s="47"/>
      <c r="E865" s="47"/>
      <c r="F865" s="47"/>
      <c r="G865" s="47"/>
    </row>
    <row r="866" ht="15.75" customHeight="1">
      <c r="A866" s="47"/>
      <c r="B866" s="47"/>
      <c r="C866" s="47"/>
      <c r="D866" s="47"/>
      <c r="E866" s="47"/>
      <c r="F866" s="47"/>
      <c r="G866" s="47"/>
    </row>
    <row r="867" ht="15.75" customHeight="1">
      <c r="A867" s="47"/>
      <c r="B867" s="47"/>
      <c r="C867" s="47"/>
      <c r="D867" s="47"/>
      <c r="E867" s="47"/>
      <c r="F867" s="47"/>
      <c r="G867" s="47"/>
    </row>
    <row r="868" ht="15.75" customHeight="1">
      <c r="A868" s="47"/>
      <c r="B868" s="47"/>
      <c r="C868" s="47"/>
      <c r="D868" s="47"/>
      <c r="E868" s="47"/>
      <c r="F868" s="47"/>
      <c r="G868" s="47"/>
    </row>
    <row r="869" ht="15.75" customHeight="1">
      <c r="A869" s="47"/>
      <c r="B869" s="47"/>
      <c r="C869" s="47"/>
      <c r="D869" s="47"/>
      <c r="E869" s="47"/>
      <c r="F869" s="47"/>
      <c r="G869" s="47"/>
    </row>
    <row r="870" ht="15.75" customHeight="1">
      <c r="A870" s="47"/>
      <c r="B870" s="47"/>
      <c r="C870" s="47"/>
      <c r="D870" s="47"/>
      <c r="E870" s="47"/>
      <c r="F870" s="47"/>
      <c r="G870" s="47"/>
    </row>
    <row r="871" ht="15.75" customHeight="1">
      <c r="A871" s="47"/>
      <c r="B871" s="47"/>
      <c r="C871" s="47"/>
      <c r="D871" s="47"/>
      <c r="E871" s="47"/>
      <c r="F871" s="47"/>
      <c r="G871" s="47"/>
    </row>
    <row r="872" ht="15.75" customHeight="1">
      <c r="A872" s="47"/>
      <c r="B872" s="47"/>
      <c r="C872" s="47"/>
      <c r="D872" s="47"/>
      <c r="E872" s="47"/>
      <c r="F872" s="47"/>
      <c r="G872" s="47"/>
    </row>
    <row r="873" ht="15.75" customHeight="1">
      <c r="A873" s="47"/>
      <c r="B873" s="47"/>
      <c r="C873" s="47"/>
      <c r="D873" s="47"/>
      <c r="E873" s="47"/>
      <c r="F873" s="47"/>
      <c r="G873" s="47"/>
    </row>
    <row r="874" ht="15.75" customHeight="1">
      <c r="A874" s="47"/>
      <c r="B874" s="47"/>
      <c r="C874" s="47"/>
      <c r="D874" s="47"/>
      <c r="E874" s="47"/>
      <c r="F874" s="47"/>
      <c r="G874" s="47"/>
    </row>
    <row r="875" ht="15.75" customHeight="1">
      <c r="A875" s="47"/>
      <c r="B875" s="47"/>
      <c r="C875" s="47"/>
      <c r="D875" s="47"/>
      <c r="E875" s="47"/>
      <c r="F875" s="47"/>
      <c r="G875" s="47"/>
    </row>
    <row r="876" ht="15.75" customHeight="1">
      <c r="A876" s="47"/>
      <c r="B876" s="47"/>
      <c r="C876" s="47"/>
      <c r="D876" s="47"/>
      <c r="E876" s="47"/>
      <c r="F876" s="47"/>
      <c r="G876" s="47"/>
    </row>
    <row r="877" ht="15.75" customHeight="1">
      <c r="A877" s="47"/>
      <c r="B877" s="47"/>
      <c r="C877" s="47"/>
      <c r="D877" s="47"/>
      <c r="E877" s="47"/>
      <c r="F877" s="47"/>
      <c r="G877" s="47"/>
    </row>
    <row r="878" ht="15.75" customHeight="1">
      <c r="A878" s="47"/>
      <c r="B878" s="47"/>
      <c r="C878" s="47"/>
      <c r="D878" s="47"/>
      <c r="E878" s="47"/>
      <c r="F878" s="47"/>
      <c r="G878" s="47"/>
    </row>
    <row r="879" ht="15.75" customHeight="1">
      <c r="A879" s="47"/>
      <c r="B879" s="47"/>
      <c r="C879" s="47"/>
      <c r="D879" s="47"/>
      <c r="E879" s="47"/>
      <c r="F879" s="47"/>
      <c r="G879" s="47"/>
    </row>
    <row r="880" ht="15.75" customHeight="1">
      <c r="A880" s="47"/>
      <c r="B880" s="47"/>
      <c r="C880" s="47"/>
      <c r="D880" s="47"/>
      <c r="E880" s="47"/>
      <c r="F880" s="47"/>
      <c r="G880" s="47"/>
    </row>
    <row r="881" ht="15.75" customHeight="1">
      <c r="A881" s="47"/>
      <c r="B881" s="47"/>
      <c r="C881" s="47"/>
      <c r="D881" s="47"/>
      <c r="E881" s="47"/>
      <c r="F881" s="47"/>
      <c r="G881" s="47"/>
    </row>
    <row r="882" ht="15.75" customHeight="1">
      <c r="A882" s="47"/>
      <c r="B882" s="47"/>
      <c r="C882" s="47"/>
      <c r="D882" s="47"/>
      <c r="E882" s="47"/>
      <c r="F882" s="47"/>
      <c r="G882" s="47"/>
    </row>
    <row r="883" ht="15.75" customHeight="1">
      <c r="A883" s="47"/>
      <c r="B883" s="47"/>
      <c r="C883" s="47"/>
      <c r="D883" s="47"/>
      <c r="E883" s="47"/>
      <c r="F883" s="47"/>
      <c r="G883" s="47"/>
    </row>
    <row r="884" ht="15.75" customHeight="1">
      <c r="A884" s="47"/>
      <c r="B884" s="47"/>
      <c r="C884" s="47"/>
      <c r="D884" s="47"/>
      <c r="E884" s="47"/>
      <c r="F884" s="47"/>
      <c r="G884" s="47"/>
    </row>
    <row r="885" ht="15.75" customHeight="1">
      <c r="A885" s="47"/>
      <c r="B885" s="47"/>
      <c r="C885" s="47"/>
      <c r="D885" s="47"/>
      <c r="E885" s="47"/>
      <c r="F885" s="47"/>
      <c r="G885" s="47"/>
    </row>
    <row r="886" ht="15.75" customHeight="1">
      <c r="A886" s="47"/>
      <c r="B886" s="47"/>
      <c r="C886" s="47"/>
      <c r="D886" s="47"/>
      <c r="E886" s="47"/>
      <c r="F886" s="47"/>
      <c r="G886" s="47"/>
    </row>
    <row r="887" ht="15.75" customHeight="1">
      <c r="A887" s="47"/>
      <c r="B887" s="47"/>
      <c r="C887" s="47"/>
      <c r="D887" s="47"/>
      <c r="E887" s="47"/>
      <c r="F887" s="47"/>
      <c r="G887" s="47"/>
    </row>
    <row r="888" ht="15.75" customHeight="1">
      <c r="A888" s="47"/>
      <c r="B888" s="47"/>
      <c r="C888" s="47"/>
      <c r="D888" s="47"/>
      <c r="E888" s="47"/>
      <c r="F888" s="47"/>
      <c r="G888" s="47"/>
    </row>
    <row r="889" ht="15.75" customHeight="1">
      <c r="A889" s="47"/>
      <c r="B889" s="47"/>
      <c r="C889" s="47"/>
      <c r="D889" s="47"/>
      <c r="E889" s="47"/>
      <c r="F889" s="47"/>
      <c r="G889" s="47"/>
    </row>
    <row r="890" ht="15.75" customHeight="1">
      <c r="A890" s="47"/>
      <c r="B890" s="47"/>
      <c r="C890" s="47"/>
      <c r="D890" s="47"/>
      <c r="E890" s="47"/>
      <c r="F890" s="47"/>
      <c r="G890" s="47"/>
    </row>
    <row r="891" ht="15.75" customHeight="1">
      <c r="A891" s="47"/>
      <c r="B891" s="47"/>
      <c r="C891" s="47"/>
      <c r="D891" s="47"/>
      <c r="E891" s="47"/>
      <c r="F891" s="47"/>
      <c r="G891" s="47"/>
    </row>
    <row r="892" ht="15.75" customHeight="1">
      <c r="A892" s="47"/>
      <c r="B892" s="47"/>
      <c r="C892" s="47"/>
      <c r="D892" s="47"/>
      <c r="E892" s="47"/>
      <c r="F892" s="47"/>
      <c r="G892" s="47"/>
    </row>
    <row r="893" ht="15.75" customHeight="1">
      <c r="A893" s="47"/>
      <c r="B893" s="47"/>
      <c r="C893" s="47"/>
      <c r="D893" s="47"/>
      <c r="E893" s="47"/>
      <c r="F893" s="47"/>
      <c r="G893" s="47"/>
    </row>
    <row r="894" ht="15.75" customHeight="1">
      <c r="A894" s="47"/>
      <c r="B894" s="47"/>
      <c r="C894" s="47"/>
      <c r="D894" s="47"/>
      <c r="E894" s="47"/>
      <c r="F894" s="47"/>
      <c r="G894" s="47"/>
    </row>
    <row r="895" ht="15.75" customHeight="1">
      <c r="A895" s="47"/>
      <c r="B895" s="47"/>
      <c r="C895" s="47"/>
      <c r="D895" s="47"/>
      <c r="E895" s="47"/>
      <c r="F895" s="47"/>
      <c r="G895" s="47"/>
    </row>
    <row r="896" ht="15.75" customHeight="1">
      <c r="A896" s="47"/>
      <c r="B896" s="47"/>
      <c r="C896" s="47"/>
      <c r="D896" s="47"/>
      <c r="E896" s="47"/>
      <c r="F896" s="47"/>
      <c r="G896" s="47"/>
    </row>
    <row r="897" ht="15.75" customHeight="1">
      <c r="A897" s="47"/>
      <c r="B897" s="47"/>
      <c r="C897" s="47"/>
      <c r="D897" s="47"/>
      <c r="E897" s="47"/>
      <c r="F897" s="47"/>
      <c r="G897" s="47"/>
    </row>
    <row r="898" ht="15.75" customHeight="1">
      <c r="A898" s="47"/>
      <c r="B898" s="47"/>
      <c r="C898" s="47"/>
      <c r="D898" s="47"/>
      <c r="E898" s="47"/>
      <c r="F898" s="47"/>
      <c r="G898" s="47"/>
    </row>
    <row r="899" ht="15.75" customHeight="1">
      <c r="A899" s="47"/>
      <c r="B899" s="47"/>
      <c r="C899" s="47"/>
      <c r="D899" s="47"/>
      <c r="E899" s="47"/>
      <c r="F899" s="47"/>
      <c r="G899" s="47"/>
    </row>
    <row r="900" ht="15.75" customHeight="1">
      <c r="A900" s="47"/>
      <c r="B900" s="47"/>
      <c r="C900" s="47"/>
      <c r="D900" s="47"/>
      <c r="E900" s="47"/>
      <c r="F900" s="47"/>
      <c r="G900" s="47"/>
    </row>
    <row r="901" ht="15.75" customHeight="1">
      <c r="A901" s="47"/>
      <c r="B901" s="47"/>
      <c r="C901" s="47"/>
      <c r="D901" s="47"/>
      <c r="E901" s="47"/>
      <c r="F901" s="47"/>
      <c r="G901" s="47"/>
    </row>
    <row r="902" ht="15.75" customHeight="1">
      <c r="A902" s="47"/>
      <c r="B902" s="47"/>
      <c r="C902" s="47"/>
      <c r="D902" s="47"/>
      <c r="E902" s="47"/>
      <c r="F902" s="47"/>
      <c r="G902" s="47"/>
    </row>
    <row r="903" ht="15.75" customHeight="1">
      <c r="A903" s="47"/>
      <c r="B903" s="47"/>
      <c r="C903" s="47"/>
      <c r="D903" s="47"/>
      <c r="E903" s="47"/>
      <c r="F903" s="47"/>
      <c r="G903" s="47"/>
    </row>
    <row r="904" ht="15.75" customHeight="1">
      <c r="A904" s="47"/>
      <c r="B904" s="47"/>
      <c r="C904" s="47"/>
      <c r="D904" s="47"/>
      <c r="E904" s="47"/>
      <c r="F904" s="47"/>
      <c r="G904" s="47"/>
    </row>
    <row r="905" ht="15.75" customHeight="1">
      <c r="A905" s="47"/>
      <c r="B905" s="47"/>
      <c r="C905" s="47"/>
      <c r="D905" s="47"/>
      <c r="E905" s="47"/>
      <c r="F905" s="47"/>
      <c r="G905" s="47"/>
    </row>
    <row r="906" ht="15.75" customHeight="1">
      <c r="A906" s="47"/>
      <c r="B906" s="47"/>
      <c r="C906" s="47"/>
      <c r="D906" s="47"/>
      <c r="E906" s="47"/>
      <c r="F906" s="47"/>
      <c r="G906" s="47"/>
    </row>
    <row r="907" ht="15.75" customHeight="1">
      <c r="A907" s="47"/>
      <c r="B907" s="47"/>
      <c r="C907" s="47"/>
      <c r="D907" s="47"/>
      <c r="E907" s="47"/>
      <c r="F907" s="47"/>
      <c r="G907" s="47"/>
    </row>
    <row r="908" ht="15.75" customHeight="1">
      <c r="A908" s="47"/>
      <c r="B908" s="47"/>
      <c r="C908" s="47"/>
      <c r="D908" s="47"/>
      <c r="E908" s="47"/>
      <c r="F908" s="47"/>
      <c r="G908" s="47"/>
    </row>
    <row r="909" ht="15.75" customHeight="1">
      <c r="A909" s="47"/>
      <c r="B909" s="47"/>
      <c r="C909" s="47"/>
      <c r="D909" s="47"/>
      <c r="E909" s="47"/>
      <c r="F909" s="47"/>
      <c r="G909" s="47"/>
    </row>
    <row r="910" ht="15.75" customHeight="1">
      <c r="A910" s="47"/>
      <c r="B910" s="47"/>
      <c r="C910" s="47"/>
      <c r="D910" s="47"/>
      <c r="E910" s="47"/>
      <c r="F910" s="47"/>
      <c r="G910" s="47"/>
    </row>
    <row r="911" ht="15.75" customHeight="1">
      <c r="A911" s="47"/>
      <c r="B911" s="47"/>
      <c r="C911" s="47"/>
      <c r="D911" s="47"/>
      <c r="E911" s="47"/>
      <c r="F911" s="47"/>
      <c r="G911" s="47"/>
    </row>
    <row r="912" ht="15.75" customHeight="1">
      <c r="A912" s="47"/>
      <c r="B912" s="47"/>
      <c r="C912" s="47"/>
      <c r="D912" s="47"/>
      <c r="E912" s="47"/>
      <c r="F912" s="47"/>
      <c r="G912" s="47"/>
    </row>
    <row r="913" ht="15.75" customHeight="1">
      <c r="A913" s="47"/>
      <c r="B913" s="47"/>
      <c r="C913" s="47"/>
      <c r="D913" s="47"/>
      <c r="E913" s="47"/>
      <c r="F913" s="47"/>
      <c r="G913" s="47"/>
    </row>
    <row r="914" ht="15.75" customHeight="1">
      <c r="A914" s="47"/>
      <c r="B914" s="47"/>
      <c r="C914" s="47"/>
      <c r="D914" s="47"/>
      <c r="E914" s="47"/>
      <c r="F914" s="47"/>
      <c r="G914" s="47"/>
    </row>
    <row r="915" ht="15.75" customHeight="1">
      <c r="A915" s="47"/>
      <c r="B915" s="47"/>
      <c r="C915" s="47"/>
      <c r="D915" s="47"/>
      <c r="E915" s="47"/>
      <c r="F915" s="47"/>
      <c r="G915" s="47"/>
    </row>
    <row r="916" ht="15.75" customHeight="1">
      <c r="A916" s="47"/>
      <c r="B916" s="47"/>
      <c r="C916" s="47"/>
      <c r="D916" s="47"/>
      <c r="E916" s="47"/>
      <c r="F916" s="47"/>
      <c r="G916" s="47"/>
    </row>
    <row r="917" ht="15.75" customHeight="1">
      <c r="A917" s="47"/>
      <c r="B917" s="47"/>
      <c r="C917" s="47"/>
      <c r="D917" s="47"/>
      <c r="E917" s="47"/>
      <c r="F917" s="47"/>
      <c r="G917" s="47"/>
    </row>
    <row r="918" ht="15.75" customHeight="1">
      <c r="A918" s="47"/>
      <c r="B918" s="47"/>
      <c r="C918" s="47"/>
      <c r="D918" s="47"/>
      <c r="E918" s="47"/>
      <c r="F918" s="47"/>
      <c r="G918" s="47"/>
    </row>
    <row r="919" ht="15.75" customHeight="1">
      <c r="A919" s="47"/>
      <c r="B919" s="47"/>
      <c r="C919" s="47"/>
      <c r="D919" s="47"/>
      <c r="E919" s="47"/>
      <c r="F919" s="47"/>
      <c r="G919" s="47"/>
    </row>
    <row r="920" ht="15.75" customHeight="1">
      <c r="A920" s="47"/>
      <c r="B920" s="47"/>
      <c r="C920" s="47"/>
      <c r="D920" s="47"/>
      <c r="E920" s="47"/>
      <c r="F920" s="47"/>
      <c r="G920" s="47"/>
    </row>
    <row r="921" ht="15.75" customHeight="1">
      <c r="A921" s="47"/>
      <c r="B921" s="47"/>
      <c r="C921" s="47"/>
      <c r="D921" s="47"/>
      <c r="E921" s="47"/>
      <c r="F921" s="47"/>
      <c r="G921" s="47"/>
    </row>
    <row r="922" ht="15.75" customHeight="1">
      <c r="A922" s="47"/>
      <c r="B922" s="47"/>
      <c r="C922" s="47"/>
      <c r="D922" s="47"/>
      <c r="E922" s="47"/>
      <c r="F922" s="47"/>
      <c r="G922" s="47"/>
    </row>
    <row r="923" ht="15.75" customHeight="1">
      <c r="A923" s="47"/>
      <c r="B923" s="47"/>
      <c r="C923" s="47"/>
      <c r="D923" s="47"/>
      <c r="E923" s="47"/>
      <c r="F923" s="47"/>
      <c r="G923" s="47"/>
    </row>
    <row r="924" ht="15.75" customHeight="1">
      <c r="A924" s="47"/>
      <c r="B924" s="47"/>
      <c r="C924" s="47"/>
      <c r="D924" s="47"/>
      <c r="E924" s="47"/>
      <c r="F924" s="47"/>
      <c r="G924" s="47"/>
    </row>
    <row r="925" ht="15.75" customHeight="1">
      <c r="A925" s="47"/>
      <c r="B925" s="47"/>
      <c r="C925" s="47"/>
      <c r="D925" s="47"/>
      <c r="E925" s="47"/>
      <c r="F925" s="47"/>
      <c r="G925" s="47"/>
    </row>
    <row r="926" ht="15.75" customHeight="1">
      <c r="A926" s="47"/>
      <c r="B926" s="47"/>
      <c r="C926" s="47"/>
      <c r="D926" s="47"/>
      <c r="E926" s="47"/>
      <c r="F926" s="47"/>
      <c r="G926" s="47"/>
    </row>
    <row r="927" ht="15.75" customHeight="1">
      <c r="A927" s="47"/>
      <c r="B927" s="47"/>
      <c r="C927" s="47"/>
      <c r="D927" s="47"/>
      <c r="E927" s="47"/>
      <c r="F927" s="47"/>
      <c r="G927" s="47"/>
    </row>
    <row r="928" ht="15.75" customHeight="1">
      <c r="A928" s="47"/>
      <c r="B928" s="47"/>
      <c r="C928" s="47"/>
      <c r="D928" s="47"/>
      <c r="E928" s="47"/>
      <c r="F928" s="47"/>
      <c r="G928" s="47"/>
    </row>
    <row r="929" ht="15.75" customHeight="1">
      <c r="A929" s="47"/>
      <c r="B929" s="47"/>
      <c r="C929" s="47"/>
      <c r="D929" s="47"/>
      <c r="E929" s="47"/>
      <c r="F929" s="47"/>
      <c r="G929" s="47"/>
    </row>
    <row r="930" ht="15.75" customHeight="1">
      <c r="A930" s="47"/>
      <c r="B930" s="47"/>
      <c r="C930" s="47"/>
      <c r="D930" s="47"/>
      <c r="E930" s="47"/>
      <c r="F930" s="47"/>
      <c r="G930" s="47"/>
    </row>
    <row r="931" ht="15.75" customHeight="1">
      <c r="A931" s="47"/>
      <c r="B931" s="47"/>
      <c r="C931" s="47"/>
      <c r="D931" s="47"/>
      <c r="E931" s="47"/>
      <c r="F931" s="47"/>
      <c r="G931" s="47"/>
    </row>
    <row r="932" ht="15.75" customHeight="1">
      <c r="A932" s="47"/>
      <c r="B932" s="47"/>
      <c r="C932" s="47"/>
      <c r="D932" s="47"/>
      <c r="E932" s="47"/>
      <c r="F932" s="47"/>
      <c r="G932" s="47"/>
    </row>
    <row r="933" ht="15.75" customHeight="1">
      <c r="A933" s="47"/>
      <c r="B933" s="47"/>
      <c r="C933" s="47"/>
      <c r="D933" s="47"/>
      <c r="E933" s="47"/>
      <c r="F933" s="47"/>
      <c r="G933" s="47"/>
    </row>
    <row r="934" ht="15.75" customHeight="1">
      <c r="A934" s="47"/>
      <c r="B934" s="47"/>
      <c r="C934" s="47"/>
      <c r="D934" s="47"/>
      <c r="E934" s="47"/>
      <c r="F934" s="47"/>
      <c r="G934" s="47"/>
    </row>
    <row r="935" ht="15.75" customHeight="1">
      <c r="A935" s="47"/>
      <c r="B935" s="47"/>
      <c r="C935" s="47"/>
      <c r="D935" s="47"/>
      <c r="E935" s="47"/>
      <c r="F935" s="47"/>
      <c r="G935" s="47"/>
    </row>
    <row r="936" ht="15.75" customHeight="1">
      <c r="A936" s="47"/>
      <c r="B936" s="47"/>
      <c r="C936" s="47"/>
      <c r="D936" s="47"/>
      <c r="E936" s="47"/>
      <c r="F936" s="47"/>
      <c r="G936" s="47"/>
    </row>
    <row r="937" ht="15.75" customHeight="1">
      <c r="A937" s="47"/>
      <c r="B937" s="47"/>
      <c r="C937" s="47"/>
      <c r="D937" s="47"/>
      <c r="E937" s="47"/>
      <c r="F937" s="47"/>
      <c r="G937" s="47"/>
    </row>
    <row r="938" ht="15.75" customHeight="1">
      <c r="A938" s="47"/>
      <c r="B938" s="47"/>
      <c r="C938" s="47"/>
      <c r="D938" s="47"/>
      <c r="E938" s="47"/>
      <c r="F938" s="47"/>
      <c r="G938" s="47"/>
    </row>
    <row r="939" ht="15.75" customHeight="1">
      <c r="A939" s="47"/>
      <c r="B939" s="47"/>
      <c r="C939" s="47"/>
      <c r="D939" s="47"/>
      <c r="E939" s="47"/>
      <c r="F939" s="47"/>
      <c r="G939" s="47"/>
    </row>
    <row r="940" ht="15.75" customHeight="1">
      <c r="A940" s="47"/>
      <c r="B940" s="47"/>
      <c r="C940" s="47"/>
      <c r="D940" s="47"/>
      <c r="E940" s="47"/>
      <c r="F940" s="47"/>
      <c r="G940" s="47"/>
    </row>
    <row r="941" ht="15.75" customHeight="1">
      <c r="A941" s="47"/>
      <c r="B941" s="47"/>
      <c r="C941" s="47"/>
      <c r="D941" s="47"/>
      <c r="E941" s="47"/>
      <c r="F941" s="47"/>
      <c r="G941" s="47"/>
    </row>
    <row r="942" ht="15.75" customHeight="1">
      <c r="A942" s="47"/>
      <c r="B942" s="47"/>
      <c r="C942" s="47"/>
      <c r="D942" s="47"/>
      <c r="E942" s="47"/>
      <c r="F942" s="47"/>
      <c r="G942" s="47"/>
    </row>
    <row r="943" ht="15.75" customHeight="1">
      <c r="A943" s="47"/>
      <c r="B943" s="47"/>
      <c r="C943" s="47"/>
      <c r="D943" s="47"/>
      <c r="E943" s="47"/>
      <c r="F943" s="47"/>
      <c r="G943" s="47"/>
    </row>
    <row r="944" ht="15.75" customHeight="1">
      <c r="A944" s="47"/>
      <c r="B944" s="47"/>
      <c r="C944" s="47"/>
      <c r="D944" s="47"/>
      <c r="E944" s="47"/>
      <c r="F944" s="47"/>
      <c r="G944" s="47"/>
    </row>
    <row r="945" ht="15.75" customHeight="1">
      <c r="A945" s="47"/>
      <c r="B945" s="47"/>
      <c r="C945" s="47"/>
      <c r="D945" s="47"/>
      <c r="E945" s="47"/>
      <c r="F945" s="47"/>
      <c r="G945" s="47"/>
    </row>
    <row r="946" ht="15.75" customHeight="1">
      <c r="A946" s="47"/>
      <c r="B946" s="47"/>
      <c r="C946" s="47"/>
      <c r="D946" s="47"/>
      <c r="E946" s="47"/>
      <c r="F946" s="47"/>
      <c r="G946" s="47"/>
    </row>
    <row r="947" ht="15.75" customHeight="1">
      <c r="A947" s="47"/>
      <c r="B947" s="47"/>
      <c r="C947" s="47"/>
      <c r="D947" s="47"/>
      <c r="E947" s="47"/>
      <c r="F947" s="47"/>
      <c r="G947" s="47"/>
    </row>
    <row r="948" ht="15.75" customHeight="1">
      <c r="A948" s="47"/>
      <c r="B948" s="47"/>
      <c r="C948" s="47"/>
      <c r="D948" s="47"/>
      <c r="E948" s="47"/>
      <c r="F948" s="47"/>
      <c r="G948" s="47"/>
    </row>
    <row r="949" ht="15.75" customHeight="1">
      <c r="A949" s="47"/>
      <c r="B949" s="47"/>
      <c r="C949" s="47"/>
      <c r="D949" s="47"/>
      <c r="E949" s="47"/>
      <c r="F949" s="47"/>
      <c r="G949" s="47"/>
    </row>
    <row r="950" ht="15.75" customHeight="1">
      <c r="A950" s="47"/>
      <c r="B950" s="47"/>
      <c r="C950" s="47"/>
      <c r="D950" s="47"/>
      <c r="E950" s="47"/>
      <c r="F950" s="47"/>
      <c r="G950" s="47"/>
    </row>
    <row r="951" ht="15.75" customHeight="1">
      <c r="A951" s="47"/>
      <c r="B951" s="47"/>
      <c r="C951" s="47"/>
      <c r="D951" s="47"/>
      <c r="E951" s="47"/>
      <c r="F951" s="47"/>
      <c r="G951" s="47"/>
    </row>
    <row r="952" ht="15.75" customHeight="1">
      <c r="A952" s="47"/>
      <c r="B952" s="47"/>
      <c r="C952" s="47"/>
      <c r="D952" s="47"/>
      <c r="E952" s="47"/>
      <c r="F952" s="47"/>
      <c r="G952" s="47"/>
    </row>
    <row r="953" ht="15.75" customHeight="1">
      <c r="A953" s="47"/>
      <c r="B953" s="47"/>
      <c r="C953" s="47"/>
      <c r="D953" s="47"/>
      <c r="E953" s="47"/>
      <c r="F953" s="47"/>
      <c r="G953" s="47"/>
    </row>
    <row r="954" ht="15.75" customHeight="1">
      <c r="A954" s="47"/>
      <c r="B954" s="47"/>
      <c r="C954" s="47"/>
      <c r="D954" s="47"/>
      <c r="E954" s="47"/>
      <c r="F954" s="47"/>
      <c r="G954" s="47"/>
    </row>
    <row r="955" ht="15.75" customHeight="1">
      <c r="A955" s="47"/>
      <c r="B955" s="47"/>
      <c r="C955" s="47"/>
      <c r="D955" s="47"/>
      <c r="E955" s="47"/>
      <c r="F955" s="47"/>
      <c r="G955" s="47"/>
    </row>
    <row r="956" ht="15.75" customHeight="1">
      <c r="A956" s="47"/>
      <c r="B956" s="47"/>
      <c r="C956" s="47"/>
      <c r="D956" s="47"/>
      <c r="E956" s="47"/>
      <c r="F956" s="47"/>
      <c r="G956" s="47"/>
    </row>
    <row r="957" ht="15.75" customHeight="1">
      <c r="A957" s="47"/>
      <c r="B957" s="47"/>
      <c r="C957" s="47"/>
      <c r="D957" s="47"/>
      <c r="E957" s="47"/>
      <c r="F957" s="47"/>
      <c r="G957" s="47"/>
    </row>
    <row r="958" ht="15.75" customHeight="1">
      <c r="A958" s="47"/>
      <c r="B958" s="47"/>
      <c r="C958" s="47"/>
      <c r="D958" s="47"/>
      <c r="E958" s="47"/>
      <c r="F958" s="47"/>
      <c r="G958" s="47"/>
    </row>
    <row r="959" ht="15.75" customHeight="1">
      <c r="A959" s="47"/>
      <c r="B959" s="47"/>
      <c r="C959" s="47"/>
      <c r="D959" s="47"/>
      <c r="E959" s="47"/>
      <c r="F959" s="47"/>
      <c r="G959" s="47"/>
    </row>
    <row r="960" ht="15.75" customHeight="1">
      <c r="A960" s="47"/>
      <c r="B960" s="47"/>
      <c r="C960" s="47"/>
      <c r="D960" s="47"/>
      <c r="E960" s="47"/>
      <c r="F960" s="47"/>
      <c r="G960" s="47"/>
    </row>
    <row r="961" ht="15.75" customHeight="1">
      <c r="A961" s="47"/>
      <c r="B961" s="47"/>
      <c r="C961" s="47"/>
      <c r="D961" s="47"/>
      <c r="E961" s="47"/>
      <c r="F961" s="47"/>
      <c r="G961" s="47"/>
    </row>
    <row r="962" ht="15.75" customHeight="1">
      <c r="A962" s="47"/>
      <c r="B962" s="47"/>
      <c r="C962" s="47"/>
      <c r="D962" s="47"/>
      <c r="E962" s="47"/>
      <c r="F962" s="47"/>
      <c r="G962" s="47"/>
    </row>
    <row r="963" ht="15.75" customHeight="1">
      <c r="A963" s="47"/>
      <c r="B963" s="47"/>
      <c r="C963" s="47"/>
      <c r="D963" s="47"/>
      <c r="E963" s="47"/>
      <c r="F963" s="47"/>
      <c r="G963" s="47"/>
    </row>
    <row r="964" ht="15.75" customHeight="1">
      <c r="A964" s="47"/>
      <c r="B964" s="47"/>
      <c r="C964" s="47"/>
      <c r="D964" s="47"/>
      <c r="E964" s="47"/>
      <c r="F964" s="47"/>
      <c r="G964" s="47"/>
    </row>
    <row r="965" ht="15.75" customHeight="1">
      <c r="A965" s="47"/>
      <c r="B965" s="47"/>
      <c r="C965" s="47"/>
      <c r="D965" s="47"/>
      <c r="E965" s="47"/>
      <c r="F965" s="47"/>
      <c r="G965" s="47"/>
    </row>
    <row r="966" ht="15.75" customHeight="1">
      <c r="A966" s="47"/>
      <c r="B966" s="47"/>
      <c r="C966" s="47"/>
      <c r="D966" s="47"/>
      <c r="E966" s="47"/>
      <c r="F966" s="47"/>
      <c r="G966" s="47"/>
    </row>
    <row r="967" ht="15.75" customHeight="1">
      <c r="A967" s="47"/>
      <c r="B967" s="47"/>
      <c r="C967" s="47"/>
      <c r="D967" s="47"/>
      <c r="E967" s="47"/>
      <c r="F967" s="47"/>
      <c r="G967" s="47"/>
    </row>
    <row r="968" ht="15.75" customHeight="1">
      <c r="A968" s="47"/>
      <c r="B968" s="47"/>
      <c r="C968" s="47"/>
      <c r="D968" s="47"/>
      <c r="E968" s="47"/>
      <c r="F968" s="47"/>
      <c r="G968" s="47"/>
    </row>
    <row r="969" ht="15.75" customHeight="1">
      <c r="A969" s="47"/>
      <c r="B969" s="47"/>
      <c r="C969" s="47"/>
      <c r="D969" s="47"/>
      <c r="E969" s="47"/>
      <c r="F969" s="47"/>
      <c r="G969" s="47"/>
    </row>
    <row r="970" ht="15.75" customHeight="1">
      <c r="A970" s="47"/>
      <c r="B970" s="47"/>
      <c r="C970" s="47"/>
      <c r="D970" s="47"/>
      <c r="E970" s="47"/>
      <c r="F970" s="47"/>
      <c r="G970" s="47"/>
    </row>
    <row r="971" ht="15.75" customHeight="1">
      <c r="A971" s="47"/>
      <c r="B971" s="47"/>
      <c r="C971" s="47"/>
      <c r="D971" s="47"/>
      <c r="E971" s="47"/>
      <c r="F971" s="47"/>
      <c r="G971" s="47"/>
    </row>
    <row r="972" ht="15.75" customHeight="1">
      <c r="A972" s="47"/>
      <c r="B972" s="47"/>
      <c r="C972" s="47"/>
      <c r="D972" s="47"/>
      <c r="E972" s="47"/>
      <c r="F972" s="47"/>
      <c r="G972" s="47"/>
    </row>
    <row r="973" ht="15.75" customHeight="1">
      <c r="A973" s="47"/>
      <c r="B973" s="47"/>
      <c r="C973" s="47"/>
      <c r="D973" s="47"/>
      <c r="E973" s="47"/>
      <c r="F973" s="47"/>
      <c r="G973" s="47"/>
    </row>
    <row r="974" ht="15.75" customHeight="1">
      <c r="A974" s="47"/>
      <c r="B974" s="47"/>
      <c r="C974" s="47"/>
      <c r="D974" s="47"/>
      <c r="E974" s="47"/>
      <c r="F974" s="47"/>
      <c r="G974" s="47"/>
    </row>
    <row r="975" ht="15.75" customHeight="1">
      <c r="A975" s="47"/>
      <c r="B975" s="47"/>
      <c r="C975" s="47"/>
      <c r="D975" s="47"/>
      <c r="E975" s="47"/>
      <c r="F975" s="47"/>
      <c r="G975" s="47"/>
    </row>
    <row r="976" ht="15.75" customHeight="1">
      <c r="A976" s="47"/>
      <c r="B976" s="47"/>
      <c r="C976" s="47"/>
      <c r="D976" s="47"/>
      <c r="E976" s="47"/>
      <c r="F976" s="47"/>
      <c r="G976" s="47"/>
    </row>
    <row r="977" ht="15.75" customHeight="1">
      <c r="A977" s="47"/>
      <c r="B977" s="47"/>
      <c r="C977" s="47"/>
      <c r="D977" s="47"/>
      <c r="E977" s="47"/>
      <c r="F977" s="47"/>
      <c r="G977" s="47"/>
    </row>
    <row r="978" ht="15.75" customHeight="1">
      <c r="A978" s="47"/>
      <c r="B978" s="47"/>
      <c r="C978" s="47"/>
      <c r="D978" s="47"/>
      <c r="E978" s="47"/>
      <c r="F978" s="47"/>
      <c r="G978" s="47"/>
    </row>
    <row r="979" ht="15.75" customHeight="1">
      <c r="A979" s="47"/>
      <c r="B979" s="47"/>
      <c r="C979" s="47"/>
      <c r="D979" s="47"/>
      <c r="E979" s="47"/>
      <c r="F979" s="47"/>
      <c r="G979" s="47"/>
    </row>
    <row r="980" ht="15.75" customHeight="1">
      <c r="A980" s="47"/>
      <c r="B980" s="47"/>
      <c r="C980" s="47"/>
      <c r="D980" s="47"/>
      <c r="E980" s="47"/>
      <c r="F980" s="47"/>
      <c r="G980" s="47"/>
    </row>
    <row r="981" ht="15.75" customHeight="1">
      <c r="A981" s="47"/>
      <c r="B981" s="47"/>
      <c r="C981" s="47"/>
      <c r="D981" s="47"/>
      <c r="E981" s="47"/>
      <c r="F981" s="47"/>
      <c r="G981" s="47"/>
    </row>
    <row r="982" ht="15.75" customHeight="1">
      <c r="A982" s="47"/>
      <c r="B982" s="47"/>
      <c r="C982" s="47"/>
      <c r="D982" s="47"/>
      <c r="E982" s="47"/>
      <c r="F982" s="47"/>
      <c r="G982" s="47"/>
    </row>
    <row r="983" ht="15.75" customHeight="1">
      <c r="A983" s="47"/>
      <c r="B983" s="47"/>
      <c r="C983" s="47"/>
      <c r="D983" s="47"/>
      <c r="E983" s="47"/>
      <c r="F983" s="47"/>
      <c r="G983" s="47"/>
    </row>
    <row r="984" ht="15.75" customHeight="1">
      <c r="A984" s="47"/>
      <c r="B984" s="47"/>
      <c r="C984" s="47"/>
      <c r="D984" s="47"/>
      <c r="E984" s="47"/>
      <c r="F984" s="47"/>
      <c r="G984" s="47"/>
    </row>
    <row r="985" ht="15.75" customHeight="1">
      <c r="A985" s="47"/>
      <c r="B985" s="47"/>
      <c r="C985" s="47"/>
      <c r="D985" s="47"/>
      <c r="E985" s="47"/>
      <c r="F985" s="47"/>
      <c r="G985" s="47"/>
    </row>
    <row r="986" ht="15.75" customHeight="1">
      <c r="A986" s="47"/>
      <c r="B986" s="47"/>
      <c r="C986" s="47"/>
      <c r="D986" s="47"/>
      <c r="E986" s="47"/>
      <c r="F986" s="47"/>
      <c r="G986" s="47"/>
    </row>
    <row r="987" ht="15.75" customHeight="1">
      <c r="A987" s="47"/>
      <c r="B987" s="47"/>
      <c r="C987" s="47"/>
      <c r="D987" s="47"/>
      <c r="E987" s="47"/>
      <c r="F987" s="47"/>
      <c r="G987" s="47"/>
    </row>
    <row r="988" ht="15.75" customHeight="1">
      <c r="A988" s="47"/>
      <c r="B988" s="47"/>
      <c r="C988" s="47"/>
      <c r="D988" s="47"/>
      <c r="E988" s="47"/>
      <c r="F988" s="47"/>
      <c r="G988" s="47"/>
    </row>
    <row r="989" ht="15.75" customHeight="1">
      <c r="A989" s="47"/>
      <c r="B989" s="47"/>
      <c r="C989" s="47"/>
      <c r="D989" s="47"/>
      <c r="E989" s="47"/>
      <c r="F989" s="47"/>
      <c r="G989" s="47"/>
    </row>
    <row r="990" ht="15.75" customHeight="1">
      <c r="A990" s="47"/>
      <c r="B990" s="47"/>
      <c r="C990" s="47"/>
      <c r="D990" s="47"/>
      <c r="E990" s="47"/>
      <c r="F990" s="47"/>
      <c r="G990" s="47"/>
    </row>
    <row r="991" ht="15.75" customHeight="1">
      <c r="A991" s="47"/>
      <c r="B991" s="47"/>
      <c r="C991" s="47"/>
      <c r="D991" s="47"/>
      <c r="E991" s="47"/>
      <c r="F991" s="47"/>
      <c r="G991" s="47"/>
    </row>
    <row r="992" ht="15.75" customHeight="1">
      <c r="A992" s="47"/>
      <c r="B992" s="47"/>
      <c r="C992" s="47"/>
      <c r="D992" s="47"/>
      <c r="E992" s="47"/>
      <c r="F992" s="47"/>
      <c r="G992" s="47"/>
    </row>
    <row r="993" ht="15.75" customHeight="1">
      <c r="A993" s="47"/>
      <c r="B993" s="47"/>
      <c r="C993" s="47"/>
      <c r="D993" s="47"/>
      <c r="E993" s="47"/>
      <c r="F993" s="47"/>
      <c r="G993" s="47"/>
    </row>
    <row r="994" ht="15.75" customHeight="1">
      <c r="A994" s="47"/>
      <c r="B994" s="47"/>
      <c r="C994" s="47"/>
      <c r="D994" s="47"/>
      <c r="E994" s="47"/>
      <c r="F994" s="47"/>
      <c r="G994" s="47"/>
    </row>
    <row r="995" ht="15.75" customHeight="1">
      <c r="A995" s="47"/>
      <c r="B995" s="47"/>
      <c r="C995" s="47"/>
      <c r="D995" s="47"/>
      <c r="E995" s="47"/>
      <c r="F995" s="47"/>
      <c r="G995" s="47"/>
    </row>
    <row r="996" ht="15.75" customHeight="1">
      <c r="A996" s="47"/>
      <c r="B996" s="47"/>
      <c r="C996" s="47"/>
      <c r="D996" s="47"/>
      <c r="E996" s="47"/>
      <c r="F996" s="47"/>
      <c r="G996" s="47"/>
    </row>
    <row r="997" ht="15.75" customHeight="1">
      <c r="A997" s="47"/>
      <c r="B997" s="47"/>
      <c r="C997" s="47"/>
      <c r="D997" s="47"/>
      <c r="E997" s="47"/>
      <c r="F997" s="47"/>
      <c r="G997" s="47"/>
    </row>
    <row r="998" ht="15.75" customHeight="1">
      <c r="A998" s="47"/>
      <c r="B998" s="47"/>
      <c r="C998" s="47"/>
      <c r="D998" s="47"/>
      <c r="E998" s="47"/>
      <c r="F998" s="47"/>
      <c r="G998" s="47"/>
    </row>
    <row r="999" ht="15.75" customHeight="1">
      <c r="A999" s="47"/>
      <c r="B999" s="47"/>
      <c r="C999" s="47"/>
      <c r="D999" s="47"/>
      <c r="E999" s="47"/>
      <c r="F999" s="47"/>
      <c r="G999" s="47"/>
    </row>
    <row r="1000" ht="15.75" customHeight="1">
      <c r="A1000" s="47"/>
      <c r="B1000" s="47"/>
      <c r="C1000" s="47"/>
      <c r="D1000" s="47"/>
      <c r="E1000" s="47"/>
      <c r="F1000" s="47"/>
      <c r="G1000" s="47"/>
    </row>
  </sheetData>
  <autoFilter ref="$A$3:$E$53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86"/>
    <col customWidth="1" min="2" max="2" width="33.14"/>
    <col customWidth="1" min="3" max="3" width="26.0"/>
    <col customWidth="1" min="4" max="4" width="20.71"/>
    <col customWidth="1" min="5" max="5" width="16.57"/>
    <col customWidth="1" min="6" max="6" width="33.29"/>
  </cols>
  <sheetData>
    <row r="1" ht="17.25" customHeight="1">
      <c r="A1" s="160" t="s">
        <v>1827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0" customHeight="1">
      <c r="A2" s="2" t="s">
        <v>1828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5.0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31.5" customHeight="1">
      <c r="A4" s="92" t="s">
        <v>1829</v>
      </c>
      <c r="B4" s="92" t="s">
        <v>1830</v>
      </c>
      <c r="C4" s="92" t="s">
        <v>1831</v>
      </c>
      <c r="D4" s="92" t="s">
        <v>1832</v>
      </c>
      <c r="E4" s="92" t="s">
        <v>1591</v>
      </c>
      <c r="F4" s="92" t="s">
        <v>1833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0" customHeight="1">
      <c r="A5" s="278" t="s">
        <v>1834</v>
      </c>
      <c r="B5" s="279">
        <f>COUNTIF('2_Data_Pelanggan'!$U:$U,"1/1/1:*")</f>
        <v>11</v>
      </c>
      <c r="C5" s="280">
        <v>128.0</v>
      </c>
      <c r="D5" s="279">
        <f t="shared" ref="D5:D19" si="1">IF(C5="","",C5-B5)</f>
        <v>117</v>
      </c>
      <c r="E5" s="279" t="str">
        <f t="shared" ref="E5:E19" si="2">IF(C5="","Isi kapasitas",IF(D5&lt;=0,"PENUH",IF(D5&lt;=2,"HAMPIR PENUH","Tersedia")))</f>
        <v>Tersedia</v>
      </c>
      <c r="F5" s="13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5.0" customHeight="1">
      <c r="A6" s="281" t="s">
        <v>1835</v>
      </c>
      <c r="B6" s="282">
        <f>COUNTIF('2_Data_Pelanggan'!$U:$U,"1/1/2:*")</f>
        <v>9</v>
      </c>
      <c r="C6" s="280">
        <v>128.0</v>
      </c>
      <c r="D6" s="282">
        <f t="shared" si="1"/>
        <v>119</v>
      </c>
      <c r="E6" s="282" t="str">
        <f t="shared" si="2"/>
        <v>Tersedia</v>
      </c>
      <c r="F6" s="13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0" customHeight="1">
      <c r="A7" s="278" t="s">
        <v>1836</v>
      </c>
      <c r="B7" s="279">
        <f>COUNTIF('2_Data_Pelanggan'!$U:$U,"1/1/3:*")</f>
        <v>20</v>
      </c>
      <c r="C7" s="280">
        <v>128.0</v>
      </c>
      <c r="D7" s="279">
        <f t="shared" si="1"/>
        <v>108</v>
      </c>
      <c r="E7" s="279" t="str">
        <f t="shared" si="2"/>
        <v>Tersedia</v>
      </c>
      <c r="F7" s="138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5.0" customHeight="1">
      <c r="A8" s="281" t="s">
        <v>1837</v>
      </c>
      <c r="B8" s="282">
        <f>COUNTIF('2_Data_Pelanggan'!$U:$U,"1/1/4:*")</f>
        <v>7</v>
      </c>
      <c r="C8" s="280">
        <v>128.0</v>
      </c>
      <c r="D8" s="282">
        <f t="shared" si="1"/>
        <v>121</v>
      </c>
      <c r="E8" s="282" t="str">
        <f t="shared" si="2"/>
        <v>Tersedia</v>
      </c>
      <c r="F8" s="138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5.0" customHeight="1">
      <c r="A9" s="278" t="s">
        <v>1838</v>
      </c>
      <c r="B9" s="279">
        <f>COUNTIF('2_Data_Pelanggan'!$U:$U,"1/1/5:*")</f>
        <v>5</v>
      </c>
      <c r="C9" s="280">
        <v>128.0</v>
      </c>
      <c r="D9" s="279">
        <f t="shared" si="1"/>
        <v>123</v>
      </c>
      <c r="E9" s="279" t="str">
        <f t="shared" si="2"/>
        <v>Tersedia</v>
      </c>
      <c r="F9" s="138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5.0" customHeight="1">
      <c r="A10" s="281" t="s">
        <v>1839</v>
      </c>
      <c r="B10" s="282">
        <f>COUNTIF('2_Data_Pelanggan'!$U:$U,"1/1/7:*")</f>
        <v>15</v>
      </c>
      <c r="C10" s="280">
        <v>128.0</v>
      </c>
      <c r="D10" s="282">
        <f t="shared" si="1"/>
        <v>113</v>
      </c>
      <c r="E10" s="282" t="str">
        <f t="shared" si="2"/>
        <v>Tersedia</v>
      </c>
      <c r="F10" s="138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5.0" customHeight="1">
      <c r="A11" s="278" t="s">
        <v>1840</v>
      </c>
      <c r="B11" s="279">
        <f>COUNTIF('2_Data_Pelanggan'!$U:$U,"1/1/8:*")</f>
        <v>23</v>
      </c>
      <c r="C11" s="280">
        <v>128.0</v>
      </c>
      <c r="D11" s="279">
        <f t="shared" si="1"/>
        <v>105</v>
      </c>
      <c r="E11" s="279" t="str">
        <f t="shared" si="2"/>
        <v>Tersedia</v>
      </c>
      <c r="F11" s="138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5.0" customHeight="1">
      <c r="A12" s="281" t="s">
        <v>1841</v>
      </c>
      <c r="B12" s="282">
        <f>COUNTIF('2_Data_Pelanggan'!$U:$U,"1/1/9:*")</f>
        <v>5</v>
      </c>
      <c r="C12" s="280">
        <v>128.0</v>
      </c>
      <c r="D12" s="282">
        <f t="shared" si="1"/>
        <v>123</v>
      </c>
      <c r="E12" s="282" t="str">
        <f t="shared" si="2"/>
        <v>Tersedia</v>
      </c>
      <c r="F12" s="138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5.0" customHeight="1">
      <c r="A13" s="278" t="s">
        <v>1842</v>
      </c>
      <c r="B13" s="279">
        <f>COUNTIF('2_Data_Pelanggan'!$U:$U,"1/1/10:*")</f>
        <v>9</v>
      </c>
      <c r="C13" s="280">
        <v>128.0</v>
      </c>
      <c r="D13" s="279">
        <f t="shared" si="1"/>
        <v>119</v>
      </c>
      <c r="E13" s="279" t="str">
        <f t="shared" si="2"/>
        <v>Tersedia</v>
      </c>
      <c r="F13" s="138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5.0" customHeight="1">
      <c r="A14" s="281" t="s">
        <v>1843</v>
      </c>
      <c r="B14" s="282">
        <f>COUNTIF('2_Data_Pelanggan'!$U:$U,"1/1/11:*")</f>
        <v>20</v>
      </c>
      <c r="C14" s="280">
        <v>128.0</v>
      </c>
      <c r="D14" s="282">
        <f t="shared" si="1"/>
        <v>108</v>
      </c>
      <c r="E14" s="282" t="str">
        <f t="shared" si="2"/>
        <v>Tersedia</v>
      </c>
      <c r="F14" s="138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5.0" customHeight="1">
      <c r="A15" s="278" t="s">
        <v>1844</v>
      </c>
      <c r="B15" s="279">
        <f>COUNTIF('2_Data_Pelanggan'!$U:$U,"1/1/12:*")</f>
        <v>9</v>
      </c>
      <c r="C15" s="280">
        <v>128.0</v>
      </c>
      <c r="D15" s="279">
        <f t="shared" si="1"/>
        <v>119</v>
      </c>
      <c r="E15" s="279" t="str">
        <f t="shared" si="2"/>
        <v>Tersedia</v>
      </c>
      <c r="F15" s="138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0" customHeight="1">
      <c r="A16" s="281" t="s">
        <v>1845</v>
      </c>
      <c r="B16" s="282">
        <f>COUNTIF('2_Data_Pelanggan'!$U:$U,"1/1/13:*")</f>
        <v>12</v>
      </c>
      <c r="C16" s="280">
        <v>128.0</v>
      </c>
      <c r="D16" s="282">
        <f t="shared" si="1"/>
        <v>116</v>
      </c>
      <c r="E16" s="282" t="str">
        <f t="shared" si="2"/>
        <v>Tersedia</v>
      </c>
      <c r="F16" s="13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5.0" customHeight="1">
      <c r="A17" s="278" t="s">
        <v>1846</v>
      </c>
      <c r="B17" s="279">
        <f>COUNTIF('2_Data_Pelanggan'!$U:$U,"1/1/14:*")</f>
        <v>7</v>
      </c>
      <c r="C17" s="280">
        <v>128.0</v>
      </c>
      <c r="D17" s="279">
        <f t="shared" si="1"/>
        <v>121</v>
      </c>
      <c r="E17" s="279" t="str">
        <f t="shared" si="2"/>
        <v>Tersedia</v>
      </c>
      <c r="F17" s="13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5.0" customHeight="1">
      <c r="A18" s="281" t="s">
        <v>1847</v>
      </c>
      <c r="B18" s="282">
        <f>COUNTIF('2_Data_Pelanggan'!$U:$U,"1/1/15:*")</f>
        <v>2</v>
      </c>
      <c r="C18" s="280">
        <v>128.0</v>
      </c>
      <c r="D18" s="282">
        <f t="shared" si="1"/>
        <v>126</v>
      </c>
      <c r="E18" s="282" t="str">
        <f t="shared" si="2"/>
        <v>Tersedia</v>
      </c>
      <c r="F18" s="13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5.0" customHeight="1">
      <c r="A19" s="278" t="s">
        <v>1848</v>
      </c>
      <c r="B19" s="279">
        <f>COUNTIF('2_Data_Pelanggan'!$U:$U,"1/1/16:*")</f>
        <v>13</v>
      </c>
      <c r="C19" s="280">
        <v>128.0</v>
      </c>
      <c r="D19" s="279">
        <f t="shared" si="1"/>
        <v>115</v>
      </c>
      <c r="E19" s="279" t="str">
        <f t="shared" si="2"/>
        <v>Tersedia</v>
      </c>
      <c r="F19" s="13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0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4:$F$19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86"/>
    <col customWidth="1" min="2" max="2" width="27.57"/>
    <col customWidth="1" min="3" max="3" width="26.29"/>
    <col customWidth="1" min="4" max="4" width="21.29"/>
    <col customWidth="1" min="5" max="5" width="31.0"/>
    <col customWidth="1" min="6" max="10" width="21.29"/>
    <col customWidth="1" min="11" max="27" width="16.0"/>
  </cols>
  <sheetData>
    <row r="1" ht="17.25" customHeight="1">
      <c r="A1" s="283"/>
      <c r="B1" s="283" t="s">
        <v>1849</v>
      </c>
      <c r="K1" s="167"/>
      <c r="L1" s="90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</row>
    <row r="2" ht="15.0" customHeight="1">
      <c r="A2" s="90"/>
      <c r="B2" s="90"/>
      <c r="C2" s="90"/>
      <c r="D2" s="90"/>
      <c r="E2" s="57"/>
      <c r="F2" s="90"/>
      <c r="G2" s="90"/>
      <c r="H2" s="90"/>
      <c r="I2" s="90"/>
      <c r="J2" s="90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</row>
    <row r="3" ht="33.75" customHeight="1">
      <c r="A3" s="284" t="s">
        <v>144</v>
      </c>
      <c r="B3" s="92" t="s">
        <v>1850</v>
      </c>
      <c r="C3" s="92" t="s">
        <v>1851</v>
      </c>
      <c r="D3" s="92" t="s">
        <v>1592</v>
      </c>
      <c r="E3" s="92" t="s">
        <v>1593</v>
      </c>
      <c r="F3" s="92" t="s">
        <v>1795</v>
      </c>
      <c r="G3" s="92" t="s">
        <v>1852</v>
      </c>
      <c r="H3" s="92" t="s">
        <v>1853</v>
      </c>
      <c r="I3" s="92" t="s">
        <v>1854</v>
      </c>
      <c r="J3" s="92" t="s">
        <v>1855</v>
      </c>
      <c r="K3" s="93" t="s">
        <v>1856</v>
      </c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</row>
    <row r="4" ht="15.0" customHeight="1">
      <c r="A4" s="285">
        <v>1.0</v>
      </c>
      <c r="B4" s="286" t="s">
        <v>196</v>
      </c>
      <c r="C4" s="286" t="s">
        <v>1857</v>
      </c>
      <c r="D4" s="287" t="str">
        <f t="array" ref="D4">IFERROR(INDEX('2_Data_Pelanggan'!$B$5:$B$499,MATCH($B4,'2_Data_Pelanggan'!$O$5:$O$499,0)),"")</f>
        <v>ARM-0001</v>
      </c>
      <c r="E4" s="288" t="str">
        <f t="array" ref="E4">IFERROR(INDEX('2_Data_Pelanggan'!$D$5:$D$499,MATCH($B4,'2_Data_Pelanggan'!$O$5:$O$499,0)),"")</f>
        <v>KANTOR</v>
      </c>
      <c r="F4" s="226" t="str">
        <f t="array" ref="F4">IFERROR(INDEX('2_Data_Pelanggan'!$H$5:$H$499,MATCH($B4,'2_Data_Pelanggan'!$O$5:$O$499,0)),"")</f>
        <v/>
      </c>
      <c r="G4" s="216" t="str">
        <f t="array" ref="G4">IFERROR(INDEX('2_Data_Pelanggan'!$I$5:$I$499,MATCH($B4,'2_Data_Pelanggan'!$O$5:$O$499,0))&amp;"/"&amp;INDEX('2_Data_Pelanggan'!$J$5:$J$499,MATCH($B4,'2_Data_Pelanggan'!$O$5:$O$499,0)),"")</f>
        <v>/</v>
      </c>
      <c r="H4" s="287">
        <f t="array" ref="H4">IFERROR(INDEX('2_Data_Pelanggan'!$M$5:$M$499,MATCH($B4,'2_Data_Pelanggan'!$O$5:$O$499,0)),"")</f>
        <v>100</v>
      </c>
      <c r="I4" s="287" t="str">
        <f t="array" ref="I4">IFERROR(INDEX('2_Data_Pelanggan'!$W$5:$W$499,MATCH($B4,'2_Data_Pelanggan'!$O$5:$O$499,0)),"")</f>
        <v>Aktif</v>
      </c>
      <c r="J4" s="107" t="str">
        <f t="array" ref="J4">IFERROR(IF(INDEX('2_Data_Pelanggan'!$F$5:$F$499,MATCH($B4,'2_Data_Pelanggan'!$O$5:$O$499,0))="","",HYPERLINK("https://wa.me/62"&amp;MID(INDEX('2_Data_Pelanggan'!$F$5:$F$499,MATCH($B4,'2_Data_Pelanggan'!$O$5:$O$499,0)),2,20),"Chat WA")),"")</f>
        <v/>
      </c>
      <c r="K4" s="107" t="str">
        <f t="array" ref="K4">IFERROR(IF(INDEX('2_Data_Pelanggan'!$F$5:$F$499,MATCH($B4,'2_Data_Pelanggan'!$O$5:$O$499,0))="","",HYPERLINK("https://wa.me/62"&amp;MID(INDEX('2_Data_Pelanggan'!$F$5:$F$499,MATCH($B4,'2_Data_Pelanggan'!$O$5:$O$499,0)),2,LEN(INDEX('2_Data_Pelanggan'!$F$5:$F$499,MATCH($B4,'2_Data_Pelanggan'!$O$5:$O$499,0)))-1)&amp;"?text="&amp;SUBSTITUTE(SUBSTITUTE("Selamat "&amp;IF(HOUR(NOW())&lt;11,"Pagi",IF(HOUR(NOW())&lt;15,"Siang",IF(HOUR(NOW())&lt;18,"Sore","Malam")))&amp;" Bapak/Ibu "&amp;E4&amp;","&amp;CHAR(10)&amp;CHAR(10)&amp;"Mohon maaf mengganggu waktunya. Kami dari Tim Teknis ARMEDIA Net mendeteksi jaringan internet di rumah Bapak/Ibu sedang OFFLINE."&amp;CHAR(10)&amp;CHAR(10)&amp;"ID Pelanggan: "&amp;D4&amp;CHAR(10)&amp;CHAR(10)&amp;"Mohon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</row>
    <row r="5" ht="15.0" customHeight="1">
      <c r="A5" s="285">
        <v>2.0</v>
      </c>
      <c r="B5" s="286" t="s">
        <v>1858</v>
      </c>
      <c r="C5" s="286" t="s">
        <v>1857</v>
      </c>
      <c r="D5" s="287" t="str">
        <f t="array" ref="D5">IFERROR(INDEX('2_Data_Pelanggan'!$B$5:$B$499,MATCH($B5,'2_Data_Pelanggan'!$O$5:$O$499,0)),"")</f>
        <v/>
      </c>
      <c r="E5" s="288" t="str">
        <f t="array" ref="E5">IFERROR(INDEX('2_Data_Pelanggan'!$D$5:$D$499,MATCH($B5,'2_Data_Pelanggan'!$O$5:$O$499,0)),"")</f>
        <v/>
      </c>
      <c r="F5" s="226" t="str">
        <f t="array" ref="F5">IFERROR(INDEX('2_Data_Pelanggan'!$H$5:$H$499,MATCH($B5,'2_Data_Pelanggan'!$O$5:$O$499,0)),"")</f>
        <v/>
      </c>
      <c r="G5" s="216" t="str">
        <f t="array" ref="G5">IFERROR(INDEX('2_Data_Pelanggan'!$I$5:$I$499,MATCH($B5,'2_Data_Pelanggan'!$O$5:$O$499,0))&amp;"/"&amp;INDEX('2_Data_Pelanggan'!$J$5:$J$499,MATCH($B5,'2_Data_Pelanggan'!$O$5:$O$499,0)),"")</f>
        <v/>
      </c>
      <c r="H5" s="287" t="str">
        <f t="array" ref="H5">IFERROR(INDEX('2_Data_Pelanggan'!$M$5:$M$499,MATCH($B5,'2_Data_Pelanggan'!$O$5:$O$499,0)),"")</f>
        <v/>
      </c>
      <c r="I5" s="287" t="str">
        <f t="array" ref="I5">IFERROR(INDEX('2_Data_Pelanggan'!$W$5:$W$499,MATCH($B5,'2_Data_Pelanggan'!$O$5:$O$499,0)),"")</f>
        <v/>
      </c>
      <c r="J5" s="107" t="str">
        <f t="array" ref="J5">IFERROR(IF(INDEX('2_Data_Pelanggan'!$F$5:$F$499,MATCH($B5,'2_Data_Pelanggan'!$O$5:$O$499,0))="","",HYPERLINK("https://wa.me/62"&amp;MID(INDEX('2_Data_Pelanggan'!$F$5:$F$499,MATCH($B5,'2_Data_Pelanggan'!$O$5:$O$499,0)),2,20),"Chat WA")),"")</f>
        <v/>
      </c>
      <c r="K5" s="107" t="str">
        <f t="array" ref="K5">IFERROR(IF(INDEX('2_Data_Pelanggan'!$F$5:$F$499,MATCH($B5,'2_Data_Pelanggan'!$O$5:$O$499,0))="","",HYPERLINK("https://wa.me/62"&amp;MID(INDEX('2_Data_Pelanggan'!$F$5:$F$499,MATCH($B5,'2_Data_Pelanggan'!$O$5:$O$499,0)),2,LEN(INDEX('2_Data_Pelanggan'!$F$5:$F$499,MATCH($B5,'2_Data_Pelanggan'!$O$5:$O$499,0)))-1)&amp;"?text="&amp;SUBSTITUTE(SUBSTITUTE("Selamat "&amp;IF(HOUR(NOW())&lt;11,"Pagi",IF(HOUR(NOW())&lt;15,"Siang",IF(HOUR(NOW())&lt;18,"Sore","Malam")))&amp;" Bapak/Ibu "&amp;E5&amp;","&amp;CHAR(10)&amp;CHAR(10)&amp;"Mohon maaf mengganggu waktunya. Kami dari Tim Teknis ARMEDIA Net mendeteksi jaringan internet di rumah Bapak/Ibu sedang OFFLINE."&amp;CHAR(10)&amp;CHAR(10)&amp;"ID Pelanggan: "&amp;D5&amp;CHAR(10)&amp;CHAR(10)&amp;"Mohon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</row>
    <row r="6" ht="15.0" customHeight="1">
      <c r="A6" s="285">
        <v>3.0</v>
      </c>
      <c r="B6" s="286" t="s">
        <v>1859</v>
      </c>
      <c r="C6" s="286" t="s">
        <v>1857</v>
      </c>
      <c r="D6" s="287" t="str">
        <f t="array" ref="D6">IFERROR(INDEX('2_Data_Pelanggan'!$B$5:$B$499,MATCH($B6,'2_Data_Pelanggan'!$O$5:$O$499,0)),"")</f>
        <v/>
      </c>
      <c r="E6" s="288" t="str">
        <f t="array" ref="E6">IFERROR(INDEX('2_Data_Pelanggan'!$D$5:$D$499,MATCH($B6,'2_Data_Pelanggan'!$O$5:$O$499,0)),"")</f>
        <v/>
      </c>
      <c r="F6" s="226" t="str">
        <f t="array" ref="F6">IFERROR(INDEX('2_Data_Pelanggan'!$H$5:$H$499,MATCH($B6,'2_Data_Pelanggan'!$O$5:$O$499,0)),"")</f>
        <v/>
      </c>
      <c r="G6" s="216" t="str">
        <f t="array" ref="G6">IFERROR(INDEX('2_Data_Pelanggan'!$I$5:$I$499,MATCH($B6,'2_Data_Pelanggan'!$O$5:$O$499,0))&amp;"/"&amp;INDEX('2_Data_Pelanggan'!$J$5:$J$499,MATCH($B6,'2_Data_Pelanggan'!$O$5:$O$499,0)),"")</f>
        <v/>
      </c>
      <c r="H6" s="287" t="str">
        <f t="array" ref="H6">IFERROR(INDEX('2_Data_Pelanggan'!$M$5:$M$499,MATCH($B6,'2_Data_Pelanggan'!$O$5:$O$499,0)),"")</f>
        <v/>
      </c>
      <c r="I6" s="287" t="str">
        <f t="array" ref="I6">IFERROR(INDEX('2_Data_Pelanggan'!$W$5:$W$499,MATCH($B6,'2_Data_Pelanggan'!$O$5:$O$499,0)),"")</f>
        <v/>
      </c>
      <c r="J6" s="107" t="str">
        <f t="array" ref="J6">IFERROR(IF(INDEX('2_Data_Pelanggan'!$F$5:$F$499,MATCH($B6,'2_Data_Pelanggan'!$O$5:$O$499,0))="","",HYPERLINK("https://wa.me/62"&amp;MID(INDEX('2_Data_Pelanggan'!$F$5:$F$499,MATCH($B6,'2_Data_Pelanggan'!$O$5:$O$499,0)),2,20),"Chat WA")),"")</f>
        <v/>
      </c>
      <c r="K6" s="107" t="str">
        <f t="array" ref="K6">IFERROR(IF(INDEX('2_Data_Pelanggan'!$F$5:$F$499,MATCH($B6,'2_Data_Pelanggan'!$O$5:$O$499,0))="","",HYPERLINK("https://wa.me/62"&amp;MID(INDEX('2_Data_Pelanggan'!$F$5:$F$499,MATCH($B6,'2_Data_Pelanggan'!$O$5:$O$499,0)),2,LEN(INDEX('2_Data_Pelanggan'!$F$5:$F$499,MATCH($B6,'2_Data_Pelanggan'!$O$5:$O$499,0)))-1)&amp;"?text="&amp;SUBSTITUTE(SUBSTITUTE("Selamat "&amp;IF(HOUR(NOW())&lt;11,"Pagi",IF(HOUR(NOW())&lt;15,"Siang",IF(HOUR(NOW())&lt;18,"Sore","Malam")))&amp;" Bapak/Ibu "&amp;E6&amp;","&amp;CHAR(10)&amp;CHAR(10)&amp;"Mohon maaf mengganggu waktunya. Kami dari Tim Teknis ARMEDIA Net mendeteksi jaringan internet di rumah Bapak/Ibu sedang OFFLINE."&amp;CHAR(10)&amp;CHAR(10)&amp;"ID Pelanggan: "&amp;D6&amp;CHAR(10)&amp;CHAR(10)&amp;"Mohon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</row>
    <row r="7" ht="15.0" customHeight="1">
      <c r="A7" s="285">
        <v>4.0</v>
      </c>
      <c r="B7" s="286" t="s">
        <v>1860</v>
      </c>
      <c r="C7" s="286" t="s">
        <v>1857</v>
      </c>
      <c r="D7" s="287" t="str">
        <f t="array" ref="D7">IFERROR(INDEX('2_Data_Pelanggan'!$B$5:$B$499,MATCH($B7,'2_Data_Pelanggan'!$O$5:$O$499,0)),"")</f>
        <v/>
      </c>
      <c r="E7" s="288" t="str">
        <f t="array" ref="E7">IFERROR(INDEX('2_Data_Pelanggan'!$D$5:$D$499,MATCH($B7,'2_Data_Pelanggan'!$O$5:$O$499,0)),"")</f>
        <v/>
      </c>
      <c r="F7" s="226" t="str">
        <f t="array" ref="F7">IFERROR(INDEX('2_Data_Pelanggan'!$H$5:$H$499,MATCH($B7,'2_Data_Pelanggan'!$O$5:$O$499,0)),"")</f>
        <v/>
      </c>
      <c r="G7" s="216" t="str">
        <f t="array" ref="G7">IFERROR(INDEX('2_Data_Pelanggan'!$I$5:$I$499,MATCH($B7,'2_Data_Pelanggan'!$O$5:$O$499,0))&amp;"/"&amp;INDEX('2_Data_Pelanggan'!$J$5:$J$499,MATCH($B7,'2_Data_Pelanggan'!$O$5:$O$499,0)),"")</f>
        <v/>
      </c>
      <c r="H7" s="287" t="str">
        <f t="array" ref="H7">IFERROR(INDEX('2_Data_Pelanggan'!$M$5:$M$499,MATCH($B7,'2_Data_Pelanggan'!$O$5:$O$499,0)),"")</f>
        <v/>
      </c>
      <c r="I7" s="287" t="str">
        <f t="array" ref="I7">IFERROR(INDEX('2_Data_Pelanggan'!$W$5:$W$499,MATCH($B7,'2_Data_Pelanggan'!$O$5:$O$499,0)),"")</f>
        <v/>
      </c>
      <c r="J7" s="107" t="str">
        <f t="array" ref="J7">IFERROR(IF(INDEX('2_Data_Pelanggan'!$F$5:$F$499,MATCH($B7,'2_Data_Pelanggan'!$O$5:$O$499,0))="","",HYPERLINK("https://wa.me/62"&amp;MID(INDEX('2_Data_Pelanggan'!$F$5:$F$499,MATCH($B7,'2_Data_Pelanggan'!$O$5:$O$499,0)),2,20),"Chat WA")),"")</f>
        <v/>
      </c>
      <c r="K7" s="107" t="str">
        <f t="array" ref="K7">IFERROR(IF(INDEX('2_Data_Pelanggan'!$F$5:$F$499,MATCH($B7,'2_Data_Pelanggan'!$O$5:$O$499,0))="","",HYPERLINK("https://wa.me/62"&amp;MID(INDEX('2_Data_Pelanggan'!$F$5:$F$499,MATCH($B7,'2_Data_Pelanggan'!$O$5:$O$499,0)),2,LEN(INDEX('2_Data_Pelanggan'!$F$5:$F$499,MATCH($B7,'2_Data_Pelanggan'!$O$5:$O$499,0)))-1)&amp;"?text="&amp;SUBSTITUTE(SUBSTITUTE("Selamat "&amp;IF(HOUR(NOW())&lt;11,"Pagi",IF(HOUR(NOW())&lt;15,"Siang",IF(HOUR(NOW())&lt;18,"Sore","Malam")))&amp;" Bapak/Ibu "&amp;E7&amp;","&amp;CHAR(10)&amp;CHAR(10)&amp;"Mohon maaf mengganggu waktunya. Kami dari Tim Teknis ARMEDIA Net mendeteksi jaringan internet di rumah Bapak/Ibu sedang OFFLINE."&amp;CHAR(10)&amp;CHAR(10)&amp;"ID Pelanggan: "&amp;D7&amp;CHAR(10)&amp;CHAR(10)&amp;"Mohon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</row>
    <row r="8" ht="15.0" customHeight="1">
      <c r="A8" s="285">
        <v>5.0</v>
      </c>
      <c r="B8" s="286" t="s">
        <v>847</v>
      </c>
      <c r="C8" s="286" t="s">
        <v>1857</v>
      </c>
      <c r="D8" s="287" t="str">
        <f t="array" ref="D8">IFERROR(INDEX('2_Data_Pelanggan'!$B$5:$B$499,MATCH($B8,'2_Data_Pelanggan'!$O$5:$O$499,0)),"")</f>
        <v>ARM-0084</v>
      </c>
      <c r="E8" s="288" t="str">
        <f t="array" ref="E8">IFERROR(INDEX('2_Data_Pelanggan'!$D$5:$D$499,MATCH($B8,'2_Data_Pelanggan'!$O$5:$O$499,0)),"")</f>
        <v>KELURAHAN GUMELAR</v>
      </c>
      <c r="F8" s="226" t="str">
        <f t="array" ref="F8">IFERROR(INDEX('2_Data_Pelanggan'!$H$5:$H$499,MATCH($B8,'2_Data_Pelanggan'!$O$5:$O$499,0)),"")</f>
        <v>GUMELAR</v>
      </c>
      <c r="G8" s="216" t="str">
        <f t="array" ref="G8">IFERROR(INDEX('2_Data_Pelanggan'!$I$5:$I$499,MATCH($B8,'2_Data_Pelanggan'!$O$5:$O$499,0))&amp;"/"&amp;INDEX('2_Data_Pelanggan'!$J$5:$J$499,MATCH($B8,'2_Data_Pelanggan'!$O$5:$O$499,0)),"")</f>
        <v>/</v>
      </c>
      <c r="H8" s="287">
        <f t="array" ref="H8">IFERROR(INDEX('2_Data_Pelanggan'!$M$5:$M$499,MATCH($B8,'2_Data_Pelanggan'!$O$5:$O$499,0)),"")</f>
        <v>75</v>
      </c>
      <c r="I8" s="287" t="str">
        <f t="array" ref="I8">IFERROR(INDEX('2_Data_Pelanggan'!$W$5:$W$499,MATCH($B8,'2_Data_Pelanggan'!$O$5:$O$499,0)),"")</f>
        <v>Aktif</v>
      </c>
      <c r="J8" s="107" t="str">
        <f t="array" ref="J8">IFERROR(IF(INDEX('2_Data_Pelanggan'!$F$5:$F$499,MATCH($B8,'2_Data_Pelanggan'!$O$5:$O$499,0))="","",HYPERLINK("https://wa.me/62"&amp;MID(INDEX('2_Data_Pelanggan'!$F$5:$F$499,MATCH($B8,'2_Data_Pelanggan'!$O$5:$O$499,0)),2,20),"Chat WA")),"")</f>
        <v>Chat WA</v>
      </c>
      <c r="K8" s="107" t="str">
        <f t="array" ref="K8">IFERROR(IF(INDEX('2_Data_Pelanggan'!$F$5:$F$499,MATCH($B8,'2_Data_Pelanggan'!$O$5:$O$499,0))="","",HYPERLINK("https://wa.me/62"&amp;MID(INDEX('2_Data_Pelanggan'!$F$5:$F$499,MATCH($B8,'2_Data_Pelanggan'!$O$5:$O$499,0)),2,LEN(INDEX('2_Data_Pelanggan'!$F$5:$F$499,MATCH($B8,'2_Data_Pelanggan'!$O$5:$O$499,0)))-1)&amp;"?text="&amp;SUBSTITUTE(SUBSTITUTE("Selamat "&amp;IF(HOUR(NOW())&lt;11,"Pagi",IF(HOUR(NOW())&lt;15,"Siang",IF(HOUR(NOW())&lt;18,"Sore","Malam")))&amp;" Bapak/Ibu "&amp;E8&amp;","&amp;CHAR(10)&amp;CHAR(10)&amp;"Mohon maaf mengganggu waktunya. Kami dari Tim Teknis ARMEDIA Net mendeteksi jaringan internet di rumah Bapak/Ibu sedang OFFLINE."&amp;CHAR(10)&amp;CHAR(10)&amp;"ID Pelanggan: "&amp;D8&amp;CHAR(10)&amp;CHAR(10)&amp;"Mohon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</row>
    <row r="9" ht="15.0" customHeight="1">
      <c r="A9" s="285">
        <v>6.0</v>
      </c>
      <c r="B9" s="286" t="s">
        <v>1472</v>
      </c>
      <c r="C9" s="286" t="s">
        <v>1857</v>
      </c>
      <c r="D9" s="287" t="str">
        <f t="array" ref="D9">IFERROR(INDEX('2_Data_Pelanggan'!$B$5:$B$499,MATCH($B9,'2_Data_Pelanggan'!$O$5:$O$499,0)),"")</f>
        <v>ARM-0165</v>
      </c>
      <c r="E9" s="288" t="str">
        <f t="array" ref="E9">IFERROR(INDEX('2_Data_Pelanggan'!$D$5:$D$499,MATCH($B9,'2_Data_Pelanggan'!$O$5:$O$499,0)),"")</f>
        <v>SALSADILA NAHDIATUL AWALIYAH</v>
      </c>
      <c r="F9" s="226" t="str">
        <f t="array" ref="F9">IFERROR(INDEX('2_Data_Pelanggan'!$H$5:$H$499,MATCH($B9,'2_Data_Pelanggan'!$O$5:$O$499,0)),"")</f>
        <v>GUMELAR</v>
      </c>
      <c r="G9" s="216" t="str">
        <f t="array" ref="G9">IFERROR(INDEX('2_Data_Pelanggan'!$I$5:$I$499,MATCH($B9,'2_Data_Pelanggan'!$O$5:$O$499,0))&amp;"/"&amp;INDEX('2_Data_Pelanggan'!$J$5:$J$499,MATCH($B9,'2_Data_Pelanggan'!$O$5:$O$499,0)),"")</f>
        <v>9/6</v>
      </c>
      <c r="H9" s="287">
        <f t="array" ref="H9">IFERROR(INDEX('2_Data_Pelanggan'!$M$5:$M$499,MATCH($B9,'2_Data_Pelanggan'!$O$5:$O$499,0)),"")</f>
        <v>50</v>
      </c>
      <c r="I9" s="287" t="str">
        <f t="array" ref="I9">IFERROR(INDEX('2_Data_Pelanggan'!$W$5:$W$499,MATCH($B9,'2_Data_Pelanggan'!$O$5:$O$499,0)),"")</f>
        <v>Aktif</v>
      </c>
      <c r="J9" s="107" t="str">
        <f t="array" ref="J9">IFERROR(IF(INDEX('2_Data_Pelanggan'!$F$5:$F$499,MATCH($B9,'2_Data_Pelanggan'!$O$5:$O$499,0))="","",HYPERLINK("https://wa.me/62"&amp;MID(INDEX('2_Data_Pelanggan'!$F$5:$F$499,MATCH($B9,'2_Data_Pelanggan'!$O$5:$O$499,0)),2,20),"Chat WA")),"")</f>
        <v>Chat WA</v>
      </c>
      <c r="K9" s="107" t="str">
        <f t="array" ref="K9">IFERROR(IF(INDEX('2_Data_Pelanggan'!$F$5:$F$499,MATCH($B9,'2_Data_Pelanggan'!$O$5:$O$499,0))="","",HYPERLINK("https://wa.me/62"&amp;MID(INDEX('2_Data_Pelanggan'!$F$5:$F$499,MATCH($B9,'2_Data_Pelanggan'!$O$5:$O$499,0)),2,LEN(INDEX('2_Data_Pelanggan'!$F$5:$F$499,MATCH($B9,'2_Data_Pelanggan'!$O$5:$O$499,0)))-1)&amp;"?text="&amp;SUBSTITUTE(SUBSTITUTE("Selamat "&amp;IF(HOUR(NOW())&lt;11,"Pagi",IF(HOUR(NOW())&lt;15,"Siang",IF(HOUR(NOW())&lt;18,"Sore","Malam")))&amp;" Bapak/Ibu "&amp;E9&amp;","&amp;CHAR(10)&amp;CHAR(10)&amp;"Mohon maaf mengganggu waktunya. Kami dari Tim Teknis ARMEDIA Net mendeteksi jaringan internet di rumah Bapak/Ibu sedang OFFLINE."&amp;CHAR(10)&amp;CHAR(10)&amp;"ID Pelanggan: "&amp;D9&amp;CHAR(10)&amp;CHAR(10)&amp;"Mohon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</row>
    <row r="10" ht="15.0" customHeight="1">
      <c r="A10" s="285">
        <v>7.0</v>
      </c>
      <c r="B10" s="286" t="s">
        <v>1861</v>
      </c>
      <c r="C10" s="286" t="s">
        <v>1857</v>
      </c>
      <c r="D10" s="287" t="str">
        <f t="array" ref="D10">IFERROR(INDEX('2_Data_Pelanggan'!$B$5:$B$499,MATCH($B10,'2_Data_Pelanggan'!$O$5:$O$499,0)),"")</f>
        <v/>
      </c>
      <c r="E10" s="288" t="str">
        <f t="array" ref="E10">IFERROR(INDEX('2_Data_Pelanggan'!$D$5:$D$499,MATCH($B10,'2_Data_Pelanggan'!$O$5:$O$499,0)),"")</f>
        <v/>
      </c>
      <c r="F10" s="226" t="str">
        <f t="array" ref="F10">IFERROR(INDEX('2_Data_Pelanggan'!$H$5:$H$499,MATCH($B10,'2_Data_Pelanggan'!$O$5:$O$499,0)),"")</f>
        <v/>
      </c>
      <c r="G10" s="216" t="str">
        <f t="array" ref="G10">IFERROR(INDEX('2_Data_Pelanggan'!$I$5:$I$499,MATCH($B10,'2_Data_Pelanggan'!$O$5:$O$499,0))&amp;"/"&amp;INDEX('2_Data_Pelanggan'!$J$5:$J$499,MATCH($B10,'2_Data_Pelanggan'!$O$5:$O$499,0)),"")</f>
        <v/>
      </c>
      <c r="H10" s="287" t="str">
        <f t="array" ref="H10">IFERROR(INDEX('2_Data_Pelanggan'!$M$5:$M$499,MATCH($B10,'2_Data_Pelanggan'!$O$5:$O$499,0)),"")</f>
        <v/>
      </c>
      <c r="I10" s="287" t="str">
        <f t="array" ref="I10">IFERROR(INDEX('2_Data_Pelanggan'!$W$5:$W$499,MATCH($B10,'2_Data_Pelanggan'!$O$5:$O$499,0)),"")</f>
        <v/>
      </c>
      <c r="J10" s="107" t="str">
        <f t="array" ref="J10">IFERROR(IF(INDEX('2_Data_Pelanggan'!$F$5:$F$499,MATCH($B10,'2_Data_Pelanggan'!$O$5:$O$499,0))="","",HYPERLINK("https://wa.me/62"&amp;MID(INDEX('2_Data_Pelanggan'!$F$5:$F$499,MATCH($B10,'2_Data_Pelanggan'!$O$5:$O$499,0)),2,20),"Chat WA")),"")</f>
        <v/>
      </c>
      <c r="K10" s="107" t="str">
        <f t="array" ref="K10">IFERROR(IF(INDEX('2_Data_Pelanggan'!$F$5:$F$499,MATCH($B10,'2_Data_Pelanggan'!$O$5:$O$499,0))="","",HYPERLINK("https://wa.me/62"&amp;MID(INDEX('2_Data_Pelanggan'!$F$5:$F$499,MATCH($B10,'2_Data_Pelanggan'!$O$5:$O$499,0)),2,LEN(INDEX('2_Data_Pelanggan'!$F$5:$F$499,MATCH($B10,'2_Data_Pelanggan'!$O$5:$O$499,0)))-1)&amp;"?text="&amp;SUBSTITUTE(SUBSTITUTE("Selamat "&amp;IF(HOUR(NOW())&lt;11,"Pagi",IF(HOUR(NOW())&lt;15,"Siang",IF(HOUR(NOW())&lt;18,"Sore","Malam")))&amp;" Bapak/Ibu "&amp;E10&amp;","&amp;CHAR(10)&amp;CHAR(10)&amp;"Mohon maaf mengganggu waktunya. Kami dari Tim Teknis ARMEDIA Net mendeteksi jaringan internet di rumah Bapak/Ibu sedang OFFLINE."&amp;CHAR(10)&amp;CHAR(10)&amp;"ID Pelanggan: "&amp;D10&amp;CHAR(10)&amp;CHAR(10)&amp;"Mohon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</row>
    <row r="11" ht="15.0" customHeight="1">
      <c r="A11" s="285">
        <v>8.0</v>
      </c>
      <c r="B11" s="286" t="s">
        <v>1862</v>
      </c>
      <c r="C11" s="286" t="s">
        <v>1857</v>
      </c>
      <c r="D11" s="287" t="str">
        <f t="array" ref="D11">IFERROR(INDEX('2_Data_Pelanggan'!$B$5:$B$499,MATCH($B11,'2_Data_Pelanggan'!$O$5:$O$499,0)),"")</f>
        <v/>
      </c>
      <c r="E11" s="288" t="str">
        <f t="array" ref="E11">IFERROR(INDEX('2_Data_Pelanggan'!$D$5:$D$499,MATCH($B11,'2_Data_Pelanggan'!$O$5:$O$499,0)),"")</f>
        <v/>
      </c>
      <c r="F11" s="226" t="str">
        <f t="array" ref="F11">IFERROR(INDEX('2_Data_Pelanggan'!$H$5:$H$499,MATCH($B11,'2_Data_Pelanggan'!$O$5:$O$499,0)),"")</f>
        <v/>
      </c>
      <c r="G11" s="216" t="str">
        <f t="array" ref="G11">IFERROR(INDEX('2_Data_Pelanggan'!$I$5:$I$499,MATCH($B11,'2_Data_Pelanggan'!$O$5:$O$499,0))&amp;"/"&amp;INDEX('2_Data_Pelanggan'!$J$5:$J$499,MATCH($B11,'2_Data_Pelanggan'!$O$5:$O$499,0)),"")</f>
        <v/>
      </c>
      <c r="H11" s="287" t="str">
        <f t="array" ref="H11">IFERROR(INDEX('2_Data_Pelanggan'!$M$5:$M$499,MATCH($B11,'2_Data_Pelanggan'!$O$5:$O$499,0)),"")</f>
        <v/>
      </c>
      <c r="I11" s="287" t="str">
        <f t="array" ref="I11">IFERROR(INDEX('2_Data_Pelanggan'!$W$5:$W$499,MATCH($B11,'2_Data_Pelanggan'!$O$5:$O$499,0)),"")</f>
        <v/>
      </c>
      <c r="J11" s="107" t="str">
        <f t="array" ref="J11">IFERROR(IF(INDEX('2_Data_Pelanggan'!$F$5:$F$499,MATCH($B11,'2_Data_Pelanggan'!$O$5:$O$499,0))="","",HYPERLINK("https://wa.me/62"&amp;MID(INDEX('2_Data_Pelanggan'!$F$5:$F$499,MATCH($B11,'2_Data_Pelanggan'!$O$5:$O$499,0)),2,20),"Chat WA")),"")</f>
        <v/>
      </c>
      <c r="K11" s="107" t="str">
        <f t="array" ref="K11">IFERROR(IF(INDEX('2_Data_Pelanggan'!$F$5:$F$499,MATCH($B11,'2_Data_Pelanggan'!$O$5:$O$499,0))="","",HYPERLINK("https://wa.me/62"&amp;MID(INDEX('2_Data_Pelanggan'!$F$5:$F$499,MATCH($B11,'2_Data_Pelanggan'!$O$5:$O$499,0)),2,LEN(INDEX('2_Data_Pelanggan'!$F$5:$F$499,MATCH($B11,'2_Data_Pelanggan'!$O$5:$O$499,0)))-1)&amp;"?text="&amp;SUBSTITUTE(SUBSTITUTE("Selamat "&amp;IF(HOUR(NOW())&lt;11,"Pagi",IF(HOUR(NOW())&lt;15,"Siang",IF(HOUR(NOW())&lt;18,"Sore","Malam")))&amp;" Bapak/Ibu "&amp;E11&amp;","&amp;CHAR(10)&amp;CHAR(10)&amp;"Mohon maaf mengganggu waktunya. Kami dari Tim Teknis ARMEDIA Net mendeteksi jaringan internet di rumah Bapak/Ibu sedang OFFLINE."&amp;CHAR(10)&amp;CHAR(10)&amp;"ID Pelanggan: "&amp;D11&amp;CHAR(10)&amp;CHAR(10)&amp;"Mohon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</row>
    <row r="12" ht="15.0" customHeight="1">
      <c r="A12" s="285">
        <v>9.0</v>
      </c>
      <c r="B12" s="286" t="s">
        <v>1863</v>
      </c>
      <c r="C12" s="286" t="s">
        <v>1857</v>
      </c>
      <c r="D12" s="287" t="str">
        <f t="array" ref="D12">IFERROR(INDEX('2_Data_Pelanggan'!$B$5:$B$499,MATCH($B12,'2_Data_Pelanggan'!$O$5:$O$499,0)),"")</f>
        <v/>
      </c>
      <c r="E12" s="288" t="str">
        <f t="array" ref="E12">IFERROR(INDEX('2_Data_Pelanggan'!$D$5:$D$499,MATCH($B12,'2_Data_Pelanggan'!$O$5:$O$499,0)),"")</f>
        <v/>
      </c>
      <c r="F12" s="226" t="str">
        <f t="array" ref="F12">IFERROR(INDEX('2_Data_Pelanggan'!$H$5:$H$499,MATCH($B12,'2_Data_Pelanggan'!$O$5:$O$499,0)),"")</f>
        <v/>
      </c>
      <c r="G12" s="216" t="str">
        <f t="array" ref="G12">IFERROR(INDEX('2_Data_Pelanggan'!$I$5:$I$499,MATCH($B12,'2_Data_Pelanggan'!$O$5:$O$499,0))&amp;"/"&amp;INDEX('2_Data_Pelanggan'!$J$5:$J$499,MATCH($B12,'2_Data_Pelanggan'!$O$5:$O$499,0)),"")</f>
        <v/>
      </c>
      <c r="H12" s="287" t="str">
        <f t="array" ref="H12">IFERROR(INDEX('2_Data_Pelanggan'!$M$5:$M$499,MATCH($B12,'2_Data_Pelanggan'!$O$5:$O$499,0)),"")</f>
        <v/>
      </c>
      <c r="I12" s="287" t="str">
        <f t="array" ref="I12">IFERROR(INDEX('2_Data_Pelanggan'!$W$5:$W$499,MATCH($B12,'2_Data_Pelanggan'!$O$5:$O$499,0)),"")</f>
        <v/>
      </c>
      <c r="J12" s="107" t="str">
        <f t="array" ref="J12">IFERROR(IF(INDEX('2_Data_Pelanggan'!$F$5:$F$499,MATCH($B12,'2_Data_Pelanggan'!$O$5:$O$499,0))="","",HYPERLINK("https://wa.me/62"&amp;MID(INDEX('2_Data_Pelanggan'!$F$5:$F$499,MATCH($B12,'2_Data_Pelanggan'!$O$5:$O$499,0)),2,20),"Chat WA")),"")</f>
        <v/>
      </c>
      <c r="K12" s="107" t="str">
        <f t="array" ref="K12">IFERROR(IF(INDEX('2_Data_Pelanggan'!$F$5:$F$499,MATCH($B12,'2_Data_Pelanggan'!$O$5:$O$499,0))="","",HYPERLINK("https://wa.me/62"&amp;MID(INDEX('2_Data_Pelanggan'!$F$5:$F$499,MATCH($B12,'2_Data_Pelanggan'!$O$5:$O$499,0)),2,LEN(INDEX('2_Data_Pelanggan'!$F$5:$F$499,MATCH($B12,'2_Data_Pelanggan'!$O$5:$O$499,0)))-1)&amp;"?text="&amp;SUBSTITUTE(SUBSTITUTE("Selamat "&amp;IF(HOUR(NOW())&lt;11,"Pagi",IF(HOUR(NOW())&lt;15,"Siang",IF(HOUR(NOW())&lt;18,"Sore","Malam")))&amp;" Bapak/Ibu "&amp;E12&amp;","&amp;CHAR(10)&amp;CHAR(10)&amp;"Mohon maaf mengganggu waktunya. Kami dari Tim Teknis ARMEDIA Net mendeteksi jaringan internet di rumah Bapak/Ibu sedang OFFLINE."&amp;CHAR(10)&amp;CHAR(10)&amp;"ID Pelanggan: "&amp;D12&amp;CHAR(10)&amp;CHAR(10)&amp;"Mohon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</row>
    <row r="13" ht="15.0" customHeight="1">
      <c r="A13" s="285">
        <v>10.0</v>
      </c>
      <c r="B13" s="286" t="s">
        <v>229</v>
      </c>
      <c r="C13" s="286" t="s">
        <v>1857</v>
      </c>
      <c r="D13" s="287" t="str">
        <f t="array" ref="D13">IFERROR(INDEX('2_Data_Pelanggan'!$B$5:$B$499,MATCH($B13,'2_Data_Pelanggan'!$O$5:$O$499,0)),"")</f>
        <v>ARM-0005</v>
      </c>
      <c r="E13" s="288" t="str">
        <f t="array" ref="E13">IFERROR(INDEX('2_Data_Pelanggan'!$D$5:$D$499,MATCH($B13,'2_Data_Pelanggan'!$O$5:$O$499,0)),"")</f>
        <v>SARWO</v>
      </c>
      <c r="F13" s="226" t="str">
        <f t="array" ref="F13">IFERROR(INDEX('2_Data_Pelanggan'!$H$5:$H$499,MATCH($B13,'2_Data_Pelanggan'!$O$5:$O$499,0)),"")</f>
        <v>CIHONJE</v>
      </c>
      <c r="G13" s="216" t="str">
        <f t="array" ref="G13">IFERROR(INDEX('2_Data_Pelanggan'!$I$5:$I$499,MATCH($B13,'2_Data_Pelanggan'!$O$5:$O$499,0))&amp;"/"&amp;INDEX('2_Data_Pelanggan'!$J$5:$J$499,MATCH($B13,'2_Data_Pelanggan'!$O$5:$O$499,0)),"")</f>
        <v>/</v>
      </c>
      <c r="H13" s="287">
        <f t="array" ref="H13">IFERROR(INDEX('2_Data_Pelanggan'!$M$5:$M$499,MATCH($B13,'2_Data_Pelanggan'!$O$5:$O$499,0)),"")</f>
        <v>30</v>
      </c>
      <c r="I13" s="287" t="str">
        <f t="array" ref="I13">IFERROR(INDEX('2_Data_Pelanggan'!$W$5:$W$499,MATCH($B13,'2_Data_Pelanggan'!$O$5:$O$499,0)),"")</f>
        <v>Aktif</v>
      </c>
      <c r="J13" s="107" t="str">
        <f t="array" ref="J13">IFERROR(IF(INDEX('2_Data_Pelanggan'!$F$5:$F$499,MATCH($B13,'2_Data_Pelanggan'!$O$5:$O$499,0))="","",HYPERLINK("https://wa.me/62"&amp;MID(INDEX('2_Data_Pelanggan'!$F$5:$F$499,MATCH($B13,'2_Data_Pelanggan'!$O$5:$O$499,0)),2,20),"Chat WA")),"")</f>
        <v>Chat WA</v>
      </c>
      <c r="K13" s="107" t="str">
        <f t="array" ref="K13">IFERROR(IF(INDEX('2_Data_Pelanggan'!$F$5:$F$499,MATCH($B13,'2_Data_Pelanggan'!$O$5:$O$499,0))="","",HYPERLINK("https://wa.me/62"&amp;MID(INDEX('2_Data_Pelanggan'!$F$5:$F$499,MATCH($B13,'2_Data_Pelanggan'!$O$5:$O$499,0)),2,LEN(INDEX('2_Data_Pelanggan'!$F$5:$F$499,MATCH($B13,'2_Data_Pelanggan'!$O$5:$O$499,0)))-1)&amp;"?text="&amp;SUBSTITUTE(SUBSTITUTE("Selamat "&amp;IF(HOUR(NOW())&lt;11,"Pagi",IF(HOUR(NOW())&lt;15,"Siang",IF(HOUR(NOW())&lt;18,"Sore","Malam")))&amp;" Bapak/Ibu "&amp;E13&amp;","&amp;CHAR(10)&amp;CHAR(10)&amp;"Mohon maaf mengganggu waktunya. Kami dari Tim Teknis ARMEDIA Net mendeteksi jaringan internet di rumah Bapak/Ibu sedang OFFLINE."&amp;CHAR(10)&amp;CHAR(10)&amp;"ID Pelanggan: "&amp;D13&amp;CHAR(10)&amp;CHAR(10)&amp;"Mohon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</row>
    <row r="14" ht="15.0" customHeight="1">
      <c r="A14" s="285">
        <v>11.0</v>
      </c>
      <c r="B14" s="286" t="s">
        <v>1864</v>
      </c>
      <c r="C14" s="286" t="s">
        <v>1857</v>
      </c>
      <c r="D14" s="287" t="str">
        <f t="array" ref="D14">IFERROR(INDEX('2_Data_Pelanggan'!$B$5:$B$499,MATCH($B14,'2_Data_Pelanggan'!$O$5:$O$499,0)),"")</f>
        <v/>
      </c>
      <c r="E14" s="288" t="str">
        <f t="array" ref="E14">IFERROR(INDEX('2_Data_Pelanggan'!$D$5:$D$499,MATCH($B14,'2_Data_Pelanggan'!$O$5:$O$499,0)),"")</f>
        <v/>
      </c>
      <c r="F14" s="226" t="str">
        <f t="array" ref="F14">IFERROR(INDEX('2_Data_Pelanggan'!$H$5:$H$499,MATCH($B14,'2_Data_Pelanggan'!$O$5:$O$499,0)),"")</f>
        <v/>
      </c>
      <c r="G14" s="216" t="str">
        <f t="array" ref="G14">IFERROR(INDEX('2_Data_Pelanggan'!$I$5:$I$499,MATCH($B14,'2_Data_Pelanggan'!$O$5:$O$499,0))&amp;"/"&amp;INDEX('2_Data_Pelanggan'!$J$5:$J$499,MATCH($B14,'2_Data_Pelanggan'!$O$5:$O$499,0)),"")</f>
        <v/>
      </c>
      <c r="H14" s="287" t="str">
        <f t="array" ref="H14">IFERROR(INDEX('2_Data_Pelanggan'!$M$5:$M$499,MATCH($B14,'2_Data_Pelanggan'!$O$5:$O$499,0)),"")</f>
        <v/>
      </c>
      <c r="I14" s="287" t="str">
        <f t="array" ref="I14">IFERROR(INDEX('2_Data_Pelanggan'!$W$5:$W$499,MATCH($B14,'2_Data_Pelanggan'!$O$5:$O$499,0)),"")</f>
        <v/>
      </c>
      <c r="J14" s="107" t="str">
        <f t="array" ref="J14">IFERROR(IF(INDEX('2_Data_Pelanggan'!$F$5:$F$499,MATCH($B14,'2_Data_Pelanggan'!$O$5:$O$499,0))="","",HYPERLINK("https://wa.me/62"&amp;MID(INDEX('2_Data_Pelanggan'!$F$5:$F$499,MATCH($B14,'2_Data_Pelanggan'!$O$5:$O$499,0)),2,20),"Chat WA")),"")</f>
        <v/>
      </c>
      <c r="K14" s="107" t="str">
        <f t="array" ref="K14">IFERROR(IF(INDEX('2_Data_Pelanggan'!$F$5:$F$499,MATCH($B14,'2_Data_Pelanggan'!$O$5:$O$499,0))="","",HYPERLINK("https://wa.me/62"&amp;MID(INDEX('2_Data_Pelanggan'!$F$5:$F$499,MATCH($B14,'2_Data_Pelanggan'!$O$5:$O$499,0)),2,LEN(INDEX('2_Data_Pelanggan'!$F$5:$F$499,MATCH($B14,'2_Data_Pelanggan'!$O$5:$O$499,0)))-1)&amp;"?text="&amp;SUBSTITUTE(SUBSTITUTE("Selamat "&amp;IF(HOUR(NOW())&lt;11,"Pagi",IF(HOUR(NOW())&lt;15,"Siang",IF(HOUR(NOW())&lt;18,"Sore","Malam")))&amp;" Bapak/Ibu "&amp;E14&amp;","&amp;CHAR(10)&amp;CHAR(10)&amp;"Mohon maaf mengganggu waktunya. Kami dari Tim Teknis ARMEDIA Net mendeteksi jaringan internet di rumah Bapak/Ibu sedang OFFLINE."&amp;CHAR(10)&amp;CHAR(10)&amp;"ID Pelanggan: "&amp;D14&amp;CHAR(10)&amp;CHAR(10)&amp;"Mohon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</row>
    <row r="15" ht="15.0" customHeight="1">
      <c r="A15" s="285">
        <v>12.0</v>
      </c>
      <c r="B15" s="286" t="s">
        <v>1294</v>
      </c>
      <c r="C15" s="286" t="s">
        <v>1857</v>
      </c>
      <c r="D15" s="287" t="str">
        <f t="array" ref="D15">IFERROR(INDEX('2_Data_Pelanggan'!$B$5:$B$499,MATCH($B15,'2_Data_Pelanggan'!$O$5:$O$499,0)),"")</f>
        <v>ARM-0141</v>
      </c>
      <c r="E15" s="288" t="str">
        <f t="array" ref="E15">IFERROR(INDEX('2_Data_Pelanggan'!$D$5:$D$499,MATCH($B15,'2_Data_Pelanggan'!$O$5:$O$499,0)),"")</f>
        <v>ATIK PURWANTI </v>
      </c>
      <c r="F15" s="226" t="str">
        <f t="array" ref="F15">IFERROR(INDEX('2_Data_Pelanggan'!$H$5:$H$499,MATCH($B15,'2_Data_Pelanggan'!$O$5:$O$499,0)),"")</f>
        <v>GUMELAR</v>
      </c>
      <c r="G15" s="216" t="str">
        <f t="array" ref="G15">IFERROR(INDEX('2_Data_Pelanggan'!$I$5:$I$499,MATCH($B15,'2_Data_Pelanggan'!$O$5:$O$499,0))&amp;"/"&amp;INDEX('2_Data_Pelanggan'!$J$5:$J$499,MATCH($B15,'2_Data_Pelanggan'!$O$5:$O$499,0)),"")</f>
        <v>2/11</v>
      </c>
      <c r="H15" s="287">
        <f t="array" ref="H15">IFERROR(INDEX('2_Data_Pelanggan'!$M$5:$M$499,MATCH($B15,'2_Data_Pelanggan'!$O$5:$O$499,0)),"")</f>
        <v>20</v>
      </c>
      <c r="I15" s="287" t="str">
        <f t="array" ref="I15">IFERROR(INDEX('2_Data_Pelanggan'!$W$5:$W$499,MATCH($B15,'2_Data_Pelanggan'!$O$5:$O$499,0)),"")</f>
        <v>Berhenti</v>
      </c>
      <c r="J15" s="107" t="str">
        <f t="array" ref="J15">IFERROR(IF(INDEX('2_Data_Pelanggan'!$F$5:$F$499,MATCH($B15,'2_Data_Pelanggan'!$O$5:$O$499,0))="","",HYPERLINK("https://wa.me/62"&amp;MID(INDEX('2_Data_Pelanggan'!$F$5:$F$499,MATCH($B15,'2_Data_Pelanggan'!$O$5:$O$499,0)),2,20),"Chat WA")),"")</f>
        <v>Chat WA</v>
      </c>
      <c r="K15" s="107" t="str">
        <f t="array" ref="K15">IFERROR(IF(INDEX('2_Data_Pelanggan'!$F$5:$F$499,MATCH($B15,'2_Data_Pelanggan'!$O$5:$O$499,0))="","",HYPERLINK("https://wa.me/62"&amp;MID(INDEX('2_Data_Pelanggan'!$F$5:$F$499,MATCH($B15,'2_Data_Pelanggan'!$O$5:$O$499,0)),2,LEN(INDEX('2_Data_Pelanggan'!$F$5:$F$499,MATCH($B15,'2_Data_Pelanggan'!$O$5:$O$499,0)))-1)&amp;"?text="&amp;SUBSTITUTE(SUBSTITUTE("Selamat "&amp;IF(HOUR(NOW())&lt;11,"Pagi",IF(HOUR(NOW())&lt;15,"Siang",IF(HOUR(NOW())&lt;18,"Sore","Malam")))&amp;" Bapak/Ibu "&amp;E15&amp;","&amp;CHAR(10)&amp;CHAR(10)&amp;"Mohon maaf mengganggu waktunya. Kami dari Tim Teknis ARMEDIA Net mendeteksi jaringan internet di rumah Bapak/Ibu sedang OFFLINE."&amp;CHAR(10)&amp;CHAR(10)&amp;"ID Pelanggan: "&amp;D15&amp;CHAR(10)&amp;CHAR(10)&amp;"Mohon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</row>
    <row r="16" ht="15.0" customHeight="1">
      <c r="A16" s="285">
        <v>13.0</v>
      </c>
      <c r="B16" s="286" t="s">
        <v>855</v>
      </c>
      <c r="C16" s="286" t="s">
        <v>1857</v>
      </c>
      <c r="D16" s="287" t="str">
        <f t="array" ref="D16">IFERROR(INDEX('2_Data_Pelanggan'!$B$5:$B$499,MATCH($B16,'2_Data_Pelanggan'!$O$5:$O$499,0)),"")</f>
        <v>ARM-0085</v>
      </c>
      <c r="E16" s="288" t="str">
        <f t="array" ref="E16">IFERROR(INDEX('2_Data_Pelanggan'!$D$5:$D$499,MATCH($B16,'2_Data_Pelanggan'!$O$5:$O$499,0)),"")</f>
        <v>BAMBANG IRAWAN</v>
      </c>
      <c r="F16" s="226" t="str">
        <f t="array" ref="F16">IFERROR(INDEX('2_Data_Pelanggan'!$H$5:$H$499,MATCH($B16,'2_Data_Pelanggan'!$O$5:$O$499,0)),"")</f>
        <v>GUMELAR</v>
      </c>
      <c r="G16" s="216" t="str">
        <f t="array" ref="G16">IFERROR(INDEX('2_Data_Pelanggan'!$I$5:$I$499,MATCH($B16,'2_Data_Pelanggan'!$O$5:$O$499,0))&amp;"/"&amp;INDEX('2_Data_Pelanggan'!$J$5:$J$499,MATCH($B16,'2_Data_Pelanggan'!$O$5:$O$499,0)),"")</f>
        <v>5/5</v>
      </c>
      <c r="H16" s="287">
        <f t="array" ref="H16">IFERROR(INDEX('2_Data_Pelanggan'!$M$5:$M$499,MATCH($B16,'2_Data_Pelanggan'!$O$5:$O$499,0)),"")</f>
        <v>20</v>
      </c>
      <c r="I16" s="287" t="str">
        <f t="array" ref="I16">IFERROR(INDEX('2_Data_Pelanggan'!$W$5:$W$499,MATCH($B16,'2_Data_Pelanggan'!$O$5:$O$499,0)),"")</f>
        <v>Aktif</v>
      </c>
      <c r="J16" s="107" t="str">
        <f t="array" ref="J16">IFERROR(IF(INDEX('2_Data_Pelanggan'!$F$5:$F$499,MATCH($B16,'2_Data_Pelanggan'!$O$5:$O$499,0))="","",HYPERLINK("https://wa.me/62"&amp;MID(INDEX('2_Data_Pelanggan'!$F$5:$F$499,MATCH($B16,'2_Data_Pelanggan'!$O$5:$O$499,0)),2,20),"Chat WA")),"")</f>
        <v>Chat WA</v>
      </c>
      <c r="K16" s="107" t="str">
        <f t="array" ref="K16">IFERROR(IF(INDEX('2_Data_Pelanggan'!$F$5:$F$499,MATCH($B16,'2_Data_Pelanggan'!$O$5:$O$499,0))="","",HYPERLINK("https://wa.me/62"&amp;MID(INDEX('2_Data_Pelanggan'!$F$5:$F$499,MATCH($B16,'2_Data_Pelanggan'!$O$5:$O$499,0)),2,LEN(INDEX('2_Data_Pelanggan'!$F$5:$F$499,MATCH($B16,'2_Data_Pelanggan'!$O$5:$O$499,0)))-1)&amp;"?text="&amp;SUBSTITUTE(SUBSTITUTE("Selamat "&amp;IF(HOUR(NOW())&lt;11,"Pagi",IF(HOUR(NOW())&lt;15,"Siang",IF(HOUR(NOW())&lt;18,"Sore","Malam")))&amp;" Bapak/Ibu "&amp;E16&amp;","&amp;CHAR(10)&amp;CHAR(10)&amp;"Mohon maaf mengganggu waktunya. Kami dari Tim Teknis ARMEDIA Net mendeteksi jaringan internet di rumah Bapak/Ibu sedang OFFLINE."&amp;CHAR(10)&amp;CHAR(10)&amp;"ID Pelanggan: "&amp;D16&amp;CHAR(10)&amp;CHAR(10)&amp;"Mohon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</row>
    <row r="17" ht="15.0" customHeight="1">
      <c r="A17" s="285">
        <v>14.0</v>
      </c>
      <c r="B17" s="286" t="s">
        <v>1456</v>
      </c>
      <c r="C17" s="286" t="s">
        <v>1857</v>
      </c>
      <c r="D17" s="287" t="str">
        <f t="array" ref="D17">IFERROR(INDEX('2_Data_Pelanggan'!$B$5:$B$499,MATCH($B17,'2_Data_Pelanggan'!$O$5:$O$499,0)),"")</f>
        <v>ARM-0163</v>
      </c>
      <c r="E17" s="288" t="str">
        <f t="array" ref="E17">IFERROR(INDEX('2_Data_Pelanggan'!$D$5:$D$499,MATCH($B17,'2_Data_Pelanggan'!$O$5:$O$499,0)),"")</f>
        <v>RAMINAH</v>
      </c>
      <c r="F17" s="226" t="str">
        <f t="array" ref="F17">IFERROR(INDEX('2_Data_Pelanggan'!$H$5:$H$499,MATCH($B17,'2_Data_Pelanggan'!$O$5:$O$499,0)),"")</f>
        <v>GUMELAR</v>
      </c>
      <c r="G17" s="216" t="str">
        <f t="array" ref="G17">IFERROR(INDEX('2_Data_Pelanggan'!$I$5:$I$499,MATCH($B17,'2_Data_Pelanggan'!$O$5:$O$499,0))&amp;"/"&amp;INDEX('2_Data_Pelanggan'!$J$5:$J$499,MATCH($B17,'2_Data_Pelanggan'!$O$5:$O$499,0)),"")</f>
        <v>1/6</v>
      </c>
      <c r="H17" s="287">
        <f t="array" ref="H17">IFERROR(INDEX('2_Data_Pelanggan'!$M$5:$M$499,MATCH($B17,'2_Data_Pelanggan'!$O$5:$O$499,0)),"")</f>
        <v>20</v>
      </c>
      <c r="I17" s="287" t="str">
        <f t="array" ref="I17">IFERROR(INDEX('2_Data_Pelanggan'!$W$5:$W$499,MATCH($B17,'2_Data_Pelanggan'!$O$5:$O$499,0)),"")</f>
        <v>Aktif</v>
      </c>
      <c r="J17" s="107" t="str">
        <f t="array" ref="J17">IFERROR(IF(INDEX('2_Data_Pelanggan'!$F$5:$F$499,MATCH($B17,'2_Data_Pelanggan'!$O$5:$O$499,0))="","",HYPERLINK("https://wa.me/62"&amp;MID(INDEX('2_Data_Pelanggan'!$F$5:$F$499,MATCH($B17,'2_Data_Pelanggan'!$O$5:$O$499,0)),2,20),"Chat WA")),"")</f>
        <v>Chat WA</v>
      </c>
      <c r="K17" s="107" t="str">
        <f t="array" ref="K17">IFERROR(IF(INDEX('2_Data_Pelanggan'!$F$5:$F$499,MATCH($B17,'2_Data_Pelanggan'!$O$5:$O$499,0))="","",HYPERLINK("https://wa.me/62"&amp;MID(INDEX('2_Data_Pelanggan'!$F$5:$F$499,MATCH($B17,'2_Data_Pelanggan'!$O$5:$O$499,0)),2,LEN(INDEX('2_Data_Pelanggan'!$F$5:$F$499,MATCH($B17,'2_Data_Pelanggan'!$O$5:$O$499,0)))-1)&amp;"?text="&amp;SUBSTITUTE(SUBSTITUTE("Selamat "&amp;IF(HOUR(NOW())&lt;11,"Pagi",IF(HOUR(NOW())&lt;15,"Siang",IF(HOUR(NOW())&lt;18,"Sore","Malam")))&amp;" Bapak/Ibu "&amp;E17&amp;","&amp;CHAR(10)&amp;CHAR(10)&amp;"Mohon maaf mengganggu waktunya. Kami dari Tim Teknis ARMEDIA Net mendeteksi jaringan internet di rumah Bapak/Ibu sedang OFFLINE."&amp;CHAR(10)&amp;CHAR(10)&amp;"ID Pelanggan: "&amp;D17&amp;CHAR(10)&amp;CHAR(10)&amp;"Mohon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</row>
    <row r="18" ht="15.0" customHeight="1">
      <c r="A18" s="285">
        <v>15.0</v>
      </c>
      <c r="B18" s="286" t="s">
        <v>1465</v>
      </c>
      <c r="C18" s="286" t="s">
        <v>1857</v>
      </c>
      <c r="D18" s="287" t="str">
        <f t="array" ref="D18">IFERROR(INDEX('2_Data_Pelanggan'!$B$5:$B$499,MATCH($B18,'2_Data_Pelanggan'!$O$5:$O$499,0)),"")</f>
        <v>ARM-0164</v>
      </c>
      <c r="E18" s="288" t="str">
        <f t="array" ref="E18">IFERROR(INDEX('2_Data_Pelanggan'!$D$5:$D$499,MATCH($B18,'2_Data_Pelanggan'!$O$5:$O$499,0)),"")</f>
        <v>SULIYAH</v>
      </c>
      <c r="F18" s="226" t="str">
        <f t="array" ref="F18">IFERROR(INDEX('2_Data_Pelanggan'!$H$5:$H$499,MATCH($B18,'2_Data_Pelanggan'!$O$5:$O$499,0)),"")</f>
        <v>CILANGKAP</v>
      </c>
      <c r="G18" s="216" t="str">
        <f t="array" ref="G18">IFERROR(INDEX('2_Data_Pelanggan'!$I$5:$I$499,MATCH($B18,'2_Data_Pelanggan'!$O$5:$O$499,0))&amp;"/"&amp;INDEX('2_Data_Pelanggan'!$J$5:$J$499,MATCH($B18,'2_Data_Pelanggan'!$O$5:$O$499,0)),"")</f>
        <v>1/4</v>
      </c>
      <c r="H18" s="287">
        <f t="array" ref="H18">IFERROR(INDEX('2_Data_Pelanggan'!$M$5:$M$499,MATCH($B18,'2_Data_Pelanggan'!$O$5:$O$499,0)),"")</f>
        <v>20</v>
      </c>
      <c r="I18" s="287" t="str">
        <f t="array" ref="I18">IFERROR(INDEX('2_Data_Pelanggan'!$W$5:$W$499,MATCH($B18,'2_Data_Pelanggan'!$O$5:$O$499,0)),"")</f>
        <v>Aktif</v>
      </c>
      <c r="J18" s="107" t="str">
        <f t="array" ref="J18">IFERROR(IF(INDEX('2_Data_Pelanggan'!$F$5:$F$499,MATCH($B18,'2_Data_Pelanggan'!$O$5:$O$499,0))="","",HYPERLINK("https://wa.me/62"&amp;MID(INDEX('2_Data_Pelanggan'!$F$5:$F$499,MATCH($B18,'2_Data_Pelanggan'!$O$5:$O$499,0)),2,20),"Chat WA")),"")</f>
        <v>Chat WA</v>
      </c>
      <c r="K18" s="107" t="str">
        <f t="array" ref="K18">IFERROR(IF(INDEX('2_Data_Pelanggan'!$F$5:$F$499,MATCH($B18,'2_Data_Pelanggan'!$O$5:$O$499,0))="","",HYPERLINK("https://wa.me/62"&amp;MID(INDEX('2_Data_Pelanggan'!$F$5:$F$499,MATCH($B18,'2_Data_Pelanggan'!$O$5:$O$499,0)),2,LEN(INDEX('2_Data_Pelanggan'!$F$5:$F$499,MATCH($B18,'2_Data_Pelanggan'!$O$5:$O$499,0)))-1)&amp;"?text="&amp;SUBSTITUTE(SUBSTITUTE("Selamat "&amp;IF(HOUR(NOW())&lt;11,"Pagi",IF(HOUR(NOW())&lt;15,"Siang",IF(HOUR(NOW())&lt;18,"Sore","Malam")))&amp;" Bapak/Ibu "&amp;E18&amp;","&amp;CHAR(10)&amp;CHAR(10)&amp;"Mohon maaf mengganggu waktunya. Kami dari Tim Teknis ARMEDIA Net mendeteksi jaringan internet di rumah Bapak/Ibu sedang OFFLINE."&amp;CHAR(10)&amp;CHAR(10)&amp;"ID Pelanggan: "&amp;D18&amp;CHAR(10)&amp;CHAR(10)&amp;"Mohon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</row>
    <row r="19" ht="15.0" customHeight="1">
      <c r="A19" s="285">
        <v>16.0</v>
      </c>
      <c r="B19" s="286" t="s">
        <v>1486</v>
      </c>
      <c r="C19" s="286" t="s">
        <v>1857</v>
      </c>
      <c r="D19" s="287" t="str">
        <f t="array" ref="D19">IFERROR(INDEX('2_Data_Pelanggan'!$B$5:$B$499,MATCH($B19,'2_Data_Pelanggan'!$O$5:$O$499,0)),"")</f>
        <v>ARM-0167</v>
      </c>
      <c r="E19" s="288" t="str">
        <f t="array" ref="E19">IFERROR(INDEX('2_Data_Pelanggan'!$D$5:$D$499,MATCH($B19,'2_Data_Pelanggan'!$O$5:$O$499,0)),"")</f>
        <v>LILIS PRIYANI</v>
      </c>
      <c r="F19" s="226" t="str">
        <f t="array" ref="F19">IFERROR(INDEX('2_Data_Pelanggan'!$H$5:$H$499,MATCH($B19,'2_Data_Pelanggan'!$O$5:$O$499,0)),"")</f>
        <v>GUMELAR</v>
      </c>
      <c r="G19" s="216" t="str">
        <f t="array" ref="G19">IFERROR(INDEX('2_Data_Pelanggan'!$I$5:$I$499,MATCH($B19,'2_Data_Pelanggan'!$O$5:$O$499,0))&amp;"/"&amp;INDEX('2_Data_Pelanggan'!$J$5:$J$499,MATCH($B19,'2_Data_Pelanggan'!$O$5:$O$499,0)),"")</f>
        <v>9/7</v>
      </c>
      <c r="H19" s="287">
        <f t="array" ref="H19">IFERROR(INDEX('2_Data_Pelanggan'!$M$5:$M$499,MATCH($B19,'2_Data_Pelanggan'!$O$5:$O$499,0)),"")</f>
        <v>20</v>
      </c>
      <c r="I19" s="287" t="str">
        <f t="array" ref="I19">IFERROR(INDEX('2_Data_Pelanggan'!$W$5:$W$499,MATCH($B19,'2_Data_Pelanggan'!$O$5:$O$499,0)),"")</f>
        <v>Aktif</v>
      </c>
      <c r="J19" s="107" t="str">
        <f t="array" ref="J19">IFERROR(IF(INDEX('2_Data_Pelanggan'!$F$5:$F$499,MATCH($B19,'2_Data_Pelanggan'!$O$5:$O$499,0))="","",HYPERLINK("https://wa.me/62"&amp;MID(INDEX('2_Data_Pelanggan'!$F$5:$F$499,MATCH($B19,'2_Data_Pelanggan'!$O$5:$O$499,0)),2,20),"Chat WA")),"")</f>
        <v>Chat WA</v>
      </c>
      <c r="K19" s="107" t="str">
        <f t="array" ref="K19">IFERROR(IF(INDEX('2_Data_Pelanggan'!$F$5:$F$499,MATCH($B19,'2_Data_Pelanggan'!$O$5:$O$499,0))="","",HYPERLINK("https://wa.me/62"&amp;MID(INDEX('2_Data_Pelanggan'!$F$5:$F$499,MATCH($B19,'2_Data_Pelanggan'!$O$5:$O$499,0)),2,LEN(INDEX('2_Data_Pelanggan'!$F$5:$F$499,MATCH($B19,'2_Data_Pelanggan'!$O$5:$O$499,0)))-1)&amp;"?text="&amp;SUBSTITUTE(SUBSTITUTE("Selamat "&amp;IF(HOUR(NOW())&lt;11,"Pagi",IF(HOUR(NOW())&lt;15,"Siang",IF(HOUR(NOW())&lt;18,"Sore","Malam")))&amp;" Bapak/Ibu "&amp;E19&amp;","&amp;CHAR(10)&amp;CHAR(10)&amp;"Mohon maaf mengganggu waktunya. Kami dari Tim Teknis ARMEDIA Net mendeteksi jaringan internet di rumah Bapak/Ibu sedang OFFLINE."&amp;CHAR(10)&amp;CHAR(10)&amp;"ID Pelanggan: "&amp;D19&amp;CHAR(10)&amp;CHAR(10)&amp;"Mohon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</row>
    <row r="20" ht="15.0" customHeight="1">
      <c r="A20" s="285"/>
      <c r="B20" s="286"/>
      <c r="C20" s="286"/>
      <c r="D20" s="287"/>
      <c r="E20" s="288"/>
      <c r="F20" s="226"/>
      <c r="G20" s="216"/>
      <c r="H20" s="287"/>
      <c r="I20" s="287"/>
      <c r="J20" s="10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</row>
    <row r="21" ht="15.0" customHeight="1">
      <c r="A21" s="285">
        <v>1.0</v>
      </c>
      <c r="B21" s="286" t="s">
        <v>203</v>
      </c>
      <c r="C21" s="286" t="s">
        <v>1865</v>
      </c>
      <c r="D21" s="287" t="str">
        <f t="array" ref="D21">IFERROR(INDEX('2_Data_Pelanggan'!$B$5:$B$499,MATCH($B21,'2_Data_Pelanggan'!$O$5:$O$499,0)),"")</f>
        <v>ARM-0002</v>
      </c>
      <c r="E21" s="288" t="str">
        <f t="array" ref="E21">IFERROR(INDEX('2_Data_Pelanggan'!$D$5:$D$499,MATCH($B21,'2_Data_Pelanggan'!$O$5:$O$499,0)),"")</f>
        <v>PERTASHOP</v>
      </c>
      <c r="F21" s="226" t="str">
        <f t="array" ref="F21">IFERROR(INDEX('2_Data_Pelanggan'!$H$5:$H$499,MATCH($B21,'2_Data_Pelanggan'!$O$5:$O$499,0)),"")</f>
        <v/>
      </c>
      <c r="G21" s="216" t="str">
        <f t="array" ref="G21">IFERROR(INDEX('2_Data_Pelanggan'!$I$5:$I$499,MATCH($B21,'2_Data_Pelanggan'!$O$5:$O$499,0))&amp;"/"&amp;INDEX('2_Data_Pelanggan'!$J$5:$J$499,MATCH($B21,'2_Data_Pelanggan'!$O$5:$O$499,0)),"")</f>
        <v>/</v>
      </c>
      <c r="H21" s="287">
        <f t="array" ref="H21">IFERROR(INDEX('2_Data_Pelanggan'!$M$5:$M$499,MATCH($B21,'2_Data_Pelanggan'!$O$5:$O$499,0)),"")</f>
        <v>50</v>
      </c>
      <c r="I21" s="287" t="str">
        <f t="array" ref="I21">IFERROR(INDEX('2_Data_Pelanggan'!$W$5:$W$499,MATCH($B21,'2_Data_Pelanggan'!$O$5:$O$499,0)),"")</f>
        <v>Aktif</v>
      </c>
      <c r="J21" s="107" t="str">
        <f t="array" ref="J21">IFERROR(IF(INDEX('2_Data_Pelanggan'!$F$5:$F$499,MATCH($B21,'2_Data_Pelanggan'!$O$5:$O$499,0))="","",HYPERLINK("https://wa.me/62"&amp;MID(INDEX('2_Data_Pelanggan'!$F$5:$F$499,MATCH($B21,'2_Data_Pelanggan'!$O$5:$O$499,0)),2,20),"Chat WA")),"")</f>
        <v/>
      </c>
      <c r="K21" s="107" t="str">
        <f t="array" ref="K21">IFERROR(IF(INDEX('2_Data_Pelanggan'!$F$5:$F$499,MATCH($B21,'2_Data_Pelanggan'!$O$5:$O$499,0))="","",HYPERLINK("https://wa.me/62"&amp;MID(INDEX('2_Data_Pelanggan'!$F$5:$F$499,MATCH($B21,'2_Data_Pelanggan'!$O$5:$O$499,0)),2,LEN(INDEX('2_Data_Pelanggan'!$F$5:$F$499,MATCH($B21,'2_Data_Pelanggan'!$O$5:$O$499,0)))-1)&amp;"?text="&amp;SUBSTITUTE(SUBSTITUTE("Selamat "&amp;IF(HOUR(NOW())&lt;11,"Pagi",IF(HOUR(NOW())&lt;15,"Siang",IF(HOUR(NOW())&lt;18,"Sore","Malam")))&amp;" Bapak/Ibu "&amp;E21&amp;","&amp;CHAR(10)&amp;CHAR(10)&amp;"Mohon maaf mengganggu waktunya. Kami dari Tim Teknis ARMEDIA Net mendeteksi jaringan internet di rumah Bapak/Ibu sedang OFFLINE."&amp;CHAR(10)&amp;CHAR(10)&amp;"ID Pelanggan: "&amp;D21&amp;CHAR(10)&amp;CHAR(10)&amp;"Mohon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</row>
    <row r="22" ht="15.0" customHeight="1">
      <c r="A22" s="285">
        <v>2.0</v>
      </c>
      <c r="B22" s="286" t="s">
        <v>650</v>
      </c>
      <c r="C22" s="286" t="s">
        <v>1865</v>
      </c>
      <c r="D22" s="287" t="str">
        <f t="array" ref="D22">IFERROR(INDEX('2_Data_Pelanggan'!$B$5:$B$499,MATCH($B22,'2_Data_Pelanggan'!$O$5:$O$499,0)),"")</f>
        <v>ARM-0059</v>
      </c>
      <c r="E22" s="288" t="str">
        <f t="array" ref="E22">IFERROR(INDEX('2_Data_Pelanggan'!$D$5:$D$499,MATCH($B22,'2_Data_Pelanggan'!$O$5:$O$499,0)),"")</f>
        <v>ADI JUNAIDI</v>
      </c>
      <c r="F22" s="226" t="str">
        <f t="array" ref="F22">IFERROR(INDEX('2_Data_Pelanggan'!$H$5:$H$499,MATCH($B22,'2_Data_Pelanggan'!$O$5:$O$499,0)),"")</f>
        <v>GUMELAR</v>
      </c>
      <c r="G22" s="216" t="str">
        <f t="array" ref="G22">IFERROR(INDEX('2_Data_Pelanggan'!$I$5:$I$499,MATCH($B22,'2_Data_Pelanggan'!$O$5:$O$499,0))&amp;"/"&amp;INDEX('2_Data_Pelanggan'!$J$5:$J$499,MATCH($B22,'2_Data_Pelanggan'!$O$5:$O$499,0)),"")</f>
        <v>1/5</v>
      </c>
      <c r="H22" s="287">
        <f t="array" ref="H22">IFERROR(INDEX('2_Data_Pelanggan'!$M$5:$M$499,MATCH($B22,'2_Data_Pelanggan'!$O$5:$O$499,0)),"")</f>
        <v>50</v>
      </c>
      <c r="I22" s="287" t="str">
        <f t="array" ref="I22">IFERROR(INDEX('2_Data_Pelanggan'!$W$5:$W$499,MATCH($B22,'2_Data_Pelanggan'!$O$5:$O$499,0)),"")</f>
        <v>Aktif</v>
      </c>
      <c r="J22" s="107" t="str">
        <f t="array" ref="J22">IFERROR(IF(INDEX('2_Data_Pelanggan'!$F$5:$F$499,MATCH($B22,'2_Data_Pelanggan'!$O$5:$O$499,0))="","",HYPERLINK("https://wa.me/62"&amp;MID(INDEX('2_Data_Pelanggan'!$F$5:$F$499,MATCH($B22,'2_Data_Pelanggan'!$O$5:$O$499,0)),2,20),"Chat WA")),"")</f>
        <v>Chat WA</v>
      </c>
      <c r="K22" s="107" t="str">
        <f t="array" ref="K22">IFERROR(IF(INDEX('2_Data_Pelanggan'!$F$5:$F$499,MATCH($B22,'2_Data_Pelanggan'!$O$5:$O$499,0))="","",HYPERLINK("https://wa.me/62"&amp;MID(INDEX('2_Data_Pelanggan'!$F$5:$F$499,MATCH($B22,'2_Data_Pelanggan'!$O$5:$O$499,0)),2,LEN(INDEX('2_Data_Pelanggan'!$F$5:$F$499,MATCH($B22,'2_Data_Pelanggan'!$O$5:$O$499,0)))-1)&amp;"?text="&amp;SUBSTITUTE(SUBSTITUTE("Selamat "&amp;IF(HOUR(NOW())&lt;11,"Pagi",IF(HOUR(NOW())&lt;15,"Siang",IF(HOUR(NOW())&lt;18,"Sore","Malam")))&amp;" Bapak/Ibu "&amp;E22&amp;","&amp;CHAR(10)&amp;CHAR(10)&amp;"Mohon maaf mengganggu waktunya. Kami dari Tim Teknis ARMEDIA Net mendeteksi jaringan internet di rumah Bapak/Ibu sedang OFFLINE."&amp;CHAR(10)&amp;CHAR(10)&amp;"ID Pelanggan: "&amp;D22&amp;CHAR(10)&amp;CHAR(10)&amp;"Mohon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</row>
    <row r="23" ht="15.0" customHeight="1">
      <c r="A23" s="285">
        <v>3.0</v>
      </c>
      <c r="B23" s="286" t="s">
        <v>964</v>
      </c>
      <c r="C23" s="286" t="s">
        <v>1865</v>
      </c>
      <c r="D23" s="287" t="str">
        <f t="array" ref="D23">IFERROR(INDEX('2_Data_Pelanggan'!$B$5:$B$499,MATCH($B23,'2_Data_Pelanggan'!$O$5:$O$499,0)),"")</f>
        <v>ARM-0099</v>
      </c>
      <c r="E23" s="288" t="str">
        <f t="array" ref="E23">IFERROR(INDEX('2_Data_Pelanggan'!$D$5:$D$499,MATCH($B23,'2_Data_Pelanggan'!$O$5:$O$499,0)),"")</f>
        <v>WONDO PRABOWO</v>
      </c>
      <c r="F23" s="226" t="str">
        <f t="array" ref="F23">IFERROR(INDEX('2_Data_Pelanggan'!$H$5:$H$499,MATCH($B23,'2_Data_Pelanggan'!$O$5:$O$499,0)),"")</f>
        <v>GUMELAR</v>
      </c>
      <c r="G23" s="216" t="str">
        <f t="array" ref="G23">IFERROR(INDEX('2_Data_Pelanggan'!$I$5:$I$499,MATCH($B23,'2_Data_Pelanggan'!$O$5:$O$499,0))&amp;"/"&amp;INDEX('2_Data_Pelanggan'!$J$5:$J$499,MATCH($B23,'2_Data_Pelanggan'!$O$5:$O$499,0)),"")</f>
        <v>2/6</v>
      </c>
      <c r="H23" s="287">
        <f t="array" ref="H23">IFERROR(INDEX('2_Data_Pelanggan'!$M$5:$M$499,MATCH($B23,'2_Data_Pelanggan'!$O$5:$O$499,0)),"")</f>
        <v>20</v>
      </c>
      <c r="I23" s="287" t="str">
        <f t="array" ref="I23">IFERROR(INDEX('2_Data_Pelanggan'!$W$5:$W$499,MATCH($B23,'2_Data_Pelanggan'!$O$5:$O$499,0)),"")</f>
        <v>Aktif</v>
      </c>
      <c r="J23" s="107" t="str">
        <f t="array" ref="J23">IFERROR(IF(INDEX('2_Data_Pelanggan'!$F$5:$F$499,MATCH($B23,'2_Data_Pelanggan'!$O$5:$O$499,0))="","",HYPERLINK("https://wa.me/62"&amp;MID(INDEX('2_Data_Pelanggan'!$F$5:$F$499,MATCH($B23,'2_Data_Pelanggan'!$O$5:$O$499,0)),2,20),"Chat WA")),"")</f>
        <v>Chat WA</v>
      </c>
      <c r="K23" s="107" t="str">
        <f t="array" ref="K23">IFERROR(IF(INDEX('2_Data_Pelanggan'!$F$5:$F$499,MATCH($B23,'2_Data_Pelanggan'!$O$5:$O$499,0))="","",HYPERLINK("https://wa.me/62"&amp;MID(INDEX('2_Data_Pelanggan'!$F$5:$F$499,MATCH($B23,'2_Data_Pelanggan'!$O$5:$O$499,0)),2,LEN(INDEX('2_Data_Pelanggan'!$F$5:$F$499,MATCH($B23,'2_Data_Pelanggan'!$O$5:$O$499,0)))-1)&amp;"?text="&amp;SUBSTITUTE(SUBSTITUTE("Selamat "&amp;IF(HOUR(NOW())&lt;11,"Pagi",IF(HOUR(NOW())&lt;15,"Siang",IF(HOUR(NOW())&lt;18,"Sore","Malam")))&amp;" Bapak/Ibu "&amp;E23&amp;","&amp;CHAR(10)&amp;CHAR(10)&amp;"Mohon maaf mengganggu waktunya. Kami dari Tim Teknis ARMEDIA Net mendeteksi jaringan internet di rumah Bapak/Ibu sedang OFFLINE."&amp;CHAR(10)&amp;CHAR(10)&amp;"ID Pelanggan: "&amp;D23&amp;CHAR(10)&amp;CHAR(10)&amp;"Mohon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</row>
    <row r="24" ht="15.0" customHeight="1">
      <c r="A24" s="285">
        <v>4.0</v>
      </c>
      <c r="B24" s="286" t="s">
        <v>1866</v>
      </c>
      <c r="C24" s="286" t="s">
        <v>1865</v>
      </c>
      <c r="D24" s="287" t="str">
        <f t="array" ref="D24">IFERROR(INDEX('2_Data_Pelanggan'!$B$5:$B$499,MATCH($B24,'2_Data_Pelanggan'!$O$5:$O$499,0)),"")</f>
        <v/>
      </c>
      <c r="E24" s="288" t="str">
        <f t="array" ref="E24">IFERROR(INDEX('2_Data_Pelanggan'!$D$5:$D$499,MATCH($B24,'2_Data_Pelanggan'!$O$5:$O$499,0)),"")</f>
        <v/>
      </c>
      <c r="F24" s="226" t="str">
        <f t="array" ref="F24">IFERROR(INDEX('2_Data_Pelanggan'!$H$5:$H$499,MATCH($B24,'2_Data_Pelanggan'!$O$5:$O$499,0)),"")</f>
        <v/>
      </c>
      <c r="G24" s="216" t="str">
        <f t="array" ref="G24">IFERROR(INDEX('2_Data_Pelanggan'!$I$5:$I$499,MATCH($B24,'2_Data_Pelanggan'!$O$5:$O$499,0))&amp;"/"&amp;INDEX('2_Data_Pelanggan'!$J$5:$J$499,MATCH($B24,'2_Data_Pelanggan'!$O$5:$O$499,0)),"")</f>
        <v/>
      </c>
      <c r="H24" s="287" t="str">
        <f t="array" ref="H24">IFERROR(INDEX('2_Data_Pelanggan'!$M$5:$M$499,MATCH($B24,'2_Data_Pelanggan'!$O$5:$O$499,0)),"")</f>
        <v/>
      </c>
      <c r="I24" s="287" t="str">
        <f t="array" ref="I24">IFERROR(INDEX('2_Data_Pelanggan'!$W$5:$W$499,MATCH($B24,'2_Data_Pelanggan'!$O$5:$O$499,0)),"")</f>
        <v/>
      </c>
      <c r="J24" s="107" t="str">
        <f t="array" ref="J24">IFERROR(IF(INDEX('2_Data_Pelanggan'!$F$5:$F$499,MATCH($B24,'2_Data_Pelanggan'!$O$5:$O$499,0))="","",HYPERLINK("https://wa.me/62"&amp;MID(INDEX('2_Data_Pelanggan'!$F$5:$F$499,MATCH($B24,'2_Data_Pelanggan'!$O$5:$O$499,0)),2,20),"Chat WA")),"")</f>
        <v/>
      </c>
      <c r="K24" s="107" t="str">
        <f t="array" ref="K24">IFERROR(IF(INDEX('2_Data_Pelanggan'!$F$5:$F$499,MATCH($B24,'2_Data_Pelanggan'!$O$5:$O$499,0))="","",HYPERLINK("https://wa.me/62"&amp;MID(INDEX('2_Data_Pelanggan'!$F$5:$F$499,MATCH($B24,'2_Data_Pelanggan'!$O$5:$O$499,0)),2,LEN(INDEX('2_Data_Pelanggan'!$F$5:$F$499,MATCH($B24,'2_Data_Pelanggan'!$O$5:$O$499,0)))-1)&amp;"?text="&amp;SUBSTITUTE(SUBSTITUTE("Selamat "&amp;IF(HOUR(NOW())&lt;11,"Pagi",IF(HOUR(NOW())&lt;15,"Siang",IF(HOUR(NOW())&lt;18,"Sore","Malam")))&amp;" Bapak/Ibu "&amp;E24&amp;","&amp;CHAR(10)&amp;CHAR(10)&amp;"Mohon maaf mengganggu waktunya. Kami dari Tim Teknis ARMEDIA Net mendeteksi jaringan internet di rumah Bapak/Ibu sedang OFFLINE."&amp;CHAR(10)&amp;CHAR(10)&amp;"ID Pelanggan: "&amp;D24&amp;CHAR(10)&amp;CHAR(10)&amp;"Mohon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</row>
    <row r="25" ht="15.0" customHeight="1">
      <c r="A25" s="285">
        <v>5.0</v>
      </c>
      <c r="B25" s="286" t="s">
        <v>831</v>
      </c>
      <c r="C25" s="286" t="s">
        <v>1865</v>
      </c>
      <c r="D25" s="287" t="str">
        <f t="array" ref="D25">IFERROR(INDEX('2_Data_Pelanggan'!$B$5:$B$499,MATCH($B25,'2_Data_Pelanggan'!$O$5:$O$499,0)),"")</f>
        <v>ARM-0082</v>
      </c>
      <c r="E25" s="288" t="str">
        <f t="array" ref="E25">IFERROR(INDEX('2_Data_Pelanggan'!$D$5:$D$499,MATCH($B25,'2_Data_Pelanggan'!$O$5:$O$499,0)),"")</f>
        <v>ANJAR NUTRASARI</v>
      </c>
      <c r="F25" s="226" t="str">
        <f t="array" ref="F25">IFERROR(INDEX('2_Data_Pelanggan'!$H$5:$H$499,MATCH($B25,'2_Data_Pelanggan'!$O$5:$O$499,0)),"")</f>
        <v>GUMELAR</v>
      </c>
      <c r="G25" s="216" t="str">
        <f t="array" ref="G25">IFERROR(INDEX('2_Data_Pelanggan'!$I$5:$I$499,MATCH($B25,'2_Data_Pelanggan'!$O$5:$O$499,0))&amp;"/"&amp;INDEX('2_Data_Pelanggan'!$J$5:$J$499,MATCH($B25,'2_Data_Pelanggan'!$O$5:$O$499,0)),"")</f>
        <v>1/5</v>
      </c>
      <c r="H25" s="287">
        <f t="array" ref="H25">IFERROR(INDEX('2_Data_Pelanggan'!$M$5:$M$499,MATCH($B25,'2_Data_Pelanggan'!$O$5:$O$499,0)),"")</f>
        <v>50</v>
      </c>
      <c r="I25" s="287" t="str">
        <f t="array" ref="I25">IFERROR(INDEX('2_Data_Pelanggan'!$W$5:$W$499,MATCH($B25,'2_Data_Pelanggan'!$O$5:$O$499,0)),"")</f>
        <v>Aktif</v>
      </c>
      <c r="J25" s="107" t="str">
        <f t="array" ref="J25">IFERROR(IF(INDEX('2_Data_Pelanggan'!$F$5:$F$499,MATCH($B25,'2_Data_Pelanggan'!$O$5:$O$499,0))="","",HYPERLINK("https://wa.me/62"&amp;MID(INDEX('2_Data_Pelanggan'!$F$5:$F$499,MATCH($B25,'2_Data_Pelanggan'!$O$5:$O$499,0)),2,20),"Chat WA")),"")</f>
        <v>Chat WA</v>
      </c>
      <c r="K25" s="107" t="str">
        <f t="array" ref="K25">IFERROR(IF(INDEX('2_Data_Pelanggan'!$F$5:$F$499,MATCH($B25,'2_Data_Pelanggan'!$O$5:$O$499,0))="","",HYPERLINK("https://wa.me/62"&amp;MID(INDEX('2_Data_Pelanggan'!$F$5:$F$499,MATCH($B25,'2_Data_Pelanggan'!$O$5:$O$499,0)),2,LEN(INDEX('2_Data_Pelanggan'!$F$5:$F$499,MATCH($B25,'2_Data_Pelanggan'!$O$5:$O$499,0)))-1)&amp;"?text="&amp;SUBSTITUTE(SUBSTITUTE("Selamat "&amp;IF(HOUR(NOW())&lt;11,"Pagi",IF(HOUR(NOW())&lt;15,"Siang",IF(HOUR(NOW())&lt;18,"Sore","Malam")))&amp;" Bapak/Ibu "&amp;E25&amp;","&amp;CHAR(10)&amp;CHAR(10)&amp;"Mohon maaf mengganggu waktunya. Kami dari Tim Teknis ARMEDIA Net mendeteksi jaringan internet di rumah Bapak/Ibu sedang OFFLINE."&amp;CHAR(10)&amp;CHAR(10)&amp;"ID Pelanggan: "&amp;D25&amp;CHAR(10)&amp;CHAR(10)&amp;"Mohon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</row>
    <row r="26" ht="15.0" customHeight="1">
      <c r="A26" s="285">
        <v>6.0</v>
      </c>
      <c r="B26" s="286" t="s">
        <v>353</v>
      </c>
      <c r="C26" s="286" t="s">
        <v>1865</v>
      </c>
      <c r="D26" s="287" t="str">
        <f t="array" ref="D26">IFERROR(INDEX('2_Data_Pelanggan'!$B$5:$B$499,MATCH($B26,'2_Data_Pelanggan'!$O$5:$O$499,0)),"")</f>
        <v>ARM-0021</v>
      </c>
      <c r="E26" s="288" t="str">
        <f t="array" ref="E26">IFERROR(INDEX('2_Data_Pelanggan'!$D$5:$D$499,MATCH($B26,'2_Data_Pelanggan'!$O$5:$O$499,0)),"")</f>
        <v>RUJININGSIH</v>
      </c>
      <c r="F26" s="226" t="str">
        <f t="array" ref="F26">IFERROR(INDEX('2_Data_Pelanggan'!$H$5:$H$499,MATCH($B26,'2_Data_Pelanggan'!$O$5:$O$499,0)),"")</f>
        <v>CIHONJE</v>
      </c>
      <c r="G26" s="216" t="str">
        <f t="array" ref="G26">IFERROR(INDEX('2_Data_Pelanggan'!$I$5:$I$499,MATCH($B26,'2_Data_Pelanggan'!$O$5:$O$499,0))&amp;"/"&amp;INDEX('2_Data_Pelanggan'!$J$5:$J$499,MATCH($B26,'2_Data_Pelanggan'!$O$5:$O$499,0)),"")</f>
        <v>5/2</v>
      </c>
      <c r="H26" s="287">
        <f t="array" ref="H26">IFERROR(INDEX('2_Data_Pelanggan'!$M$5:$M$499,MATCH($B26,'2_Data_Pelanggan'!$O$5:$O$499,0)),"")</f>
        <v>50</v>
      </c>
      <c r="I26" s="287" t="str">
        <f t="array" ref="I26">IFERROR(INDEX('2_Data_Pelanggan'!$W$5:$W$499,MATCH($B26,'2_Data_Pelanggan'!$O$5:$O$499,0)),"")</f>
        <v>Aktif</v>
      </c>
      <c r="J26" s="107" t="str">
        <f t="array" ref="J26">IFERROR(IF(INDEX('2_Data_Pelanggan'!$F$5:$F$499,MATCH($B26,'2_Data_Pelanggan'!$O$5:$O$499,0))="","",HYPERLINK("https://wa.me/62"&amp;MID(INDEX('2_Data_Pelanggan'!$F$5:$F$499,MATCH($B26,'2_Data_Pelanggan'!$O$5:$O$499,0)),2,20),"Chat WA")),"")</f>
        <v>Chat WA</v>
      </c>
      <c r="K26" s="107" t="str">
        <f t="array" ref="K26">IFERROR(IF(INDEX('2_Data_Pelanggan'!$F$5:$F$499,MATCH($B26,'2_Data_Pelanggan'!$O$5:$O$499,0))="","",HYPERLINK("https://wa.me/62"&amp;MID(INDEX('2_Data_Pelanggan'!$F$5:$F$499,MATCH($B26,'2_Data_Pelanggan'!$O$5:$O$499,0)),2,LEN(INDEX('2_Data_Pelanggan'!$F$5:$F$499,MATCH($B26,'2_Data_Pelanggan'!$O$5:$O$499,0)))-1)&amp;"?text="&amp;SUBSTITUTE(SUBSTITUTE("Selamat "&amp;IF(HOUR(NOW())&lt;11,"Pagi",IF(HOUR(NOW())&lt;15,"Siang",IF(HOUR(NOW())&lt;18,"Sore","Malam")))&amp;" Bapak/Ibu "&amp;E26&amp;","&amp;CHAR(10)&amp;CHAR(10)&amp;"Mohon maaf mengganggu waktunya. Kami dari Tim Teknis ARMEDIA Net mendeteksi jaringan internet di rumah Bapak/Ibu sedang OFFLINE."&amp;CHAR(10)&amp;CHAR(10)&amp;"ID Pelanggan: "&amp;D26&amp;CHAR(10)&amp;CHAR(10)&amp;"Mohon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</row>
    <row r="27" ht="15.0" customHeight="1">
      <c r="A27" s="285">
        <v>7.0</v>
      </c>
      <c r="B27" s="286" t="s">
        <v>1020</v>
      </c>
      <c r="C27" s="286" t="s">
        <v>1865</v>
      </c>
      <c r="D27" s="287" t="str">
        <f t="array" ref="D27">IFERROR(INDEX('2_Data_Pelanggan'!$B$5:$B$499,MATCH($B27,'2_Data_Pelanggan'!$O$5:$O$499,0)),"")</f>
        <v>ARM-0106</v>
      </c>
      <c r="E27" s="288" t="str">
        <f t="array" ref="E27">IFERROR(INDEX('2_Data_Pelanggan'!$D$5:$D$499,MATCH($B27,'2_Data_Pelanggan'!$O$5:$O$499,0)),"")</f>
        <v>BUDI PRIYONO</v>
      </c>
      <c r="F27" s="226" t="str">
        <f t="array" ref="F27">IFERROR(INDEX('2_Data_Pelanggan'!$H$5:$H$499,MATCH($B27,'2_Data_Pelanggan'!$O$5:$O$499,0)),"")</f>
        <v>GUMELAR</v>
      </c>
      <c r="G27" s="216" t="str">
        <f t="array" ref="G27">IFERROR(INDEX('2_Data_Pelanggan'!$I$5:$I$499,MATCH($B27,'2_Data_Pelanggan'!$O$5:$O$499,0))&amp;"/"&amp;INDEX('2_Data_Pelanggan'!$J$5:$J$499,MATCH($B27,'2_Data_Pelanggan'!$O$5:$O$499,0)),"")</f>
        <v>10/4</v>
      </c>
      <c r="H27" s="287">
        <f t="array" ref="H27">IFERROR(INDEX('2_Data_Pelanggan'!$M$5:$M$499,MATCH($B27,'2_Data_Pelanggan'!$O$5:$O$499,0)),"")</f>
        <v>20</v>
      </c>
      <c r="I27" s="287" t="str">
        <f t="array" ref="I27">IFERROR(INDEX('2_Data_Pelanggan'!$W$5:$W$499,MATCH($B27,'2_Data_Pelanggan'!$O$5:$O$499,0)),"")</f>
        <v>Aktif</v>
      </c>
      <c r="J27" s="107" t="str">
        <f t="array" ref="J27">IFERROR(IF(INDEX('2_Data_Pelanggan'!$F$5:$F$499,MATCH($B27,'2_Data_Pelanggan'!$O$5:$O$499,0))="","",HYPERLINK("https://wa.me/62"&amp;MID(INDEX('2_Data_Pelanggan'!$F$5:$F$499,MATCH($B27,'2_Data_Pelanggan'!$O$5:$O$499,0)),2,20),"Chat WA")),"")</f>
        <v>Chat WA</v>
      </c>
      <c r="K27" s="107" t="str">
        <f t="array" ref="K27">IFERROR(IF(INDEX('2_Data_Pelanggan'!$F$5:$F$499,MATCH($B27,'2_Data_Pelanggan'!$O$5:$O$499,0))="","",HYPERLINK("https://wa.me/62"&amp;MID(INDEX('2_Data_Pelanggan'!$F$5:$F$499,MATCH($B27,'2_Data_Pelanggan'!$O$5:$O$499,0)),2,LEN(INDEX('2_Data_Pelanggan'!$F$5:$F$499,MATCH($B27,'2_Data_Pelanggan'!$O$5:$O$499,0)))-1)&amp;"?text="&amp;SUBSTITUTE(SUBSTITUTE("Selamat "&amp;IF(HOUR(NOW())&lt;11,"Pagi",IF(HOUR(NOW())&lt;15,"Siang",IF(HOUR(NOW())&lt;18,"Sore","Malam")))&amp;" Bapak/Ibu "&amp;E27&amp;","&amp;CHAR(10)&amp;CHAR(10)&amp;"Mohon maaf mengganggu waktunya. Kami dari Tim Teknis ARMEDIA Net mendeteksi jaringan internet di rumah Bapak/Ibu sedang OFFLINE."&amp;CHAR(10)&amp;CHAR(10)&amp;"ID Pelanggan: "&amp;D27&amp;CHAR(10)&amp;CHAR(10)&amp;"Mohon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</row>
    <row r="28" ht="15.0" customHeight="1">
      <c r="A28" s="285">
        <v>8.0</v>
      </c>
      <c r="B28" s="286" t="s">
        <v>1121</v>
      </c>
      <c r="C28" s="286" t="s">
        <v>1865</v>
      </c>
      <c r="D28" s="287" t="str">
        <f t="array" ref="D28">IFERROR(INDEX('2_Data_Pelanggan'!$B$5:$B$499,MATCH($B28,'2_Data_Pelanggan'!$O$5:$O$499,0)),"")</f>
        <v>ARM-0119</v>
      </c>
      <c r="E28" s="288" t="str">
        <f t="array" ref="E28">IFERROR(INDEX('2_Data_Pelanggan'!$D$5:$D$499,MATCH($B28,'2_Data_Pelanggan'!$O$5:$O$499,0)),"")</f>
        <v>DARWONO</v>
      </c>
      <c r="F28" s="226" t="str">
        <f t="array" ref="F28">IFERROR(INDEX('2_Data_Pelanggan'!$H$5:$H$499,MATCH($B28,'2_Data_Pelanggan'!$O$5:$O$499,0)),"")</f>
        <v>CIHONJE</v>
      </c>
      <c r="G28" s="216" t="str">
        <f t="array" ref="G28">IFERROR(INDEX('2_Data_Pelanggan'!$I$5:$I$499,MATCH($B28,'2_Data_Pelanggan'!$O$5:$O$499,0))&amp;"/"&amp;INDEX('2_Data_Pelanggan'!$J$5:$J$499,MATCH($B28,'2_Data_Pelanggan'!$O$5:$O$499,0)),"")</f>
        <v>3/1</v>
      </c>
      <c r="H28" s="287">
        <f t="array" ref="H28">IFERROR(INDEX('2_Data_Pelanggan'!$M$5:$M$499,MATCH($B28,'2_Data_Pelanggan'!$O$5:$O$499,0)),"")</f>
        <v>20</v>
      </c>
      <c r="I28" s="287" t="str">
        <f t="array" ref="I28">IFERROR(INDEX('2_Data_Pelanggan'!$W$5:$W$499,MATCH($B28,'2_Data_Pelanggan'!$O$5:$O$499,0)),"")</f>
        <v>Aktif</v>
      </c>
      <c r="J28" s="107" t="str">
        <f t="array" ref="J28">IFERROR(IF(INDEX('2_Data_Pelanggan'!$F$5:$F$499,MATCH($B28,'2_Data_Pelanggan'!$O$5:$O$499,0))="","",HYPERLINK("https://wa.me/62"&amp;MID(INDEX('2_Data_Pelanggan'!$F$5:$F$499,MATCH($B28,'2_Data_Pelanggan'!$O$5:$O$499,0)),2,20),"Chat WA")),"")</f>
        <v>Chat WA</v>
      </c>
      <c r="K28" s="107" t="str">
        <f t="array" ref="K28">IFERROR(IF(INDEX('2_Data_Pelanggan'!$F$5:$F$499,MATCH($B28,'2_Data_Pelanggan'!$O$5:$O$499,0))="","",HYPERLINK("https://wa.me/62"&amp;MID(INDEX('2_Data_Pelanggan'!$F$5:$F$499,MATCH($B28,'2_Data_Pelanggan'!$O$5:$O$499,0)),2,LEN(INDEX('2_Data_Pelanggan'!$F$5:$F$499,MATCH($B28,'2_Data_Pelanggan'!$O$5:$O$499,0)))-1)&amp;"?text="&amp;SUBSTITUTE(SUBSTITUTE("Selamat "&amp;IF(HOUR(NOW())&lt;11,"Pagi",IF(HOUR(NOW())&lt;15,"Siang",IF(HOUR(NOW())&lt;18,"Sore","Malam")))&amp;" Bapak/Ibu "&amp;E28&amp;","&amp;CHAR(10)&amp;CHAR(10)&amp;"Mohon maaf mengganggu waktunya. Kami dari Tim Teknis ARMEDIA Net mendeteksi jaringan internet di rumah Bapak/Ibu sedang OFFLINE."&amp;CHAR(10)&amp;CHAR(10)&amp;"ID Pelanggan: "&amp;D28&amp;CHAR(10)&amp;CHAR(10)&amp;"Mohon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</row>
    <row r="29" ht="15.0" customHeight="1">
      <c r="A29" s="285">
        <v>9.0</v>
      </c>
      <c r="B29" s="286" t="s">
        <v>398</v>
      </c>
      <c r="C29" s="286" t="s">
        <v>1865</v>
      </c>
      <c r="D29" s="287" t="str">
        <f t="array" ref="D29">IFERROR(INDEX('2_Data_Pelanggan'!$B$5:$B$499,MATCH($B29,'2_Data_Pelanggan'!$O$5:$O$499,0)),"")</f>
        <v>ARM-0027</v>
      </c>
      <c r="E29" s="288" t="str">
        <f t="array" ref="E29">IFERROR(INDEX('2_Data_Pelanggan'!$D$5:$D$499,MATCH($B29,'2_Data_Pelanggan'!$O$5:$O$499,0)),"")</f>
        <v>SUHARDONO</v>
      </c>
      <c r="F29" s="226" t="str">
        <f t="array" ref="F29">IFERROR(INDEX('2_Data_Pelanggan'!$H$5:$H$499,MATCH($B29,'2_Data_Pelanggan'!$O$5:$O$499,0)),"")</f>
        <v>CIHONJE</v>
      </c>
      <c r="G29" s="216" t="str">
        <f t="array" ref="G29">IFERROR(INDEX('2_Data_Pelanggan'!$I$5:$I$499,MATCH($B29,'2_Data_Pelanggan'!$O$5:$O$499,0))&amp;"/"&amp;INDEX('2_Data_Pelanggan'!$J$5:$J$499,MATCH($B29,'2_Data_Pelanggan'!$O$5:$O$499,0)),"")</f>
        <v>5/2</v>
      </c>
      <c r="H29" s="287">
        <f t="array" ref="H29">IFERROR(INDEX('2_Data_Pelanggan'!$M$5:$M$499,MATCH($B29,'2_Data_Pelanggan'!$O$5:$O$499,0)),"")</f>
        <v>30</v>
      </c>
      <c r="I29" s="287" t="str">
        <f t="array" ref="I29">IFERROR(INDEX('2_Data_Pelanggan'!$W$5:$W$499,MATCH($B29,'2_Data_Pelanggan'!$O$5:$O$499,0)),"")</f>
        <v>Aktif</v>
      </c>
      <c r="J29" s="107" t="str">
        <f t="array" ref="J29">IFERROR(IF(INDEX('2_Data_Pelanggan'!$F$5:$F$499,MATCH($B29,'2_Data_Pelanggan'!$O$5:$O$499,0))="","",HYPERLINK("https://wa.me/62"&amp;MID(INDEX('2_Data_Pelanggan'!$F$5:$F$499,MATCH($B29,'2_Data_Pelanggan'!$O$5:$O$499,0)),2,20),"Chat WA")),"")</f>
        <v>Chat WA</v>
      </c>
      <c r="K29" s="107" t="str">
        <f t="array" ref="K29">IFERROR(IF(INDEX('2_Data_Pelanggan'!$F$5:$F$499,MATCH($B29,'2_Data_Pelanggan'!$O$5:$O$499,0))="","",HYPERLINK("https://wa.me/62"&amp;MID(INDEX('2_Data_Pelanggan'!$F$5:$F$499,MATCH($B29,'2_Data_Pelanggan'!$O$5:$O$499,0)),2,LEN(INDEX('2_Data_Pelanggan'!$F$5:$F$499,MATCH($B29,'2_Data_Pelanggan'!$O$5:$O$499,0)))-1)&amp;"?text="&amp;SUBSTITUTE(SUBSTITUTE("Selamat "&amp;IF(HOUR(NOW())&lt;11,"Pagi",IF(HOUR(NOW())&lt;15,"Siang",IF(HOUR(NOW())&lt;18,"Sore","Malam")))&amp;" Bapak/Ibu "&amp;E29&amp;","&amp;CHAR(10)&amp;CHAR(10)&amp;"Mohon maaf mengganggu waktunya. Kami dari Tim Teknis ARMEDIA Net mendeteksi jaringan internet di rumah Bapak/Ibu sedang OFFLINE."&amp;CHAR(10)&amp;CHAR(10)&amp;"ID Pelanggan: "&amp;D29&amp;CHAR(10)&amp;CHAR(10)&amp;"Mohon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</row>
    <row r="30" ht="15.0" customHeight="1">
      <c r="A30" s="285">
        <v>10.0</v>
      </c>
      <c r="B30" s="286" t="s">
        <v>550</v>
      </c>
      <c r="C30" s="286" t="s">
        <v>1865</v>
      </c>
      <c r="D30" s="287" t="str">
        <f t="array" ref="D30">IFERROR(INDEX('2_Data_Pelanggan'!$B$5:$B$499,MATCH($B30,'2_Data_Pelanggan'!$O$5:$O$499,0)),"")</f>
        <v>ARM-0046</v>
      </c>
      <c r="E30" s="288" t="str">
        <f t="array" ref="E30">IFERROR(INDEX('2_Data_Pelanggan'!$D$5:$D$499,MATCH($B30,'2_Data_Pelanggan'!$O$5:$O$499,0)),"")</f>
        <v>MIFTAHUL UMAM</v>
      </c>
      <c r="F30" s="226" t="str">
        <f t="array" ref="F30">IFERROR(INDEX('2_Data_Pelanggan'!$H$5:$H$499,MATCH($B30,'2_Data_Pelanggan'!$O$5:$O$499,0)),"")</f>
        <v>GUMELAR</v>
      </c>
      <c r="G30" s="216" t="str">
        <f t="array" ref="G30">IFERROR(INDEX('2_Data_Pelanggan'!$I$5:$I$499,MATCH($B30,'2_Data_Pelanggan'!$O$5:$O$499,0))&amp;"/"&amp;INDEX('2_Data_Pelanggan'!$J$5:$J$499,MATCH($B30,'2_Data_Pelanggan'!$O$5:$O$499,0)),"")</f>
        <v>5/5</v>
      </c>
      <c r="H30" s="287">
        <f t="array" ref="H30">IFERROR(INDEX('2_Data_Pelanggan'!$M$5:$M$499,MATCH($B30,'2_Data_Pelanggan'!$O$5:$O$499,0)),"")</f>
        <v>30</v>
      </c>
      <c r="I30" s="287" t="str">
        <f t="array" ref="I30">IFERROR(INDEX('2_Data_Pelanggan'!$W$5:$W$499,MATCH($B30,'2_Data_Pelanggan'!$O$5:$O$499,0)),"")</f>
        <v>Aktif</v>
      </c>
      <c r="J30" s="107" t="str">
        <f t="array" ref="J30">IFERROR(IF(INDEX('2_Data_Pelanggan'!$F$5:$F$499,MATCH($B30,'2_Data_Pelanggan'!$O$5:$O$499,0))="","",HYPERLINK("https://wa.me/62"&amp;MID(INDEX('2_Data_Pelanggan'!$F$5:$F$499,MATCH($B30,'2_Data_Pelanggan'!$O$5:$O$499,0)),2,20),"Chat WA")),"")</f>
        <v>Chat WA</v>
      </c>
      <c r="K30" s="107" t="str">
        <f t="array" ref="K30">IFERROR(IF(INDEX('2_Data_Pelanggan'!$F$5:$F$499,MATCH($B30,'2_Data_Pelanggan'!$O$5:$O$499,0))="","",HYPERLINK("https://wa.me/62"&amp;MID(INDEX('2_Data_Pelanggan'!$F$5:$F$499,MATCH($B30,'2_Data_Pelanggan'!$O$5:$O$499,0)),2,LEN(INDEX('2_Data_Pelanggan'!$F$5:$F$499,MATCH($B30,'2_Data_Pelanggan'!$O$5:$O$499,0)))-1)&amp;"?text="&amp;SUBSTITUTE(SUBSTITUTE("Selamat "&amp;IF(HOUR(NOW())&lt;11,"Pagi",IF(HOUR(NOW())&lt;15,"Siang",IF(HOUR(NOW())&lt;18,"Sore","Malam")))&amp;" Bapak/Ibu "&amp;E30&amp;","&amp;CHAR(10)&amp;CHAR(10)&amp;"Mohon maaf mengganggu waktunya. Kami dari Tim Teknis ARMEDIA Net mendeteksi jaringan internet di rumah Bapak/Ibu sedang OFFLINE."&amp;CHAR(10)&amp;CHAR(10)&amp;"ID Pelanggan: "&amp;D30&amp;CHAR(10)&amp;CHAR(10)&amp;"Mohon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</row>
    <row r="31" ht="15.0" customHeight="1">
      <c r="A31" s="285">
        <v>11.0</v>
      </c>
      <c r="B31" s="286" t="s">
        <v>641</v>
      </c>
      <c r="C31" s="286" t="s">
        <v>1865</v>
      </c>
      <c r="D31" s="287" t="str">
        <f t="array" ref="D31">IFERROR(INDEX('2_Data_Pelanggan'!$B$5:$B$499,MATCH($B31,'2_Data_Pelanggan'!$O$5:$O$499,0)),"")</f>
        <v>ARM-0058</v>
      </c>
      <c r="E31" s="288" t="str">
        <f t="array" ref="E31">IFERROR(INDEX('2_Data_Pelanggan'!$D$5:$D$499,MATCH($B31,'2_Data_Pelanggan'!$O$5:$O$499,0)),"")</f>
        <v>ROHYATI</v>
      </c>
      <c r="F31" s="226" t="str">
        <f t="array" ref="F31">IFERROR(INDEX('2_Data_Pelanggan'!$H$5:$H$499,MATCH($B31,'2_Data_Pelanggan'!$O$5:$O$499,0)),"")</f>
        <v>GUMELAR</v>
      </c>
      <c r="G31" s="216" t="str">
        <f t="array" ref="G31">IFERROR(INDEX('2_Data_Pelanggan'!$I$5:$I$499,MATCH($B31,'2_Data_Pelanggan'!$O$5:$O$499,0))&amp;"/"&amp;INDEX('2_Data_Pelanggan'!$J$5:$J$499,MATCH($B31,'2_Data_Pelanggan'!$O$5:$O$499,0)),"")</f>
        <v>1/5</v>
      </c>
      <c r="H31" s="287">
        <f t="array" ref="H31">IFERROR(INDEX('2_Data_Pelanggan'!$M$5:$M$499,MATCH($B31,'2_Data_Pelanggan'!$O$5:$O$499,0)),"")</f>
        <v>20</v>
      </c>
      <c r="I31" s="287" t="str">
        <f t="array" ref="I31">IFERROR(INDEX('2_Data_Pelanggan'!$W$5:$W$499,MATCH($B31,'2_Data_Pelanggan'!$O$5:$O$499,0)),"")</f>
        <v>Aktif</v>
      </c>
      <c r="J31" s="107" t="str">
        <f t="array" ref="J31">IFERROR(IF(INDEX('2_Data_Pelanggan'!$F$5:$F$499,MATCH($B31,'2_Data_Pelanggan'!$O$5:$O$499,0))="","",HYPERLINK("https://wa.me/62"&amp;MID(INDEX('2_Data_Pelanggan'!$F$5:$F$499,MATCH($B31,'2_Data_Pelanggan'!$O$5:$O$499,0)),2,20),"Chat WA")),"")</f>
        <v>Chat WA</v>
      </c>
      <c r="K31" s="107" t="str">
        <f t="array" ref="K31">IFERROR(IF(INDEX('2_Data_Pelanggan'!$F$5:$F$499,MATCH($B31,'2_Data_Pelanggan'!$O$5:$O$499,0))="","",HYPERLINK("https://wa.me/62"&amp;MID(INDEX('2_Data_Pelanggan'!$F$5:$F$499,MATCH($B31,'2_Data_Pelanggan'!$O$5:$O$499,0)),2,LEN(INDEX('2_Data_Pelanggan'!$F$5:$F$499,MATCH($B31,'2_Data_Pelanggan'!$O$5:$O$499,0)))-1)&amp;"?text="&amp;SUBSTITUTE(SUBSTITUTE("Selamat "&amp;IF(HOUR(NOW())&lt;11,"Pagi",IF(HOUR(NOW())&lt;15,"Siang",IF(HOUR(NOW())&lt;18,"Sore","Malam")))&amp;" Bapak/Ibu "&amp;E31&amp;","&amp;CHAR(10)&amp;CHAR(10)&amp;"Mohon maaf mengganggu waktunya. Kami dari Tim Teknis ARMEDIA Net mendeteksi jaringan internet di rumah Bapak/Ibu sedang OFFLINE."&amp;CHAR(10)&amp;CHAR(10)&amp;"ID Pelanggan: "&amp;D31&amp;CHAR(10)&amp;CHAR(10)&amp;"Mohon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</row>
    <row r="32" ht="15.0" customHeight="1">
      <c r="A32" s="285">
        <v>12.0</v>
      </c>
      <c r="B32" s="286" t="s">
        <v>699</v>
      </c>
      <c r="C32" s="286" t="s">
        <v>1865</v>
      </c>
      <c r="D32" s="287" t="str">
        <f t="array" ref="D32">IFERROR(INDEX('2_Data_Pelanggan'!$B$5:$B$499,MATCH($B32,'2_Data_Pelanggan'!$O$5:$O$499,0)),"")</f>
        <v>ARM-0065</v>
      </c>
      <c r="E32" s="288" t="str">
        <f t="array" ref="E32">IFERROR(INDEX('2_Data_Pelanggan'!$D$5:$D$499,MATCH($B32,'2_Data_Pelanggan'!$O$5:$O$499,0)),"")</f>
        <v>RIZAL YUSUF BASTIAN</v>
      </c>
      <c r="F32" s="226" t="str">
        <f t="array" ref="F32">IFERROR(INDEX('2_Data_Pelanggan'!$H$5:$H$499,MATCH($B32,'2_Data_Pelanggan'!$O$5:$O$499,0)),"")</f>
        <v>GUMELAR</v>
      </c>
      <c r="G32" s="216" t="str">
        <f t="array" ref="G32">IFERROR(INDEX('2_Data_Pelanggan'!$I$5:$I$499,MATCH($B32,'2_Data_Pelanggan'!$O$5:$O$499,0))&amp;"/"&amp;INDEX('2_Data_Pelanggan'!$J$5:$J$499,MATCH($B32,'2_Data_Pelanggan'!$O$5:$O$499,0)),"")</f>
        <v>1/5</v>
      </c>
      <c r="H32" s="287">
        <f t="array" ref="H32">IFERROR(INDEX('2_Data_Pelanggan'!$M$5:$M$499,MATCH($B32,'2_Data_Pelanggan'!$O$5:$O$499,0)),"")</f>
        <v>30</v>
      </c>
      <c r="I32" s="287" t="str">
        <f t="array" ref="I32">IFERROR(INDEX('2_Data_Pelanggan'!$W$5:$W$499,MATCH($B32,'2_Data_Pelanggan'!$O$5:$O$499,0)),"")</f>
        <v>Aktif</v>
      </c>
      <c r="J32" s="107" t="str">
        <f t="array" ref="J32">IFERROR(IF(INDEX('2_Data_Pelanggan'!$F$5:$F$499,MATCH($B32,'2_Data_Pelanggan'!$O$5:$O$499,0))="","",HYPERLINK("https://wa.me/62"&amp;MID(INDEX('2_Data_Pelanggan'!$F$5:$F$499,MATCH($B32,'2_Data_Pelanggan'!$O$5:$O$499,0)),2,20),"Chat WA")),"")</f>
        <v>Chat WA</v>
      </c>
      <c r="K32" s="107" t="str">
        <f t="array" ref="K32">IFERROR(IF(INDEX('2_Data_Pelanggan'!$F$5:$F$499,MATCH($B32,'2_Data_Pelanggan'!$O$5:$O$499,0))="","",HYPERLINK("https://wa.me/62"&amp;MID(INDEX('2_Data_Pelanggan'!$F$5:$F$499,MATCH($B32,'2_Data_Pelanggan'!$O$5:$O$499,0)),2,LEN(INDEX('2_Data_Pelanggan'!$F$5:$F$499,MATCH($B32,'2_Data_Pelanggan'!$O$5:$O$499,0)))-1)&amp;"?text="&amp;SUBSTITUTE(SUBSTITUTE("Selamat "&amp;IF(HOUR(NOW())&lt;11,"Pagi",IF(HOUR(NOW())&lt;15,"Siang",IF(HOUR(NOW())&lt;18,"Sore","Malam")))&amp;" Bapak/Ibu "&amp;E32&amp;","&amp;CHAR(10)&amp;CHAR(10)&amp;"Mohon maaf mengganggu waktunya. Kami dari Tim Teknis ARMEDIA Net mendeteksi jaringan internet di rumah Bapak/Ibu sedang OFFLINE."&amp;CHAR(10)&amp;CHAR(10)&amp;"ID Pelanggan: "&amp;D32&amp;CHAR(10)&amp;CHAR(10)&amp;"Mohon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</row>
    <row r="33" ht="15.0" customHeight="1">
      <c r="A33" s="285">
        <v>13.0</v>
      </c>
      <c r="B33" s="286" t="s">
        <v>1867</v>
      </c>
      <c r="C33" s="286" t="s">
        <v>1865</v>
      </c>
      <c r="D33" s="287" t="str">
        <f t="array" ref="D33">IFERROR(INDEX('2_Data_Pelanggan'!$B$5:$B$499,MATCH($B33,'2_Data_Pelanggan'!$O$5:$O$499,0)),"")</f>
        <v/>
      </c>
      <c r="E33" s="288" t="str">
        <f t="array" ref="E33">IFERROR(INDEX('2_Data_Pelanggan'!$D$5:$D$499,MATCH($B33,'2_Data_Pelanggan'!$O$5:$O$499,0)),"")</f>
        <v/>
      </c>
      <c r="F33" s="226" t="str">
        <f t="array" ref="F33">IFERROR(INDEX('2_Data_Pelanggan'!$H$5:$H$499,MATCH($B33,'2_Data_Pelanggan'!$O$5:$O$499,0)),"")</f>
        <v/>
      </c>
      <c r="G33" s="216" t="str">
        <f t="array" ref="G33">IFERROR(INDEX('2_Data_Pelanggan'!$I$5:$I$499,MATCH($B33,'2_Data_Pelanggan'!$O$5:$O$499,0))&amp;"/"&amp;INDEX('2_Data_Pelanggan'!$J$5:$J$499,MATCH($B33,'2_Data_Pelanggan'!$O$5:$O$499,0)),"")</f>
        <v/>
      </c>
      <c r="H33" s="287" t="str">
        <f t="array" ref="H33">IFERROR(INDEX('2_Data_Pelanggan'!$M$5:$M$499,MATCH($B33,'2_Data_Pelanggan'!$O$5:$O$499,0)),"")</f>
        <v/>
      </c>
      <c r="I33" s="287" t="str">
        <f t="array" ref="I33">IFERROR(INDEX('2_Data_Pelanggan'!$W$5:$W$499,MATCH($B33,'2_Data_Pelanggan'!$O$5:$O$499,0)),"")</f>
        <v/>
      </c>
      <c r="J33" s="107" t="str">
        <f t="array" ref="J33">IFERROR(IF(INDEX('2_Data_Pelanggan'!$F$5:$F$499,MATCH($B33,'2_Data_Pelanggan'!$O$5:$O$499,0))="","",HYPERLINK("https://wa.me/62"&amp;MID(INDEX('2_Data_Pelanggan'!$F$5:$F$499,MATCH($B33,'2_Data_Pelanggan'!$O$5:$O$499,0)),2,20),"Chat WA")),"")</f>
        <v/>
      </c>
      <c r="K33" s="107" t="str">
        <f t="array" ref="K33">IFERROR(IF(INDEX('2_Data_Pelanggan'!$F$5:$F$499,MATCH($B33,'2_Data_Pelanggan'!$O$5:$O$499,0))="","",HYPERLINK("https://wa.me/62"&amp;MID(INDEX('2_Data_Pelanggan'!$F$5:$F$499,MATCH($B33,'2_Data_Pelanggan'!$O$5:$O$499,0)),2,LEN(INDEX('2_Data_Pelanggan'!$F$5:$F$499,MATCH($B33,'2_Data_Pelanggan'!$O$5:$O$499,0)))-1)&amp;"?text="&amp;SUBSTITUTE(SUBSTITUTE("Selamat "&amp;IF(HOUR(NOW())&lt;11,"Pagi",IF(HOUR(NOW())&lt;15,"Siang",IF(HOUR(NOW())&lt;18,"Sore","Malam")))&amp;" Bapak/Ibu "&amp;E33&amp;","&amp;CHAR(10)&amp;CHAR(10)&amp;"Mohon maaf mengganggu waktunya. Kami dari Tim Teknis ARMEDIA Net mendeteksi jaringan internet di rumah Bapak/Ibu sedang OFFLINE."&amp;CHAR(10)&amp;CHAR(10)&amp;"ID Pelanggan: "&amp;D33&amp;CHAR(10)&amp;CHAR(10)&amp;"Mohon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</row>
    <row r="34" ht="15.0" customHeight="1">
      <c r="A34" s="285">
        <v>14.0</v>
      </c>
      <c r="B34" s="286" t="s">
        <v>707</v>
      </c>
      <c r="C34" s="286" t="s">
        <v>1865</v>
      </c>
      <c r="D34" s="287" t="str">
        <f t="array" ref="D34">IFERROR(INDEX('2_Data_Pelanggan'!$B$5:$B$499,MATCH($B34,'2_Data_Pelanggan'!$O$5:$O$499,0)),"")</f>
        <v>ARM-0066</v>
      </c>
      <c r="E34" s="288" t="str">
        <f t="array" ref="E34">IFERROR(INDEX('2_Data_Pelanggan'!$D$5:$D$499,MATCH($B34,'2_Data_Pelanggan'!$O$5:$O$499,0)),"")</f>
        <v>DARYOTO</v>
      </c>
      <c r="F34" s="226" t="str">
        <f t="array" ref="F34">IFERROR(INDEX('2_Data_Pelanggan'!$H$5:$H$499,MATCH($B34,'2_Data_Pelanggan'!$O$5:$O$499,0)),"")</f>
        <v>GUMELAR</v>
      </c>
      <c r="G34" s="216" t="str">
        <f t="array" ref="G34">IFERROR(INDEX('2_Data_Pelanggan'!$I$5:$I$499,MATCH($B34,'2_Data_Pelanggan'!$O$5:$O$499,0))&amp;"/"&amp;INDEX('2_Data_Pelanggan'!$J$5:$J$499,MATCH($B34,'2_Data_Pelanggan'!$O$5:$O$499,0)),"")</f>
        <v>1/5</v>
      </c>
      <c r="H34" s="287">
        <f t="array" ref="H34">IFERROR(INDEX('2_Data_Pelanggan'!$M$5:$M$499,MATCH($B34,'2_Data_Pelanggan'!$O$5:$O$499,0)),"")</f>
        <v>30</v>
      </c>
      <c r="I34" s="287" t="str">
        <f t="array" ref="I34">IFERROR(INDEX('2_Data_Pelanggan'!$W$5:$W$499,MATCH($B34,'2_Data_Pelanggan'!$O$5:$O$499,0)),"")</f>
        <v>Aktif</v>
      </c>
      <c r="J34" s="107" t="str">
        <f t="array" ref="J34">IFERROR(IF(INDEX('2_Data_Pelanggan'!$F$5:$F$499,MATCH($B34,'2_Data_Pelanggan'!$O$5:$O$499,0))="","",HYPERLINK("https://wa.me/62"&amp;MID(INDEX('2_Data_Pelanggan'!$F$5:$F$499,MATCH($B34,'2_Data_Pelanggan'!$O$5:$O$499,0)),2,20),"Chat WA")),"")</f>
        <v>Chat WA</v>
      </c>
      <c r="K34" s="107" t="str">
        <f t="array" ref="K34">IFERROR(IF(INDEX('2_Data_Pelanggan'!$F$5:$F$499,MATCH($B34,'2_Data_Pelanggan'!$O$5:$O$499,0))="","",HYPERLINK("https://wa.me/62"&amp;MID(INDEX('2_Data_Pelanggan'!$F$5:$F$499,MATCH($B34,'2_Data_Pelanggan'!$O$5:$O$499,0)),2,LEN(INDEX('2_Data_Pelanggan'!$F$5:$F$499,MATCH($B34,'2_Data_Pelanggan'!$O$5:$O$499,0)))-1)&amp;"?text="&amp;SUBSTITUTE(SUBSTITUTE("Selamat "&amp;IF(HOUR(NOW())&lt;11,"Pagi",IF(HOUR(NOW())&lt;15,"Siang",IF(HOUR(NOW())&lt;18,"Sore","Malam")))&amp;" Bapak/Ibu "&amp;E34&amp;","&amp;CHAR(10)&amp;CHAR(10)&amp;"Mohon maaf mengganggu waktunya. Kami dari Tim Teknis ARMEDIA Net mendeteksi jaringan internet di rumah Bapak/Ibu sedang OFFLINE."&amp;CHAR(10)&amp;CHAR(10)&amp;"ID Pelanggan: "&amp;D34&amp;CHAR(10)&amp;CHAR(10)&amp;"Mohon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</row>
    <row r="35" ht="15.0" customHeight="1">
      <c r="A35" s="285">
        <v>15.0</v>
      </c>
      <c r="B35" s="286" t="s">
        <v>762</v>
      </c>
      <c r="C35" s="286" t="s">
        <v>1865</v>
      </c>
      <c r="D35" s="287" t="str">
        <f t="array" ref="D35">IFERROR(INDEX('2_Data_Pelanggan'!$B$5:$B$499,MATCH($B35,'2_Data_Pelanggan'!$O$5:$O$499,0)),"")</f>
        <v>ARM-0073</v>
      </c>
      <c r="E35" s="288" t="str">
        <f t="array" ref="E35">IFERROR(INDEX('2_Data_Pelanggan'!$D$5:$D$499,MATCH($B35,'2_Data_Pelanggan'!$O$5:$O$499,0)),"")</f>
        <v>RUSLITO</v>
      </c>
      <c r="F35" s="226" t="str">
        <f t="array" ref="F35">IFERROR(INDEX('2_Data_Pelanggan'!$H$5:$H$499,MATCH($B35,'2_Data_Pelanggan'!$O$5:$O$499,0)),"")</f>
        <v>GUMELAR</v>
      </c>
      <c r="G35" s="216" t="str">
        <f t="array" ref="G35">IFERROR(INDEX('2_Data_Pelanggan'!$I$5:$I$499,MATCH($B35,'2_Data_Pelanggan'!$O$5:$O$499,0))&amp;"/"&amp;INDEX('2_Data_Pelanggan'!$J$5:$J$499,MATCH($B35,'2_Data_Pelanggan'!$O$5:$O$499,0)),"")</f>
        <v>1/5</v>
      </c>
      <c r="H35" s="287">
        <f t="array" ref="H35">IFERROR(INDEX('2_Data_Pelanggan'!$M$5:$M$499,MATCH($B35,'2_Data_Pelanggan'!$O$5:$O$499,0)),"")</f>
        <v>30</v>
      </c>
      <c r="I35" s="287" t="str">
        <f t="array" ref="I35">IFERROR(INDEX('2_Data_Pelanggan'!$W$5:$W$499,MATCH($B35,'2_Data_Pelanggan'!$O$5:$O$499,0)),"")</f>
        <v>Aktif</v>
      </c>
      <c r="J35" s="107" t="str">
        <f t="array" ref="J35">IFERROR(IF(INDEX('2_Data_Pelanggan'!$F$5:$F$499,MATCH($B35,'2_Data_Pelanggan'!$O$5:$O$499,0))="","",HYPERLINK("https://wa.me/62"&amp;MID(INDEX('2_Data_Pelanggan'!$F$5:$F$499,MATCH($B35,'2_Data_Pelanggan'!$O$5:$O$499,0)),2,20),"Chat WA")),"")</f>
        <v>Chat WA</v>
      </c>
      <c r="K35" s="107" t="str">
        <f t="array" ref="K35">IFERROR(IF(INDEX('2_Data_Pelanggan'!$F$5:$F$499,MATCH($B35,'2_Data_Pelanggan'!$O$5:$O$499,0))="","",HYPERLINK("https://wa.me/62"&amp;MID(INDEX('2_Data_Pelanggan'!$F$5:$F$499,MATCH($B35,'2_Data_Pelanggan'!$O$5:$O$499,0)),2,LEN(INDEX('2_Data_Pelanggan'!$F$5:$F$499,MATCH($B35,'2_Data_Pelanggan'!$O$5:$O$499,0)))-1)&amp;"?text="&amp;SUBSTITUTE(SUBSTITUTE("Selamat "&amp;IF(HOUR(NOW())&lt;11,"Pagi",IF(HOUR(NOW())&lt;15,"Siang",IF(HOUR(NOW())&lt;18,"Sore","Malam")))&amp;" Bapak/Ibu "&amp;E35&amp;","&amp;CHAR(10)&amp;CHAR(10)&amp;"Mohon maaf mengganggu waktunya. Kami dari Tim Teknis ARMEDIA Net mendeteksi jaringan internet di rumah Bapak/Ibu sedang OFFLINE."&amp;CHAR(10)&amp;CHAR(10)&amp;"ID Pelanggan: "&amp;D35&amp;CHAR(10)&amp;CHAR(10)&amp;"Mohon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</row>
    <row r="36" ht="15.0" customHeight="1">
      <c r="A36" s="285">
        <v>16.0</v>
      </c>
      <c r="B36" s="286" t="s">
        <v>769</v>
      </c>
      <c r="C36" s="286" t="s">
        <v>1865</v>
      </c>
      <c r="D36" s="287" t="str">
        <f t="array" ref="D36">IFERROR(INDEX('2_Data_Pelanggan'!$B$5:$B$499,MATCH($B36,'2_Data_Pelanggan'!$O$5:$O$499,0)),"")</f>
        <v>ARM-0074</v>
      </c>
      <c r="E36" s="288" t="str">
        <f t="array" ref="E36">IFERROR(INDEX('2_Data_Pelanggan'!$D$5:$D$499,MATCH($B36,'2_Data_Pelanggan'!$O$5:$O$499,0)),"")</f>
        <v>SUWOTO</v>
      </c>
      <c r="F36" s="226" t="str">
        <f t="array" ref="F36">IFERROR(INDEX('2_Data_Pelanggan'!$H$5:$H$499,MATCH($B36,'2_Data_Pelanggan'!$O$5:$O$499,0)),"")</f>
        <v>GUMELAR</v>
      </c>
      <c r="G36" s="216" t="str">
        <f t="array" ref="G36">IFERROR(INDEX('2_Data_Pelanggan'!$I$5:$I$499,MATCH($B36,'2_Data_Pelanggan'!$O$5:$O$499,0))&amp;"/"&amp;INDEX('2_Data_Pelanggan'!$J$5:$J$499,MATCH($B36,'2_Data_Pelanggan'!$O$5:$O$499,0)),"")</f>
        <v>1/6</v>
      </c>
      <c r="H36" s="287">
        <f t="array" ref="H36">IFERROR(INDEX('2_Data_Pelanggan'!$M$5:$M$499,MATCH($B36,'2_Data_Pelanggan'!$O$5:$O$499,0)),"")</f>
        <v>30</v>
      </c>
      <c r="I36" s="287" t="str">
        <f t="array" ref="I36">IFERROR(INDEX('2_Data_Pelanggan'!$W$5:$W$499,MATCH($B36,'2_Data_Pelanggan'!$O$5:$O$499,0)),"")</f>
        <v>Aktif</v>
      </c>
      <c r="J36" s="107" t="str">
        <f t="array" ref="J36">IFERROR(IF(INDEX('2_Data_Pelanggan'!$F$5:$F$499,MATCH($B36,'2_Data_Pelanggan'!$O$5:$O$499,0))="","",HYPERLINK("https://wa.me/62"&amp;MID(INDEX('2_Data_Pelanggan'!$F$5:$F$499,MATCH($B36,'2_Data_Pelanggan'!$O$5:$O$499,0)),2,20),"Chat WA")),"")</f>
        <v>Chat WA</v>
      </c>
      <c r="K36" s="107" t="str">
        <f t="array" ref="K36">IFERROR(IF(INDEX('2_Data_Pelanggan'!$F$5:$F$499,MATCH($B36,'2_Data_Pelanggan'!$O$5:$O$499,0))="","",HYPERLINK("https://wa.me/62"&amp;MID(INDEX('2_Data_Pelanggan'!$F$5:$F$499,MATCH($B36,'2_Data_Pelanggan'!$O$5:$O$499,0)),2,LEN(INDEX('2_Data_Pelanggan'!$F$5:$F$499,MATCH($B36,'2_Data_Pelanggan'!$O$5:$O$499,0)))-1)&amp;"?text="&amp;SUBSTITUTE(SUBSTITUTE("Selamat "&amp;IF(HOUR(NOW())&lt;11,"Pagi",IF(HOUR(NOW())&lt;15,"Siang",IF(HOUR(NOW())&lt;18,"Sore","Malam")))&amp;" Bapak/Ibu "&amp;E36&amp;","&amp;CHAR(10)&amp;CHAR(10)&amp;"Mohon maaf mengganggu waktunya. Kami dari Tim Teknis ARMEDIA Net mendeteksi jaringan internet di rumah Bapak/Ibu sedang OFFLINE."&amp;CHAR(10)&amp;CHAR(10)&amp;"ID Pelanggan: "&amp;D36&amp;CHAR(10)&amp;CHAR(10)&amp;"Mohon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</row>
    <row r="37" ht="15.0" customHeight="1">
      <c r="A37" s="285">
        <v>17.0</v>
      </c>
      <c r="B37" s="286" t="s">
        <v>785</v>
      </c>
      <c r="C37" s="286" t="s">
        <v>1865</v>
      </c>
      <c r="D37" s="287" t="str">
        <f t="array" ref="D37">IFERROR(INDEX('2_Data_Pelanggan'!$B$5:$B$499,MATCH($B37,'2_Data_Pelanggan'!$O$5:$O$499,0)),"")</f>
        <v>ARM-0076</v>
      </c>
      <c r="E37" s="288" t="str">
        <f t="array" ref="E37">IFERROR(INDEX('2_Data_Pelanggan'!$D$5:$D$499,MATCH($B37,'2_Data_Pelanggan'!$O$5:$O$499,0)),"")</f>
        <v>BHANU CHRISSIE A</v>
      </c>
      <c r="F37" s="226" t="str">
        <f t="array" ref="F37">IFERROR(INDEX('2_Data_Pelanggan'!$H$5:$H$499,MATCH($B37,'2_Data_Pelanggan'!$O$5:$O$499,0)),"")</f>
        <v>GUMELAR </v>
      </c>
      <c r="G37" s="216" t="str">
        <f t="array" ref="G37">IFERROR(INDEX('2_Data_Pelanggan'!$I$5:$I$499,MATCH($B37,'2_Data_Pelanggan'!$O$5:$O$499,0))&amp;"/"&amp;INDEX('2_Data_Pelanggan'!$J$5:$J$499,MATCH($B37,'2_Data_Pelanggan'!$O$5:$O$499,0)),"")</f>
        <v>1/2</v>
      </c>
      <c r="H37" s="287">
        <f t="array" ref="H37">IFERROR(INDEX('2_Data_Pelanggan'!$M$5:$M$499,MATCH($B37,'2_Data_Pelanggan'!$O$5:$O$499,0)),"")</f>
        <v>30</v>
      </c>
      <c r="I37" s="287" t="str">
        <f t="array" ref="I37">IFERROR(INDEX('2_Data_Pelanggan'!$W$5:$W$499,MATCH($B37,'2_Data_Pelanggan'!$O$5:$O$499,0)),"")</f>
        <v>Aktif</v>
      </c>
      <c r="J37" s="107" t="str">
        <f t="array" ref="J37">IFERROR(IF(INDEX('2_Data_Pelanggan'!$F$5:$F$499,MATCH($B37,'2_Data_Pelanggan'!$O$5:$O$499,0))="","",HYPERLINK("https://wa.me/62"&amp;MID(INDEX('2_Data_Pelanggan'!$F$5:$F$499,MATCH($B37,'2_Data_Pelanggan'!$O$5:$O$499,0)),2,20),"Chat WA")),"")</f>
        <v>Chat WA</v>
      </c>
      <c r="K37" s="107" t="str">
        <f t="array" ref="K37">IFERROR(IF(INDEX('2_Data_Pelanggan'!$F$5:$F$499,MATCH($B37,'2_Data_Pelanggan'!$O$5:$O$499,0))="","",HYPERLINK("https://wa.me/62"&amp;MID(INDEX('2_Data_Pelanggan'!$F$5:$F$499,MATCH($B37,'2_Data_Pelanggan'!$O$5:$O$499,0)),2,LEN(INDEX('2_Data_Pelanggan'!$F$5:$F$499,MATCH($B37,'2_Data_Pelanggan'!$O$5:$O$499,0)))-1)&amp;"?text="&amp;SUBSTITUTE(SUBSTITUTE("Selamat "&amp;IF(HOUR(NOW())&lt;11,"Pagi",IF(HOUR(NOW())&lt;15,"Siang",IF(HOUR(NOW())&lt;18,"Sore","Malam")))&amp;" Bapak/Ibu "&amp;E37&amp;","&amp;CHAR(10)&amp;CHAR(10)&amp;"Mohon maaf mengganggu waktunya. Kami dari Tim Teknis ARMEDIA Net mendeteksi jaringan internet di rumah Bapak/Ibu sedang OFFLINE."&amp;CHAR(10)&amp;CHAR(10)&amp;"ID Pelanggan: "&amp;D37&amp;CHAR(10)&amp;CHAR(10)&amp;"Mohon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</row>
    <row r="38" ht="15.0" customHeight="1">
      <c r="A38" s="285">
        <v>18.0</v>
      </c>
      <c r="B38" s="286" t="s">
        <v>793</v>
      </c>
      <c r="C38" s="286" t="s">
        <v>1865</v>
      </c>
      <c r="D38" s="287" t="str">
        <f t="array" ref="D38">IFERROR(INDEX('2_Data_Pelanggan'!$B$5:$B$499,MATCH($B38,'2_Data_Pelanggan'!$O$5:$O$499,0)),"")</f>
        <v>ARM-0077</v>
      </c>
      <c r="E38" s="288" t="str">
        <f t="array" ref="E38">IFERROR(INDEX('2_Data_Pelanggan'!$D$5:$D$499,MATCH($B38,'2_Data_Pelanggan'!$O$5:$O$499,0)),"")</f>
        <v>BURHAN</v>
      </c>
      <c r="F38" s="226" t="str">
        <f t="array" ref="F38">IFERROR(INDEX('2_Data_Pelanggan'!$H$5:$H$499,MATCH($B38,'2_Data_Pelanggan'!$O$5:$O$499,0)),"")</f>
        <v>GUMELAR</v>
      </c>
      <c r="G38" s="216" t="str">
        <f t="array" ref="G38">IFERROR(INDEX('2_Data_Pelanggan'!$I$5:$I$499,MATCH($B38,'2_Data_Pelanggan'!$O$5:$O$499,0))&amp;"/"&amp;INDEX('2_Data_Pelanggan'!$J$5:$J$499,MATCH($B38,'2_Data_Pelanggan'!$O$5:$O$499,0)),"")</f>
        <v>1/2</v>
      </c>
      <c r="H38" s="287">
        <f t="array" ref="H38">IFERROR(INDEX('2_Data_Pelanggan'!$M$5:$M$499,MATCH($B38,'2_Data_Pelanggan'!$O$5:$O$499,0)),"")</f>
        <v>30</v>
      </c>
      <c r="I38" s="287" t="str">
        <f t="array" ref="I38">IFERROR(INDEX('2_Data_Pelanggan'!$W$5:$W$499,MATCH($B38,'2_Data_Pelanggan'!$O$5:$O$499,0)),"")</f>
        <v>Aktif</v>
      </c>
      <c r="J38" s="107" t="str">
        <f t="array" ref="J38">IFERROR(IF(INDEX('2_Data_Pelanggan'!$F$5:$F$499,MATCH($B38,'2_Data_Pelanggan'!$O$5:$O$499,0))="","",HYPERLINK("https://wa.me/62"&amp;MID(INDEX('2_Data_Pelanggan'!$F$5:$F$499,MATCH($B38,'2_Data_Pelanggan'!$O$5:$O$499,0)),2,20),"Chat WA")),"")</f>
        <v>Chat WA</v>
      </c>
      <c r="K38" s="107" t="str">
        <f t="array" ref="K38">IFERROR(IF(INDEX('2_Data_Pelanggan'!$F$5:$F$499,MATCH($B38,'2_Data_Pelanggan'!$O$5:$O$499,0))="","",HYPERLINK("https://wa.me/62"&amp;MID(INDEX('2_Data_Pelanggan'!$F$5:$F$499,MATCH($B38,'2_Data_Pelanggan'!$O$5:$O$499,0)),2,LEN(INDEX('2_Data_Pelanggan'!$F$5:$F$499,MATCH($B38,'2_Data_Pelanggan'!$O$5:$O$499,0)))-1)&amp;"?text="&amp;SUBSTITUTE(SUBSTITUTE("Selamat "&amp;IF(HOUR(NOW())&lt;11,"Pagi",IF(HOUR(NOW())&lt;15,"Siang",IF(HOUR(NOW())&lt;18,"Sore","Malam")))&amp;" Bapak/Ibu "&amp;E38&amp;","&amp;CHAR(10)&amp;CHAR(10)&amp;"Mohon maaf mengganggu waktunya. Kami dari Tim Teknis ARMEDIA Net mendeteksi jaringan internet di rumah Bapak/Ibu sedang OFFLINE."&amp;CHAR(10)&amp;CHAR(10)&amp;"ID Pelanggan: "&amp;D38&amp;CHAR(10)&amp;CHAR(10)&amp;"Mohon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</row>
    <row r="39" ht="15.0" customHeight="1">
      <c r="A39" s="285">
        <v>19.0</v>
      </c>
      <c r="B39" s="286" t="s">
        <v>674</v>
      </c>
      <c r="C39" s="286" t="s">
        <v>1865</v>
      </c>
      <c r="D39" s="287" t="str">
        <f t="array" ref="D39">IFERROR(INDEX('2_Data_Pelanggan'!$B$5:$B$499,MATCH($B39,'2_Data_Pelanggan'!$O$5:$O$499,0)),"")</f>
        <v>ARM-0062</v>
      </c>
      <c r="E39" s="288" t="str">
        <f t="array" ref="E39">IFERROR(INDEX('2_Data_Pelanggan'!$D$5:$D$499,MATCH($B39,'2_Data_Pelanggan'!$O$5:$O$499,0)),"")</f>
        <v>CARWAN</v>
      </c>
      <c r="F39" s="226" t="str">
        <f t="array" ref="F39">IFERROR(INDEX('2_Data_Pelanggan'!$H$5:$H$499,MATCH($B39,'2_Data_Pelanggan'!$O$5:$O$499,0)),"")</f>
        <v>GUMELAR</v>
      </c>
      <c r="G39" s="216" t="str">
        <f t="array" ref="G39">IFERROR(INDEX('2_Data_Pelanggan'!$I$5:$I$499,MATCH($B39,'2_Data_Pelanggan'!$O$5:$O$499,0))&amp;"/"&amp;INDEX('2_Data_Pelanggan'!$J$5:$J$499,MATCH($B39,'2_Data_Pelanggan'!$O$5:$O$499,0)),"")</f>
        <v>9/4</v>
      </c>
      <c r="H39" s="287">
        <f t="array" ref="H39">IFERROR(INDEX('2_Data_Pelanggan'!$M$5:$M$499,MATCH($B39,'2_Data_Pelanggan'!$O$5:$O$499,0)),"")</f>
        <v>20</v>
      </c>
      <c r="I39" s="287" t="str">
        <f t="array" ref="I39">IFERROR(INDEX('2_Data_Pelanggan'!$W$5:$W$499,MATCH($B39,'2_Data_Pelanggan'!$O$5:$O$499,0)),"")</f>
        <v>Aktif</v>
      </c>
      <c r="J39" s="107" t="str">
        <f t="array" ref="J39">IFERROR(IF(INDEX('2_Data_Pelanggan'!$F$5:$F$499,MATCH($B39,'2_Data_Pelanggan'!$O$5:$O$499,0))="","",HYPERLINK("https://wa.me/62"&amp;MID(INDEX('2_Data_Pelanggan'!$F$5:$F$499,MATCH($B39,'2_Data_Pelanggan'!$O$5:$O$499,0)),2,20),"Chat WA")),"")</f>
        <v>Chat WA</v>
      </c>
      <c r="K39" s="107" t="str">
        <f t="array" ref="K39">IFERROR(IF(INDEX('2_Data_Pelanggan'!$F$5:$F$499,MATCH($B39,'2_Data_Pelanggan'!$O$5:$O$499,0))="","",HYPERLINK("https://wa.me/62"&amp;MID(INDEX('2_Data_Pelanggan'!$F$5:$F$499,MATCH($B39,'2_Data_Pelanggan'!$O$5:$O$499,0)),2,LEN(INDEX('2_Data_Pelanggan'!$F$5:$F$499,MATCH($B39,'2_Data_Pelanggan'!$O$5:$O$499,0)))-1)&amp;"?text="&amp;SUBSTITUTE(SUBSTITUTE("Selamat "&amp;IF(HOUR(NOW())&lt;11,"Pagi",IF(HOUR(NOW())&lt;15,"Siang",IF(HOUR(NOW())&lt;18,"Sore","Malam")))&amp;" Bapak/Ibu "&amp;E39&amp;","&amp;CHAR(10)&amp;CHAR(10)&amp;"Mohon maaf mengganggu waktunya. Kami dari Tim Teknis ARMEDIA Net mendeteksi jaringan internet di rumah Bapak/Ibu sedang OFFLINE."&amp;CHAR(10)&amp;CHAR(10)&amp;"ID Pelanggan: "&amp;D39&amp;CHAR(10)&amp;CHAR(10)&amp;"Mohon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</row>
    <row r="40" ht="15.0" customHeight="1">
      <c r="A40" s="285">
        <v>20.0</v>
      </c>
      <c r="B40" s="286" t="s">
        <v>902</v>
      </c>
      <c r="C40" s="286" t="s">
        <v>1865</v>
      </c>
      <c r="D40" s="287" t="str">
        <f t="array" ref="D40">IFERROR(INDEX('2_Data_Pelanggan'!$B$5:$B$499,MATCH($B40,'2_Data_Pelanggan'!$O$5:$O$499,0)),"")</f>
        <v>ARM-0091</v>
      </c>
      <c r="E40" s="288" t="str">
        <f t="array" ref="E40">IFERROR(INDEX('2_Data_Pelanggan'!$D$5:$D$499,MATCH($B40,'2_Data_Pelanggan'!$O$5:$O$499,0)),"")</f>
        <v>DARILAH</v>
      </c>
      <c r="F40" s="226" t="str">
        <f t="array" ref="F40">IFERROR(INDEX('2_Data_Pelanggan'!$H$5:$H$499,MATCH($B40,'2_Data_Pelanggan'!$O$5:$O$499,0)),"")</f>
        <v>GUMELAR</v>
      </c>
      <c r="G40" s="216" t="str">
        <f t="array" ref="G40">IFERROR(INDEX('2_Data_Pelanggan'!$I$5:$I$499,MATCH($B40,'2_Data_Pelanggan'!$O$5:$O$499,0))&amp;"/"&amp;INDEX('2_Data_Pelanggan'!$J$5:$J$499,MATCH($B40,'2_Data_Pelanggan'!$O$5:$O$499,0)),"")</f>
        <v>1/2</v>
      </c>
      <c r="H40" s="287">
        <f t="array" ref="H40">IFERROR(INDEX('2_Data_Pelanggan'!$M$5:$M$499,MATCH($B40,'2_Data_Pelanggan'!$O$5:$O$499,0)),"")</f>
        <v>30</v>
      </c>
      <c r="I40" s="287" t="str">
        <f t="array" ref="I40">IFERROR(INDEX('2_Data_Pelanggan'!$W$5:$W$499,MATCH($B40,'2_Data_Pelanggan'!$O$5:$O$499,0)),"")</f>
        <v>Aktif</v>
      </c>
      <c r="J40" s="107" t="str">
        <f t="array" ref="J40">IFERROR(IF(INDEX('2_Data_Pelanggan'!$F$5:$F$499,MATCH($B40,'2_Data_Pelanggan'!$O$5:$O$499,0))="","",HYPERLINK("https://wa.me/62"&amp;MID(INDEX('2_Data_Pelanggan'!$F$5:$F$499,MATCH($B40,'2_Data_Pelanggan'!$O$5:$O$499,0)),2,20),"Chat WA")),"")</f>
        <v>Chat WA</v>
      </c>
      <c r="K40" s="107" t="str">
        <f t="array" ref="K40">IFERROR(IF(INDEX('2_Data_Pelanggan'!$F$5:$F$499,MATCH($B40,'2_Data_Pelanggan'!$O$5:$O$499,0))="","",HYPERLINK("https://wa.me/62"&amp;MID(INDEX('2_Data_Pelanggan'!$F$5:$F$499,MATCH($B40,'2_Data_Pelanggan'!$O$5:$O$499,0)),2,LEN(INDEX('2_Data_Pelanggan'!$F$5:$F$499,MATCH($B40,'2_Data_Pelanggan'!$O$5:$O$499,0)))-1)&amp;"?text="&amp;SUBSTITUTE(SUBSTITUTE("Selamat "&amp;IF(HOUR(NOW())&lt;11,"Pagi",IF(HOUR(NOW())&lt;15,"Siang",IF(HOUR(NOW())&lt;18,"Sore","Malam")))&amp;" Bapak/Ibu "&amp;E40&amp;","&amp;CHAR(10)&amp;CHAR(10)&amp;"Mohon maaf mengganggu waktunya. Kami dari Tim Teknis ARMEDIA Net mendeteksi jaringan internet di rumah Bapak/Ibu sedang OFFLINE."&amp;CHAR(10)&amp;CHAR(10)&amp;"ID Pelanggan: "&amp;D40&amp;CHAR(10)&amp;CHAR(10)&amp;"Mohon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</row>
    <row r="41" ht="15.0" customHeight="1">
      <c r="A41" s="285">
        <v>21.0</v>
      </c>
      <c r="B41" s="286" t="s">
        <v>910</v>
      </c>
      <c r="C41" s="286" t="s">
        <v>1865</v>
      </c>
      <c r="D41" s="287" t="str">
        <f t="array" ref="D41">IFERROR(INDEX('2_Data_Pelanggan'!$B$5:$B$499,MATCH($B41,'2_Data_Pelanggan'!$O$5:$O$499,0)),"")</f>
        <v>ARM-0092</v>
      </c>
      <c r="E41" s="288" t="str">
        <f t="array" ref="E41">IFERROR(INDEX('2_Data_Pelanggan'!$D$5:$D$499,MATCH($B41,'2_Data_Pelanggan'!$O$5:$O$499,0)),"")</f>
        <v>RAHAYU FAJAR S</v>
      </c>
      <c r="F41" s="226" t="str">
        <f t="array" ref="F41">IFERROR(INDEX('2_Data_Pelanggan'!$H$5:$H$499,MATCH($B41,'2_Data_Pelanggan'!$O$5:$O$499,0)),"")</f>
        <v>GUMELAR</v>
      </c>
      <c r="G41" s="216" t="str">
        <f t="array" ref="G41">IFERROR(INDEX('2_Data_Pelanggan'!$I$5:$I$499,MATCH($B41,'2_Data_Pelanggan'!$O$5:$O$499,0))&amp;"/"&amp;INDEX('2_Data_Pelanggan'!$J$5:$J$499,MATCH($B41,'2_Data_Pelanggan'!$O$5:$O$499,0)),"")</f>
        <v>4/4</v>
      </c>
      <c r="H41" s="287">
        <f t="array" ref="H41">IFERROR(INDEX('2_Data_Pelanggan'!$M$5:$M$499,MATCH($B41,'2_Data_Pelanggan'!$O$5:$O$499,0)),"")</f>
        <v>30</v>
      </c>
      <c r="I41" s="287" t="str">
        <f t="array" ref="I41">IFERROR(INDEX('2_Data_Pelanggan'!$W$5:$W$499,MATCH($B41,'2_Data_Pelanggan'!$O$5:$O$499,0)),"")</f>
        <v>Aktif</v>
      </c>
      <c r="J41" s="107" t="str">
        <f t="array" ref="J41">IFERROR(IF(INDEX('2_Data_Pelanggan'!$F$5:$F$499,MATCH($B41,'2_Data_Pelanggan'!$O$5:$O$499,0))="","",HYPERLINK("https://wa.me/62"&amp;MID(INDEX('2_Data_Pelanggan'!$F$5:$F$499,MATCH($B41,'2_Data_Pelanggan'!$O$5:$O$499,0)),2,20),"Chat WA")),"")</f>
        <v>Chat WA</v>
      </c>
      <c r="K41" s="107" t="str">
        <f t="array" ref="K41">IFERROR(IF(INDEX('2_Data_Pelanggan'!$F$5:$F$499,MATCH($B41,'2_Data_Pelanggan'!$O$5:$O$499,0))="","",HYPERLINK("https://wa.me/62"&amp;MID(INDEX('2_Data_Pelanggan'!$F$5:$F$499,MATCH($B41,'2_Data_Pelanggan'!$O$5:$O$499,0)),2,LEN(INDEX('2_Data_Pelanggan'!$F$5:$F$499,MATCH($B41,'2_Data_Pelanggan'!$O$5:$O$499,0)))-1)&amp;"?text="&amp;SUBSTITUTE(SUBSTITUTE("Selamat "&amp;IF(HOUR(NOW())&lt;11,"Pagi",IF(HOUR(NOW())&lt;15,"Siang",IF(HOUR(NOW())&lt;18,"Sore","Malam")))&amp;" Bapak/Ibu "&amp;E41&amp;","&amp;CHAR(10)&amp;CHAR(10)&amp;"Mohon maaf mengganggu waktunya. Kami dari Tim Teknis ARMEDIA Net mendeteksi jaringan internet di rumah Bapak/Ibu sedang OFFLINE."&amp;CHAR(10)&amp;CHAR(10)&amp;"ID Pelanggan: "&amp;D41&amp;CHAR(10)&amp;CHAR(10)&amp;"Mohon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</row>
    <row r="42" ht="15.0" customHeight="1">
      <c r="A42" s="285">
        <v>22.0</v>
      </c>
      <c r="B42" s="286" t="s">
        <v>863</v>
      </c>
      <c r="C42" s="286" t="s">
        <v>1865</v>
      </c>
      <c r="D42" s="287" t="str">
        <f t="array" ref="D42">IFERROR(INDEX('2_Data_Pelanggan'!$B$5:$B$499,MATCH($B42,'2_Data_Pelanggan'!$O$5:$O$499,0)),"")</f>
        <v>ARM-0086</v>
      </c>
      <c r="E42" s="288" t="str">
        <f t="array" ref="E42">IFERROR(INDEX('2_Data_Pelanggan'!$D$5:$D$499,MATCH($B42,'2_Data_Pelanggan'!$O$5:$O$499,0)),"")</f>
        <v>AKHMAD NURYADIN</v>
      </c>
      <c r="F42" s="226" t="str">
        <f t="array" ref="F42">IFERROR(INDEX('2_Data_Pelanggan'!$H$5:$H$499,MATCH($B42,'2_Data_Pelanggan'!$O$5:$O$499,0)),"")</f>
        <v>CILANGKAP</v>
      </c>
      <c r="G42" s="216" t="str">
        <f t="array" ref="G42">IFERROR(INDEX('2_Data_Pelanggan'!$I$5:$I$499,MATCH($B42,'2_Data_Pelanggan'!$O$5:$O$499,0))&amp;"/"&amp;INDEX('2_Data_Pelanggan'!$J$5:$J$499,MATCH($B42,'2_Data_Pelanggan'!$O$5:$O$499,0)),"")</f>
        <v>1/4</v>
      </c>
      <c r="H42" s="287">
        <f t="array" ref="H42">IFERROR(INDEX('2_Data_Pelanggan'!$M$5:$M$499,MATCH($B42,'2_Data_Pelanggan'!$O$5:$O$499,0)),"")</f>
        <v>30</v>
      </c>
      <c r="I42" s="287" t="str">
        <f t="array" ref="I42">IFERROR(INDEX('2_Data_Pelanggan'!$W$5:$W$499,MATCH($B42,'2_Data_Pelanggan'!$O$5:$O$499,0)),"")</f>
        <v>Aktif</v>
      </c>
      <c r="J42" s="107" t="str">
        <f t="array" ref="J42">IFERROR(IF(INDEX('2_Data_Pelanggan'!$F$5:$F$499,MATCH($B42,'2_Data_Pelanggan'!$O$5:$O$499,0))="","",HYPERLINK("https://wa.me/62"&amp;MID(INDEX('2_Data_Pelanggan'!$F$5:$F$499,MATCH($B42,'2_Data_Pelanggan'!$O$5:$O$499,0)),2,20),"Chat WA")),"")</f>
        <v>Chat WA</v>
      </c>
      <c r="K42" s="107" t="str">
        <f t="array" ref="K42">IFERROR(IF(INDEX('2_Data_Pelanggan'!$F$5:$F$499,MATCH($B42,'2_Data_Pelanggan'!$O$5:$O$499,0))="","",HYPERLINK("https://wa.me/62"&amp;MID(INDEX('2_Data_Pelanggan'!$F$5:$F$499,MATCH($B42,'2_Data_Pelanggan'!$O$5:$O$499,0)),2,LEN(INDEX('2_Data_Pelanggan'!$F$5:$F$499,MATCH($B42,'2_Data_Pelanggan'!$O$5:$O$499,0)))-1)&amp;"?text="&amp;SUBSTITUTE(SUBSTITUTE("Selamat "&amp;IF(HOUR(NOW())&lt;11,"Pagi",IF(HOUR(NOW())&lt;15,"Siang",IF(HOUR(NOW())&lt;18,"Sore","Malam")))&amp;" Bapak/Ibu "&amp;E42&amp;","&amp;CHAR(10)&amp;CHAR(10)&amp;"Mohon maaf mengganggu waktunya. Kami dari Tim Teknis ARMEDIA Net mendeteksi jaringan internet di rumah Bapak/Ibu sedang OFFLINE."&amp;CHAR(10)&amp;CHAR(10)&amp;"ID Pelanggan: "&amp;D42&amp;CHAR(10)&amp;CHAR(10)&amp;"Mohon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</row>
    <row r="43" ht="15.0" customHeight="1">
      <c r="A43" s="285">
        <v>23.0</v>
      </c>
      <c r="B43" s="286" t="s">
        <v>918</v>
      </c>
      <c r="C43" s="286" t="s">
        <v>1865</v>
      </c>
      <c r="D43" s="287" t="str">
        <f t="array" ref="D43">IFERROR(INDEX('2_Data_Pelanggan'!$B$5:$B$499,MATCH($B43,'2_Data_Pelanggan'!$O$5:$O$499,0)),"")</f>
        <v>ARM-0093</v>
      </c>
      <c r="E43" s="288" t="str">
        <f t="array" ref="E43">IFERROR(INDEX('2_Data_Pelanggan'!$D$5:$D$499,MATCH($B43,'2_Data_Pelanggan'!$O$5:$O$499,0)),"")</f>
        <v>RATIMAN</v>
      </c>
      <c r="F43" s="226" t="str">
        <f t="array" ref="F43">IFERROR(INDEX('2_Data_Pelanggan'!$H$5:$H$499,MATCH($B43,'2_Data_Pelanggan'!$O$5:$O$499,0)),"")</f>
        <v>GUMELAR</v>
      </c>
      <c r="G43" s="216" t="str">
        <f t="array" ref="G43">IFERROR(INDEX('2_Data_Pelanggan'!$I$5:$I$499,MATCH($B43,'2_Data_Pelanggan'!$O$5:$O$499,0))&amp;"/"&amp;INDEX('2_Data_Pelanggan'!$J$5:$J$499,MATCH($B43,'2_Data_Pelanggan'!$O$5:$O$499,0)),"")</f>
        <v>11/2</v>
      </c>
      <c r="H43" s="287">
        <f t="array" ref="H43">IFERROR(INDEX('2_Data_Pelanggan'!$M$5:$M$499,MATCH($B43,'2_Data_Pelanggan'!$O$5:$O$499,0)),"")</f>
        <v>30</v>
      </c>
      <c r="I43" s="287" t="str">
        <f t="array" ref="I43">IFERROR(INDEX('2_Data_Pelanggan'!$W$5:$W$499,MATCH($B43,'2_Data_Pelanggan'!$O$5:$O$499,0)),"")</f>
        <v>Aktif</v>
      </c>
      <c r="J43" s="107" t="str">
        <f t="array" ref="J43">IFERROR(IF(INDEX('2_Data_Pelanggan'!$F$5:$F$499,MATCH($B43,'2_Data_Pelanggan'!$O$5:$O$499,0))="","",HYPERLINK("https://wa.me/62"&amp;MID(INDEX('2_Data_Pelanggan'!$F$5:$F$499,MATCH($B43,'2_Data_Pelanggan'!$O$5:$O$499,0)),2,20),"Chat WA")),"")</f>
        <v>Chat WA</v>
      </c>
      <c r="K43" s="107" t="str">
        <f t="array" ref="K43">IFERROR(IF(INDEX('2_Data_Pelanggan'!$F$5:$F$499,MATCH($B43,'2_Data_Pelanggan'!$O$5:$O$499,0))="","",HYPERLINK("https://wa.me/62"&amp;MID(INDEX('2_Data_Pelanggan'!$F$5:$F$499,MATCH($B43,'2_Data_Pelanggan'!$O$5:$O$499,0)),2,LEN(INDEX('2_Data_Pelanggan'!$F$5:$F$499,MATCH($B43,'2_Data_Pelanggan'!$O$5:$O$499,0)))-1)&amp;"?text="&amp;SUBSTITUTE(SUBSTITUTE("Selamat "&amp;IF(HOUR(NOW())&lt;11,"Pagi",IF(HOUR(NOW())&lt;15,"Siang",IF(HOUR(NOW())&lt;18,"Sore","Malam")))&amp;" Bapak/Ibu "&amp;E43&amp;","&amp;CHAR(10)&amp;CHAR(10)&amp;"Mohon maaf mengganggu waktunya. Kami dari Tim Teknis ARMEDIA Net mendeteksi jaringan internet di rumah Bapak/Ibu sedang OFFLINE."&amp;CHAR(10)&amp;CHAR(10)&amp;"ID Pelanggan: "&amp;D43&amp;CHAR(10)&amp;CHAR(10)&amp;"Mohon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</row>
    <row r="44" ht="15.0" customHeight="1">
      <c r="A44" s="285">
        <v>24.0</v>
      </c>
      <c r="B44" s="286" t="s">
        <v>1057</v>
      </c>
      <c r="C44" s="286" t="s">
        <v>1865</v>
      </c>
      <c r="D44" s="287" t="str">
        <f t="array" ref="D44">IFERROR(INDEX('2_Data_Pelanggan'!$B$5:$B$499,MATCH($B44,'2_Data_Pelanggan'!$O$5:$O$499,0)),"")</f>
        <v>ARM-0111</v>
      </c>
      <c r="E44" s="288" t="str">
        <f t="array" ref="E44">IFERROR(INDEX('2_Data_Pelanggan'!$D$5:$D$499,MATCH($B44,'2_Data_Pelanggan'!$O$5:$O$499,0)),"")</f>
        <v>SUNGSORO</v>
      </c>
      <c r="F44" s="226" t="str">
        <f t="array" ref="F44">IFERROR(INDEX('2_Data_Pelanggan'!$H$5:$H$499,MATCH($B44,'2_Data_Pelanggan'!$O$5:$O$499,0)),"")</f>
        <v>GUMELAR</v>
      </c>
      <c r="G44" s="216" t="str">
        <f t="array" ref="G44">IFERROR(INDEX('2_Data_Pelanggan'!$I$5:$I$499,MATCH($B44,'2_Data_Pelanggan'!$O$5:$O$499,0))&amp;"/"&amp;INDEX('2_Data_Pelanggan'!$J$5:$J$499,MATCH($B44,'2_Data_Pelanggan'!$O$5:$O$499,0)),"")</f>
        <v>4/2</v>
      </c>
      <c r="H44" s="287">
        <f t="array" ref="H44">IFERROR(INDEX('2_Data_Pelanggan'!$M$5:$M$499,MATCH($B44,'2_Data_Pelanggan'!$O$5:$O$499,0)),"")</f>
        <v>20</v>
      </c>
      <c r="I44" s="287" t="str">
        <f t="array" ref="I44">IFERROR(INDEX('2_Data_Pelanggan'!$W$5:$W$499,MATCH($B44,'2_Data_Pelanggan'!$O$5:$O$499,0)),"")</f>
        <v>Aktif</v>
      </c>
      <c r="J44" s="107" t="str">
        <f t="array" ref="J44">IFERROR(IF(INDEX('2_Data_Pelanggan'!$F$5:$F$499,MATCH($B44,'2_Data_Pelanggan'!$O$5:$O$499,0))="","",HYPERLINK("https://wa.me/62"&amp;MID(INDEX('2_Data_Pelanggan'!$F$5:$F$499,MATCH($B44,'2_Data_Pelanggan'!$O$5:$O$499,0)),2,20),"Chat WA")),"")</f>
        <v>Chat WA</v>
      </c>
      <c r="K44" s="107" t="str">
        <f t="array" ref="K44">IFERROR(IF(INDEX('2_Data_Pelanggan'!$F$5:$F$499,MATCH($B44,'2_Data_Pelanggan'!$O$5:$O$499,0))="","",HYPERLINK("https://wa.me/62"&amp;MID(INDEX('2_Data_Pelanggan'!$F$5:$F$499,MATCH($B44,'2_Data_Pelanggan'!$O$5:$O$499,0)),2,LEN(INDEX('2_Data_Pelanggan'!$F$5:$F$499,MATCH($B44,'2_Data_Pelanggan'!$O$5:$O$499,0)))-1)&amp;"?text="&amp;SUBSTITUTE(SUBSTITUTE("Selamat "&amp;IF(HOUR(NOW())&lt;11,"Pagi",IF(HOUR(NOW())&lt;15,"Siang",IF(HOUR(NOW())&lt;18,"Sore","Malam")))&amp;" Bapak/Ibu "&amp;E44&amp;","&amp;CHAR(10)&amp;CHAR(10)&amp;"Mohon maaf mengganggu waktunya. Kami dari Tim Teknis ARMEDIA Net mendeteksi jaringan internet di rumah Bapak/Ibu sedang OFFLINE."&amp;CHAR(10)&amp;CHAR(10)&amp;"ID Pelanggan: "&amp;D44&amp;CHAR(10)&amp;CHAR(10)&amp;"Mohon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</row>
    <row r="45" ht="15.0" customHeight="1">
      <c r="A45" s="285">
        <v>25.0</v>
      </c>
      <c r="B45" s="286" t="s">
        <v>1177</v>
      </c>
      <c r="C45" s="286" t="s">
        <v>1865</v>
      </c>
      <c r="D45" s="287" t="str">
        <f t="array" ref="D45">IFERROR(INDEX('2_Data_Pelanggan'!$B$5:$B$499,MATCH($B45,'2_Data_Pelanggan'!$O$5:$O$499,0)),"")</f>
        <v>ARM-0126</v>
      </c>
      <c r="E45" s="288" t="str">
        <f t="array" ref="E45">IFERROR(INDEX('2_Data_Pelanggan'!$D$5:$D$499,MATCH($B45,'2_Data_Pelanggan'!$O$5:$O$499,0)),"")</f>
        <v>KISWADI</v>
      </c>
      <c r="F45" s="226" t="str">
        <f t="array" ref="F45">IFERROR(INDEX('2_Data_Pelanggan'!$H$5:$H$499,MATCH($B45,'2_Data_Pelanggan'!$O$5:$O$499,0)),"")</f>
        <v>GUMELAR</v>
      </c>
      <c r="G45" s="216" t="str">
        <f t="array" ref="G45">IFERROR(INDEX('2_Data_Pelanggan'!$I$5:$I$499,MATCH($B45,'2_Data_Pelanggan'!$O$5:$O$499,0))&amp;"/"&amp;INDEX('2_Data_Pelanggan'!$J$5:$J$499,MATCH($B45,'2_Data_Pelanggan'!$O$5:$O$499,0)),"")</f>
        <v>1/5</v>
      </c>
      <c r="H45" s="287">
        <f t="array" ref="H45">IFERROR(INDEX('2_Data_Pelanggan'!$M$5:$M$499,MATCH($B45,'2_Data_Pelanggan'!$O$5:$O$499,0)),"")</f>
        <v>20</v>
      </c>
      <c r="I45" s="287" t="str">
        <f t="array" ref="I45">IFERROR(INDEX('2_Data_Pelanggan'!$W$5:$W$499,MATCH($B45,'2_Data_Pelanggan'!$O$5:$O$499,0)),"")</f>
        <v>Aktif</v>
      </c>
      <c r="J45" s="107" t="str">
        <f t="array" ref="J45">IFERROR(IF(INDEX('2_Data_Pelanggan'!$F$5:$F$499,MATCH($B45,'2_Data_Pelanggan'!$O$5:$O$499,0))="","",HYPERLINK("https://wa.me/62"&amp;MID(INDEX('2_Data_Pelanggan'!$F$5:$F$499,MATCH($B45,'2_Data_Pelanggan'!$O$5:$O$499,0)),2,20),"Chat WA")),"")</f>
        <v>Chat WA</v>
      </c>
      <c r="K45" s="107" t="str">
        <f t="array" ref="K45">IFERROR(IF(INDEX('2_Data_Pelanggan'!$F$5:$F$499,MATCH($B45,'2_Data_Pelanggan'!$O$5:$O$499,0))="","",HYPERLINK("https://wa.me/62"&amp;MID(INDEX('2_Data_Pelanggan'!$F$5:$F$499,MATCH($B45,'2_Data_Pelanggan'!$O$5:$O$499,0)),2,LEN(INDEX('2_Data_Pelanggan'!$F$5:$F$499,MATCH($B45,'2_Data_Pelanggan'!$O$5:$O$499,0)))-1)&amp;"?text="&amp;SUBSTITUTE(SUBSTITUTE("Selamat "&amp;IF(HOUR(NOW())&lt;11,"Pagi",IF(HOUR(NOW())&lt;15,"Siang",IF(HOUR(NOW())&lt;18,"Sore","Malam")))&amp;" Bapak/Ibu "&amp;E45&amp;","&amp;CHAR(10)&amp;CHAR(10)&amp;"Mohon maaf mengganggu waktunya. Kami dari Tim Teknis ARMEDIA Net mendeteksi jaringan internet di rumah Bapak/Ibu sedang OFFLINE."&amp;CHAR(10)&amp;CHAR(10)&amp;"ID Pelanggan: "&amp;D45&amp;CHAR(10)&amp;CHAR(10)&amp;"Mohon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</row>
    <row r="46" ht="15.0" customHeight="1">
      <c r="A46" s="285">
        <v>26.0</v>
      </c>
      <c r="B46" s="286" t="s">
        <v>1209</v>
      </c>
      <c r="C46" s="286" t="s">
        <v>1865</v>
      </c>
      <c r="D46" s="287" t="str">
        <f t="array" ref="D46">IFERROR(INDEX('2_Data_Pelanggan'!$B$5:$B$499,MATCH($B46,'2_Data_Pelanggan'!$O$5:$O$499,0)),"")</f>
        <v>ARM-0130</v>
      </c>
      <c r="E46" s="288" t="str">
        <f t="array" ref="E46">IFERROR(INDEX('2_Data_Pelanggan'!$D$5:$D$499,MATCH($B46,'2_Data_Pelanggan'!$O$5:$O$499,0)),"")</f>
        <v>DEDI SISWOYO</v>
      </c>
      <c r="F46" s="226" t="str">
        <f t="array" ref="F46">IFERROR(INDEX('2_Data_Pelanggan'!$H$5:$H$499,MATCH($B46,'2_Data_Pelanggan'!$O$5:$O$499,0)),"")</f>
        <v>CIREBAH</v>
      </c>
      <c r="G46" s="216" t="str">
        <f t="array" ref="G46">IFERROR(INDEX('2_Data_Pelanggan'!$I$5:$I$499,MATCH($B46,'2_Data_Pelanggan'!$O$5:$O$499,0))&amp;"/"&amp;INDEX('2_Data_Pelanggan'!$J$5:$J$499,MATCH($B46,'2_Data_Pelanggan'!$O$5:$O$499,0)),"")</f>
        <v>6/3</v>
      </c>
      <c r="H46" s="287">
        <f t="array" ref="H46">IFERROR(INDEX('2_Data_Pelanggan'!$M$5:$M$499,MATCH($B46,'2_Data_Pelanggan'!$O$5:$O$499,0)),"")</f>
        <v>20</v>
      </c>
      <c r="I46" s="287" t="str">
        <f t="array" ref="I46">IFERROR(INDEX('2_Data_Pelanggan'!$W$5:$W$499,MATCH($B46,'2_Data_Pelanggan'!$O$5:$O$499,0)),"")</f>
        <v>Aktif</v>
      </c>
      <c r="J46" s="107" t="str">
        <f t="array" ref="J46">IFERROR(IF(INDEX('2_Data_Pelanggan'!$F$5:$F$499,MATCH($B46,'2_Data_Pelanggan'!$O$5:$O$499,0))="","",HYPERLINK("https://wa.me/62"&amp;MID(INDEX('2_Data_Pelanggan'!$F$5:$F$499,MATCH($B46,'2_Data_Pelanggan'!$O$5:$O$499,0)),2,20),"Chat WA")),"")</f>
        <v>Chat WA</v>
      </c>
      <c r="K46" s="107" t="str">
        <f t="array" ref="K46">IFERROR(IF(INDEX('2_Data_Pelanggan'!$F$5:$F$499,MATCH($B46,'2_Data_Pelanggan'!$O$5:$O$499,0))="","",HYPERLINK("https://wa.me/62"&amp;MID(INDEX('2_Data_Pelanggan'!$F$5:$F$499,MATCH($B46,'2_Data_Pelanggan'!$O$5:$O$499,0)),2,LEN(INDEX('2_Data_Pelanggan'!$F$5:$F$499,MATCH($B46,'2_Data_Pelanggan'!$O$5:$O$499,0)))-1)&amp;"?text="&amp;SUBSTITUTE(SUBSTITUTE("Selamat "&amp;IF(HOUR(NOW())&lt;11,"Pagi",IF(HOUR(NOW())&lt;15,"Siang",IF(HOUR(NOW())&lt;18,"Sore","Malam")))&amp;" Bapak/Ibu "&amp;E46&amp;","&amp;CHAR(10)&amp;CHAR(10)&amp;"Mohon maaf mengganggu waktunya. Kami dari Tim Teknis ARMEDIA Net mendeteksi jaringan internet di rumah Bapak/Ibu sedang OFFLINE."&amp;CHAR(10)&amp;CHAR(10)&amp;"ID Pelanggan: "&amp;D46&amp;CHAR(10)&amp;CHAR(10)&amp;"Mohon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</row>
    <row r="47" ht="15.0" customHeight="1">
      <c r="A47" s="285">
        <v>27.0</v>
      </c>
      <c r="B47" s="286" t="s">
        <v>1264</v>
      </c>
      <c r="C47" s="286" t="s">
        <v>1865</v>
      </c>
      <c r="D47" s="287" t="str">
        <f t="array" ref="D47">IFERROR(INDEX('2_Data_Pelanggan'!$B$5:$B$499,MATCH($B47,'2_Data_Pelanggan'!$O$5:$O$499,0)),"")</f>
        <v>ARM-0137</v>
      </c>
      <c r="E47" s="288" t="str">
        <f t="array" ref="E47">IFERROR(INDEX('2_Data_Pelanggan'!$D$5:$D$499,MATCH($B47,'2_Data_Pelanggan'!$O$5:$O$499,0)),"")</f>
        <v>MUHAMAD RUSLI AF</v>
      </c>
      <c r="F47" s="226" t="str">
        <f t="array" ref="F47">IFERROR(INDEX('2_Data_Pelanggan'!$H$5:$H$499,MATCH($B47,'2_Data_Pelanggan'!$O$5:$O$499,0)),"")</f>
        <v>GUMELAR</v>
      </c>
      <c r="G47" s="216" t="str">
        <f t="array" ref="G47">IFERROR(INDEX('2_Data_Pelanggan'!$I$5:$I$499,MATCH($B47,'2_Data_Pelanggan'!$O$5:$O$499,0))&amp;"/"&amp;INDEX('2_Data_Pelanggan'!$J$5:$J$499,MATCH($B47,'2_Data_Pelanggan'!$O$5:$O$499,0)),"")</f>
        <v>4/3</v>
      </c>
      <c r="H47" s="287">
        <f t="array" ref="H47">IFERROR(INDEX('2_Data_Pelanggan'!$M$5:$M$499,MATCH($B47,'2_Data_Pelanggan'!$O$5:$O$499,0)),"")</f>
        <v>20</v>
      </c>
      <c r="I47" s="287" t="str">
        <f t="array" ref="I47">IFERROR(INDEX('2_Data_Pelanggan'!$W$5:$W$499,MATCH($B47,'2_Data_Pelanggan'!$O$5:$O$499,0)),"")</f>
        <v>Aktif</v>
      </c>
      <c r="J47" s="107" t="str">
        <f t="array" ref="J47">IFERROR(IF(INDEX('2_Data_Pelanggan'!$F$5:$F$499,MATCH($B47,'2_Data_Pelanggan'!$O$5:$O$499,0))="","",HYPERLINK("https://wa.me/62"&amp;MID(INDEX('2_Data_Pelanggan'!$F$5:$F$499,MATCH($B47,'2_Data_Pelanggan'!$O$5:$O$499,0)),2,20),"Chat WA")),"")</f>
        <v>Chat WA</v>
      </c>
      <c r="K47" s="107" t="str">
        <f t="array" ref="K47">IFERROR(IF(INDEX('2_Data_Pelanggan'!$F$5:$F$499,MATCH($B47,'2_Data_Pelanggan'!$O$5:$O$499,0))="","",HYPERLINK("https://wa.me/62"&amp;MID(INDEX('2_Data_Pelanggan'!$F$5:$F$499,MATCH($B47,'2_Data_Pelanggan'!$O$5:$O$499,0)),2,LEN(INDEX('2_Data_Pelanggan'!$F$5:$F$499,MATCH($B47,'2_Data_Pelanggan'!$O$5:$O$499,0)))-1)&amp;"?text="&amp;SUBSTITUTE(SUBSTITUTE("Selamat "&amp;IF(HOUR(NOW())&lt;11,"Pagi",IF(HOUR(NOW())&lt;15,"Siang",IF(HOUR(NOW())&lt;18,"Sore","Malam")))&amp;" Bapak/Ibu "&amp;E47&amp;","&amp;CHAR(10)&amp;CHAR(10)&amp;"Mohon maaf mengganggu waktunya. Kami dari Tim Teknis ARMEDIA Net mendeteksi jaringan internet di rumah Bapak/Ibu sedang OFFLINE."&amp;CHAR(10)&amp;CHAR(10)&amp;"ID Pelanggan: "&amp;D47&amp;CHAR(10)&amp;CHAR(10)&amp;"Mohon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</row>
    <row r="48" ht="15.0" customHeight="1">
      <c r="A48" s="285">
        <v>28.0</v>
      </c>
      <c r="B48" s="286" t="s">
        <v>1287</v>
      </c>
      <c r="C48" s="286" t="s">
        <v>1865</v>
      </c>
      <c r="D48" s="287" t="str">
        <f t="array" ref="D48">IFERROR(INDEX('2_Data_Pelanggan'!$B$5:$B$499,MATCH($B48,'2_Data_Pelanggan'!$O$5:$O$499,0)),"")</f>
        <v>ARM-0140</v>
      </c>
      <c r="E48" s="288" t="str">
        <f t="array" ref="E48">IFERROR(INDEX('2_Data_Pelanggan'!$D$5:$D$499,MATCH($B48,'2_Data_Pelanggan'!$O$5:$O$499,0)),"")</f>
        <v>DWI HANTORO</v>
      </c>
      <c r="F48" s="226" t="str">
        <f t="array" ref="F48">IFERROR(INDEX('2_Data_Pelanggan'!$H$5:$H$499,MATCH($B48,'2_Data_Pelanggan'!$O$5:$O$499,0)),"")</f>
        <v>GUMELAR</v>
      </c>
      <c r="G48" s="216" t="str">
        <f t="array" ref="G48">IFERROR(INDEX('2_Data_Pelanggan'!$I$5:$I$499,MATCH($B48,'2_Data_Pelanggan'!$O$5:$O$499,0))&amp;"/"&amp;INDEX('2_Data_Pelanggan'!$J$5:$J$499,MATCH($B48,'2_Data_Pelanggan'!$O$5:$O$499,0)),"")</f>
        <v>2/11</v>
      </c>
      <c r="H48" s="287">
        <f t="array" ref="H48">IFERROR(INDEX('2_Data_Pelanggan'!$M$5:$M$499,MATCH($B48,'2_Data_Pelanggan'!$O$5:$O$499,0)),"")</f>
        <v>30</v>
      </c>
      <c r="I48" s="287" t="str">
        <f t="array" ref="I48">IFERROR(INDEX('2_Data_Pelanggan'!$W$5:$W$499,MATCH($B48,'2_Data_Pelanggan'!$O$5:$O$499,0)),"")</f>
        <v>Aktif</v>
      </c>
      <c r="J48" s="107" t="str">
        <f t="array" ref="J48">IFERROR(IF(INDEX('2_Data_Pelanggan'!$F$5:$F$499,MATCH($B48,'2_Data_Pelanggan'!$O$5:$O$499,0))="","",HYPERLINK("https://wa.me/62"&amp;MID(INDEX('2_Data_Pelanggan'!$F$5:$F$499,MATCH($B48,'2_Data_Pelanggan'!$O$5:$O$499,0)),2,20),"Chat WA")),"")</f>
        <v>Chat WA</v>
      </c>
      <c r="K48" s="107" t="str">
        <f t="array" ref="K48">IFERROR(IF(INDEX('2_Data_Pelanggan'!$F$5:$F$499,MATCH($B48,'2_Data_Pelanggan'!$O$5:$O$499,0))="","",HYPERLINK("https://wa.me/62"&amp;MID(INDEX('2_Data_Pelanggan'!$F$5:$F$499,MATCH($B48,'2_Data_Pelanggan'!$O$5:$O$499,0)),2,LEN(INDEX('2_Data_Pelanggan'!$F$5:$F$499,MATCH($B48,'2_Data_Pelanggan'!$O$5:$O$499,0)))-1)&amp;"?text="&amp;SUBSTITUTE(SUBSTITUTE("Selamat "&amp;IF(HOUR(NOW())&lt;11,"Pagi",IF(HOUR(NOW())&lt;15,"Siang",IF(HOUR(NOW())&lt;18,"Sore","Malam")))&amp;" Bapak/Ibu "&amp;E48&amp;","&amp;CHAR(10)&amp;CHAR(10)&amp;"Mohon maaf mengganggu waktunya. Kami dari Tim Teknis ARMEDIA Net mendeteksi jaringan internet di rumah Bapak/Ibu sedang OFFLINE."&amp;CHAR(10)&amp;CHAR(10)&amp;"ID Pelanggan: "&amp;D48&amp;CHAR(10)&amp;CHAR(10)&amp;"Mohon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</row>
    <row r="49" ht="15.0" customHeight="1">
      <c r="A49" s="285">
        <v>29.0</v>
      </c>
      <c r="B49" s="286" t="s">
        <v>1406</v>
      </c>
      <c r="C49" s="286" t="s">
        <v>1865</v>
      </c>
      <c r="D49" s="287" t="str">
        <f t="array" ref="D49">IFERROR(INDEX('2_Data_Pelanggan'!$B$5:$B$499,MATCH($B49,'2_Data_Pelanggan'!$O$5:$O$499,0)),"")</f>
        <v>ARM-0156</v>
      </c>
      <c r="E49" s="288" t="str">
        <f t="array" ref="E49">IFERROR(INDEX('2_Data_Pelanggan'!$D$5:$D$499,MATCH($B49,'2_Data_Pelanggan'!$O$5:$O$499,0)),"")</f>
        <v>SULISTIYONO</v>
      </c>
      <c r="F49" s="226" t="str">
        <f t="array" ref="F49">IFERROR(INDEX('2_Data_Pelanggan'!$H$5:$H$499,MATCH($B49,'2_Data_Pelanggan'!$O$5:$O$499,0)),"")</f>
        <v>GUMELAR</v>
      </c>
      <c r="G49" s="216" t="str">
        <f t="array" ref="G49">IFERROR(INDEX('2_Data_Pelanggan'!$I$5:$I$499,MATCH($B49,'2_Data_Pelanggan'!$O$5:$O$499,0))&amp;"/"&amp;INDEX('2_Data_Pelanggan'!$J$5:$J$499,MATCH($B49,'2_Data_Pelanggan'!$O$5:$O$499,0)),"")</f>
        <v>2/2</v>
      </c>
      <c r="H49" s="287">
        <f t="array" ref="H49">IFERROR(INDEX('2_Data_Pelanggan'!$M$5:$M$499,MATCH($B49,'2_Data_Pelanggan'!$O$5:$O$499,0)),"")</f>
        <v>30</v>
      </c>
      <c r="I49" s="287" t="str">
        <f t="array" ref="I49">IFERROR(INDEX('2_Data_Pelanggan'!$W$5:$W$499,MATCH($B49,'2_Data_Pelanggan'!$O$5:$O$499,0)),"")</f>
        <v>Aktif</v>
      </c>
      <c r="J49" s="107" t="str">
        <f t="array" ref="J49">IFERROR(IF(INDEX('2_Data_Pelanggan'!$F$5:$F$499,MATCH($B49,'2_Data_Pelanggan'!$O$5:$O$499,0))="","",HYPERLINK("https://wa.me/62"&amp;MID(INDEX('2_Data_Pelanggan'!$F$5:$F$499,MATCH($B49,'2_Data_Pelanggan'!$O$5:$O$499,0)),2,20),"Chat WA")),"")</f>
        <v>Chat WA</v>
      </c>
      <c r="K49" s="107" t="str">
        <f t="array" ref="K49">IFERROR(IF(INDEX('2_Data_Pelanggan'!$F$5:$F$499,MATCH($B49,'2_Data_Pelanggan'!$O$5:$O$499,0))="","",HYPERLINK("https://wa.me/62"&amp;MID(INDEX('2_Data_Pelanggan'!$F$5:$F$499,MATCH($B49,'2_Data_Pelanggan'!$O$5:$O$499,0)),2,LEN(INDEX('2_Data_Pelanggan'!$F$5:$F$499,MATCH($B49,'2_Data_Pelanggan'!$O$5:$O$499,0)))-1)&amp;"?text="&amp;SUBSTITUTE(SUBSTITUTE("Selamat "&amp;IF(HOUR(NOW())&lt;11,"Pagi",IF(HOUR(NOW())&lt;15,"Siang",IF(HOUR(NOW())&lt;18,"Sore","Malam")))&amp;" Bapak/Ibu "&amp;E49&amp;","&amp;CHAR(10)&amp;CHAR(10)&amp;"Mohon maaf mengganggu waktunya. Kami dari Tim Teknis ARMEDIA Net mendeteksi jaringan internet di rumah Bapak/Ibu sedang OFFLINE."&amp;CHAR(10)&amp;CHAR(10)&amp;"ID Pelanggan: "&amp;D49&amp;CHAR(10)&amp;CHAR(10)&amp;"Mohon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</row>
    <row r="50" ht="15.0" customHeight="1">
      <c r="A50" s="285">
        <v>30.0</v>
      </c>
      <c r="B50" s="286" t="s">
        <v>1414</v>
      </c>
      <c r="C50" s="286" t="s">
        <v>1865</v>
      </c>
      <c r="D50" s="287" t="str">
        <f t="array" ref="D50">IFERROR(INDEX('2_Data_Pelanggan'!$B$5:$B$499,MATCH($B50,'2_Data_Pelanggan'!$O$5:$O$499,0)),"")</f>
        <v>ARM-0157</v>
      </c>
      <c r="E50" s="288" t="str">
        <f t="array" ref="E50">IFERROR(INDEX('2_Data_Pelanggan'!$D$5:$D$499,MATCH($B50,'2_Data_Pelanggan'!$O$5:$O$499,0)),"")</f>
        <v>TITIN RESTIYANI</v>
      </c>
      <c r="F50" s="226" t="str">
        <f t="array" ref="F50">IFERROR(INDEX('2_Data_Pelanggan'!$H$5:$H$499,MATCH($B50,'2_Data_Pelanggan'!$O$5:$O$499,0)),"")</f>
        <v>GUMELAR</v>
      </c>
      <c r="G50" s="216" t="str">
        <f t="array" ref="G50">IFERROR(INDEX('2_Data_Pelanggan'!$I$5:$I$499,MATCH($B50,'2_Data_Pelanggan'!$O$5:$O$499,0))&amp;"/"&amp;INDEX('2_Data_Pelanggan'!$J$5:$J$499,MATCH($B50,'2_Data_Pelanggan'!$O$5:$O$499,0)),"")</f>
        <v>2/2</v>
      </c>
      <c r="H50" s="287">
        <f t="array" ref="H50">IFERROR(INDEX('2_Data_Pelanggan'!$M$5:$M$499,MATCH($B50,'2_Data_Pelanggan'!$O$5:$O$499,0)),"")</f>
        <v>20</v>
      </c>
      <c r="I50" s="287" t="str">
        <f t="array" ref="I50">IFERROR(INDEX('2_Data_Pelanggan'!$W$5:$W$499,MATCH($B50,'2_Data_Pelanggan'!$O$5:$O$499,0)),"")</f>
        <v>Aktif</v>
      </c>
      <c r="J50" s="107" t="str">
        <f t="array" ref="J50">IFERROR(IF(INDEX('2_Data_Pelanggan'!$F$5:$F$499,MATCH($B50,'2_Data_Pelanggan'!$O$5:$O$499,0))="","",HYPERLINK("https://wa.me/62"&amp;MID(INDEX('2_Data_Pelanggan'!$F$5:$F$499,MATCH($B50,'2_Data_Pelanggan'!$O$5:$O$499,0)),2,20),"Chat WA")),"")</f>
        <v>Chat WA</v>
      </c>
      <c r="K50" s="107" t="str">
        <f t="array" ref="K50">IFERROR(IF(INDEX('2_Data_Pelanggan'!$F$5:$F$499,MATCH($B50,'2_Data_Pelanggan'!$O$5:$O$499,0))="","",HYPERLINK("https://wa.me/62"&amp;MID(INDEX('2_Data_Pelanggan'!$F$5:$F$499,MATCH($B50,'2_Data_Pelanggan'!$O$5:$O$499,0)),2,LEN(INDEX('2_Data_Pelanggan'!$F$5:$F$499,MATCH($B50,'2_Data_Pelanggan'!$O$5:$O$499,0)))-1)&amp;"?text="&amp;SUBSTITUTE(SUBSTITUTE("Selamat "&amp;IF(HOUR(NOW())&lt;11,"Pagi",IF(HOUR(NOW())&lt;15,"Siang",IF(HOUR(NOW())&lt;18,"Sore","Malam")))&amp;" Bapak/Ibu "&amp;E50&amp;","&amp;CHAR(10)&amp;CHAR(10)&amp;"Mohon maaf mengganggu waktunya. Kami dari Tim Teknis ARMEDIA Net mendeteksi jaringan internet di rumah Bapak/Ibu sedang OFFLINE."&amp;CHAR(10)&amp;CHAR(10)&amp;"ID Pelanggan: "&amp;D50&amp;CHAR(10)&amp;CHAR(10)&amp;"Mohon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</row>
    <row r="51" ht="15.0" customHeight="1">
      <c r="A51" s="285">
        <v>31.0</v>
      </c>
      <c r="B51" s="286" t="s">
        <v>250</v>
      </c>
      <c r="C51" s="286" t="s">
        <v>1865</v>
      </c>
      <c r="D51" s="287" t="str">
        <f t="array" ref="D51">IFERROR(INDEX('2_Data_Pelanggan'!$B$5:$B$499,MATCH($B51,'2_Data_Pelanggan'!$O$5:$O$499,0)),"")</f>
        <v>ARM-0008</v>
      </c>
      <c r="E51" s="288" t="str">
        <f t="array" ref="E51">IFERROR(INDEX('2_Data_Pelanggan'!$D$5:$D$499,MATCH($B51,'2_Data_Pelanggan'!$O$5:$O$499,0)),"")</f>
        <v>WARSITO</v>
      </c>
      <c r="F51" s="226" t="str">
        <f t="array" ref="F51">IFERROR(INDEX('2_Data_Pelanggan'!$H$5:$H$499,MATCH($B51,'2_Data_Pelanggan'!$O$5:$O$499,0)),"")</f>
        <v>CIHONJE</v>
      </c>
      <c r="G51" s="216" t="str">
        <f t="array" ref="G51">IFERROR(INDEX('2_Data_Pelanggan'!$I$5:$I$499,MATCH($B51,'2_Data_Pelanggan'!$O$5:$O$499,0))&amp;"/"&amp;INDEX('2_Data_Pelanggan'!$J$5:$J$499,MATCH($B51,'2_Data_Pelanggan'!$O$5:$O$499,0)),"")</f>
        <v>3/3</v>
      </c>
      <c r="H51" s="287">
        <f t="array" ref="H51">IFERROR(INDEX('2_Data_Pelanggan'!$M$5:$M$499,MATCH($B51,'2_Data_Pelanggan'!$O$5:$O$499,0)),"")</f>
        <v>20</v>
      </c>
      <c r="I51" s="287" t="str">
        <f t="array" ref="I51">IFERROR(INDEX('2_Data_Pelanggan'!$W$5:$W$499,MATCH($B51,'2_Data_Pelanggan'!$O$5:$O$499,0)),"")</f>
        <v>Aktif</v>
      </c>
      <c r="J51" s="107" t="str">
        <f t="array" ref="J51">IFERROR(IF(INDEX('2_Data_Pelanggan'!$F$5:$F$499,MATCH($B51,'2_Data_Pelanggan'!$O$5:$O$499,0))="","",HYPERLINK("https://wa.me/62"&amp;MID(INDEX('2_Data_Pelanggan'!$F$5:$F$499,MATCH($B51,'2_Data_Pelanggan'!$O$5:$O$499,0)),2,20),"Chat WA")),"")</f>
        <v>Chat WA</v>
      </c>
      <c r="K51" s="107" t="str">
        <f t="array" ref="K51">IFERROR(IF(INDEX('2_Data_Pelanggan'!$F$5:$F$499,MATCH($B51,'2_Data_Pelanggan'!$O$5:$O$499,0))="","",HYPERLINK("https://wa.me/62"&amp;MID(INDEX('2_Data_Pelanggan'!$F$5:$F$499,MATCH($B51,'2_Data_Pelanggan'!$O$5:$O$499,0)),2,LEN(INDEX('2_Data_Pelanggan'!$F$5:$F$499,MATCH($B51,'2_Data_Pelanggan'!$O$5:$O$499,0)))-1)&amp;"?text="&amp;SUBSTITUTE(SUBSTITUTE("Selamat "&amp;IF(HOUR(NOW())&lt;11,"Pagi",IF(HOUR(NOW())&lt;15,"Siang",IF(HOUR(NOW())&lt;18,"Sore","Malam")))&amp;" Bapak/Ibu "&amp;E51&amp;","&amp;CHAR(10)&amp;CHAR(10)&amp;"Mohon maaf mengganggu waktunya. Kami dari Tim Teknis ARMEDIA Net mendeteksi jaringan internet di rumah Bapak/Ibu sedang OFFLINE."&amp;CHAR(10)&amp;CHAR(10)&amp;"ID Pelanggan: "&amp;D51&amp;CHAR(10)&amp;CHAR(10)&amp;"Mohon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</row>
    <row r="52" ht="15.0" customHeight="1">
      <c r="A52" s="285">
        <v>32.0</v>
      </c>
      <c r="B52" s="286" t="s">
        <v>236</v>
      </c>
      <c r="C52" s="286" t="s">
        <v>1865</v>
      </c>
      <c r="D52" s="287" t="str">
        <f t="array" ref="D52">IFERROR(INDEX('2_Data_Pelanggan'!$B$5:$B$499,MATCH($B52,'2_Data_Pelanggan'!$O$5:$O$499,0)),"")</f>
        <v>ARM-0006</v>
      </c>
      <c r="E52" s="288" t="str">
        <f t="array" ref="E52">IFERROR(INDEX('2_Data_Pelanggan'!$D$5:$D$499,MATCH($B52,'2_Data_Pelanggan'!$O$5:$O$499,0)),"")</f>
        <v>TRIYONO</v>
      </c>
      <c r="F52" s="226" t="str">
        <f t="array" ref="F52">IFERROR(INDEX('2_Data_Pelanggan'!$H$5:$H$499,MATCH($B52,'2_Data_Pelanggan'!$O$5:$O$499,0)),"")</f>
        <v>CIHONJE</v>
      </c>
      <c r="G52" s="216" t="str">
        <f t="array" ref="G52">IFERROR(INDEX('2_Data_Pelanggan'!$I$5:$I$499,MATCH($B52,'2_Data_Pelanggan'!$O$5:$O$499,0))&amp;"/"&amp;INDEX('2_Data_Pelanggan'!$J$5:$J$499,MATCH($B52,'2_Data_Pelanggan'!$O$5:$O$499,0)),"")</f>
        <v>3/2</v>
      </c>
      <c r="H52" s="287">
        <f t="array" ref="H52">IFERROR(INDEX('2_Data_Pelanggan'!$M$5:$M$499,MATCH($B52,'2_Data_Pelanggan'!$O$5:$O$499,0)),"")</f>
        <v>20</v>
      </c>
      <c r="I52" s="287" t="str">
        <f t="array" ref="I52">IFERROR(INDEX('2_Data_Pelanggan'!$W$5:$W$499,MATCH($B52,'2_Data_Pelanggan'!$O$5:$O$499,0)),"")</f>
        <v>Aktif</v>
      </c>
      <c r="J52" s="107" t="str">
        <f t="array" ref="J52">IFERROR(IF(INDEX('2_Data_Pelanggan'!$F$5:$F$499,MATCH($B52,'2_Data_Pelanggan'!$O$5:$O$499,0))="","",HYPERLINK("https://wa.me/62"&amp;MID(INDEX('2_Data_Pelanggan'!$F$5:$F$499,MATCH($B52,'2_Data_Pelanggan'!$O$5:$O$499,0)),2,20),"Chat WA")),"")</f>
        <v>Chat WA</v>
      </c>
      <c r="K52" s="107" t="str">
        <f t="array" ref="K52">IFERROR(IF(INDEX('2_Data_Pelanggan'!$F$5:$F$499,MATCH($B52,'2_Data_Pelanggan'!$O$5:$O$499,0))="","",HYPERLINK("https://wa.me/62"&amp;MID(INDEX('2_Data_Pelanggan'!$F$5:$F$499,MATCH($B52,'2_Data_Pelanggan'!$O$5:$O$499,0)),2,LEN(INDEX('2_Data_Pelanggan'!$F$5:$F$499,MATCH($B52,'2_Data_Pelanggan'!$O$5:$O$499,0)))-1)&amp;"?text="&amp;SUBSTITUTE(SUBSTITUTE("Selamat "&amp;IF(HOUR(NOW())&lt;11,"Pagi",IF(HOUR(NOW())&lt;15,"Siang",IF(HOUR(NOW())&lt;18,"Sore","Malam")))&amp;" Bapak/Ibu "&amp;E52&amp;","&amp;CHAR(10)&amp;CHAR(10)&amp;"Mohon maaf mengganggu waktunya. Kami dari Tim Teknis ARMEDIA Net mendeteksi jaringan internet di rumah Bapak/Ibu sedang OFFLINE."&amp;CHAR(10)&amp;CHAR(10)&amp;"ID Pelanggan: "&amp;D52&amp;CHAR(10)&amp;CHAR(10)&amp;"Mohon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</row>
    <row r="53" ht="15.0" customHeight="1">
      <c r="A53" s="285">
        <v>33.0</v>
      </c>
      <c r="B53" s="286" t="s">
        <v>258</v>
      </c>
      <c r="C53" s="286" t="s">
        <v>1865</v>
      </c>
      <c r="D53" s="287" t="str">
        <f t="array" ref="D53">IFERROR(INDEX('2_Data_Pelanggan'!$B$5:$B$499,MATCH($B53,'2_Data_Pelanggan'!$O$5:$O$499,0)),"")</f>
        <v>ARM-0009</v>
      </c>
      <c r="E53" s="288" t="str">
        <f t="array" ref="E53">IFERROR(INDEX('2_Data_Pelanggan'!$D$5:$D$499,MATCH($B53,'2_Data_Pelanggan'!$O$5:$O$499,0)),"")</f>
        <v>RUMINAH</v>
      </c>
      <c r="F53" s="226" t="str">
        <f t="array" ref="F53">IFERROR(INDEX('2_Data_Pelanggan'!$H$5:$H$499,MATCH($B53,'2_Data_Pelanggan'!$O$5:$O$499,0)),"")</f>
        <v>CIHONJE</v>
      </c>
      <c r="G53" s="216" t="str">
        <f t="array" ref="G53">IFERROR(INDEX('2_Data_Pelanggan'!$I$5:$I$499,MATCH($B53,'2_Data_Pelanggan'!$O$5:$O$499,0))&amp;"/"&amp;INDEX('2_Data_Pelanggan'!$J$5:$J$499,MATCH($B53,'2_Data_Pelanggan'!$O$5:$O$499,0)),"")</f>
        <v>3/2</v>
      </c>
      <c r="H53" s="287">
        <f t="array" ref="H53">IFERROR(INDEX('2_Data_Pelanggan'!$M$5:$M$499,MATCH($B53,'2_Data_Pelanggan'!$O$5:$O$499,0)),"")</f>
        <v>20</v>
      </c>
      <c r="I53" s="287" t="str">
        <f t="array" ref="I53">IFERROR(INDEX('2_Data_Pelanggan'!$W$5:$W$499,MATCH($B53,'2_Data_Pelanggan'!$O$5:$O$499,0)),"")</f>
        <v>Aktif</v>
      </c>
      <c r="J53" s="107" t="str">
        <f t="array" ref="J53">IFERROR(IF(INDEX('2_Data_Pelanggan'!$F$5:$F$499,MATCH($B53,'2_Data_Pelanggan'!$O$5:$O$499,0))="","",HYPERLINK("https://wa.me/62"&amp;MID(INDEX('2_Data_Pelanggan'!$F$5:$F$499,MATCH($B53,'2_Data_Pelanggan'!$O$5:$O$499,0)),2,20),"Chat WA")),"")</f>
        <v>Chat WA</v>
      </c>
      <c r="K53" s="107" t="str">
        <f t="array" ref="K53">IFERROR(IF(INDEX('2_Data_Pelanggan'!$F$5:$F$499,MATCH($B53,'2_Data_Pelanggan'!$O$5:$O$499,0))="","",HYPERLINK("https://wa.me/62"&amp;MID(INDEX('2_Data_Pelanggan'!$F$5:$F$499,MATCH($B53,'2_Data_Pelanggan'!$O$5:$O$499,0)),2,LEN(INDEX('2_Data_Pelanggan'!$F$5:$F$499,MATCH($B53,'2_Data_Pelanggan'!$O$5:$O$499,0)))-1)&amp;"?text="&amp;SUBSTITUTE(SUBSTITUTE("Selamat "&amp;IF(HOUR(NOW())&lt;11,"Pagi",IF(HOUR(NOW())&lt;15,"Siang",IF(HOUR(NOW())&lt;18,"Sore","Malam")))&amp;" Bapak/Ibu "&amp;E53&amp;","&amp;CHAR(10)&amp;CHAR(10)&amp;"Mohon maaf mengganggu waktunya. Kami dari Tim Teknis ARMEDIA Net mendeteksi jaringan internet di rumah Bapak/Ibu sedang OFFLINE."&amp;CHAR(10)&amp;CHAR(10)&amp;"ID Pelanggan: "&amp;D53&amp;CHAR(10)&amp;CHAR(10)&amp;"Mohon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</row>
    <row r="54" ht="15.0" customHeight="1">
      <c r="A54" s="285">
        <v>34.0</v>
      </c>
      <c r="B54" s="286" t="s">
        <v>242</v>
      </c>
      <c r="C54" s="286" t="s">
        <v>1865</v>
      </c>
      <c r="D54" s="287" t="str">
        <f t="array" ref="D54">IFERROR(INDEX('2_Data_Pelanggan'!$B$5:$B$499,MATCH($B54,'2_Data_Pelanggan'!$O$5:$O$499,0)),"")</f>
        <v>ARM-0007</v>
      </c>
      <c r="E54" s="288" t="str">
        <f t="array" ref="E54">IFERROR(INDEX('2_Data_Pelanggan'!$D$5:$D$499,MATCH($B54,'2_Data_Pelanggan'!$O$5:$O$499,0)),"")</f>
        <v>WAIFRON</v>
      </c>
      <c r="F54" s="226" t="str">
        <f t="array" ref="F54">IFERROR(INDEX('2_Data_Pelanggan'!$H$5:$H$499,MATCH($B54,'2_Data_Pelanggan'!$O$5:$O$499,0)),"")</f>
        <v>CIHONJE</v>
      </c>
      <c r="G54" s="216" t="str">
        <f t="array" ref="G54">IFERROR(INDEX('2_Data_Pelanggan'!$I$5:$I$499,MATCH($B54,'2_Data_Pelanggan'!$O$5:$O$499,0))&amp;"/"&amp;INDEX('2_Data_Pelanggan'!$J$5:$J$499,MATCH($B54,'2_Data_Pelanggan'!$O$5:$O$499,0)),"")</f>
        <v>3/2</v>
      </c>
      <c r="H54" s="287">
        <f t="array" ref="H54">IFERROR(INDEX('2_Data_Pelanggan'!$M$5:$M$499,MATCH($B54,'2_Data_Pelanggan'!$O$5:$O$499,0)),"")</f>
        <v>20</v>
      </c>
      <c r="I54" s="287" t="str">
        <f t="array" ref="I54">IFERROR(INDEX('2_Data_Pelanggan'!$W$5:$W$499,MATCH($B54,'2_Data_Pelanggan'!$O$5:$O$499,0)),"")</f>
        <v>Aktif</v>
      </c>
      <c r="J54" s="107" t="str">
        <f t="array" ref="J54">IFERROR(IF(INDEX('2_Data_Pelanggan'!$F$5:$F$499,MATCH($B54,'2_Data_Pelanggan'!$O$5:$O$499,0))="","",HYPERLINK("https://wa.me/62"&amp;MID(INDEX('2_Data_Pelanggan'!$F$5:$F$499,MATCH($B54,'2_Data_Pelanggan'!$O$5:$O$499,0)),2,20),"Chat WA")),"")</f>
        <v>Chat WA</v>
      </c>
      <c r="K54" s="107" t="str">
        <f t="array" ref="K54">IFERROR(IF(INDEX('2_Data_Pelanggan'!$F$5:$F$499,MATCH($B54,'2_Data_Pelanggan'!$O$5:$O$499,0))="","",HYPERLINK("https://wa.me/62"&amp;MID(INDEX('2_Data_Pelanggan'!$F$5:$F$499,MATCH($B54,'2_Data_Pelanggan'!$O$5:$O$499,0)),2,LEN(INDEX('2_Data_Pelanggan'!$F$5:$F$499,MATCH($B54,'2_Data_Pelanggan'!$O$5:$O$499,0)))-1)&amp;"?text="&amp;SUBSTITUTE(SUBSTITUTE("Selamat "&amp;IF(HOUR(NOW())&lt;11,"Pagi",IF(HOUR(NOW())&lt;15,"Siang",IF(HOUR(NOW())&lt;18,"Sore","Malam")))&amp;" Bapak/Ibu "&amp;E54&amp;","&amp;CHAR(10)&amp;CHAR(10)&amp;"Mohon maaf mengganggu waktunya. Kami dari Tim Teknis ARMEDIA Net mendeteksi jaringan internet di rumah Bapak/Ibu sedang OFFLINE."&amp;CHAR(10)&amp;CHAR(10)&amp;"ID Pelanggan: "&amp;D54&amp;CHAR(10)&amp;CHAR(10)&amp;"Mohon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</row>
    <row r="55" ht="15.0" customHeight="1">
      <c r="A55" s="285">
        <v>35.0</v>
      </c>
      <c r="B55" s="286" t="s">
        <v>319</v>
      </c>
      <c r="C55" s="286" t="s">
        <v>1865</v>
      </c>
      <c r="D55" s="287" t="str">
        <f t="array" ref="D55">IFERROR(INDEX('2_Data_Pelanggan'!$B$5:$B$499,MATCH($B55,'2_Data_Pelanggan'!$O$5:$O$499,0)),"")</f>
        <v>ARM-0017</v>
      </c>
      <c r="E55" s="288" t="str">
        <f t="array" ref="E55">IFERROR(INDEX('2_Data_Pelanggan'!$D$5:$D$499,MATCH($B55,'2_Data_Pelanggan'!$O$5:$O$499,0)),"")</f>
        <v>RATIMAH</v>
      </c>
      <c r="F55" s="226" t="str">
        <f t="array" ref="F55">IFERROR(INDEX('2_Data_Pelanggan'!$H$5:$H$499,MATCH($B55,'2_Data_Pelanggan'!$O$5:$O$499,0)),"")</f>
        <v>CIHONJE</v>
      </c>
      <c r="G55" s="216" t="str">
        <f t="array" ref="G55">IFERROR(INDEX('2_Data_Pelanggan'!$I$5:$I$499,MATCH($B55,'2_Data_Pelanggan'!$O$5:$O$499,0))&amp;"/"&amp;INDEX('2_Data_Pelanggan'!$J$5:$J$499,MATCH($B55,'2_Data_Pelanggan'!$O$5:$O$499,0)),"")</f>
        <v>3/2</v>
      </c>
      <c r="H55" s="287">
        <f t="array" ref="H55">IFERROR(INDEX('2_Data_Pelanggan'!$M$5:$M$499,MATCH($B55,'2_Data_Pelanggan'!$O$5:$O$499,0)),"")</f>
        <v>20</v>
      </c>
      <c r="I55" s="287" t="str">
        <f t="array" ref="I55">IFERROR(INDEX('2_Data_Pelanggan'!$W$5:$W$499,MATCH($B55,'2_Data_Pelanggan'!$O$5:$O$499,0)),"")</f>
        <v>Aktif</v>
      </c>
      <c r="J55" s="107" t="str">
        <f t="array" ref="J55">IFERROR(IF(INDEX('2_Data_Pelanggan'!$F$5:$F$499,MATCH($B55,'2_Data_Pelanggan'!$O$5:$O$499,0))="","",HYPERLINK("https://wa.me/62"&amp;MID(INDEX('2_Data_Pelanggan'!$F$5:$F$499,MATCH($B55,'2_Data_Pelanggan'!$O$5:$O$499,0)),2,20),"Chat WA")),"")</f>
        <v>Chat WA</v>
      </c>
      <c r="K55" s="107" t="str">
        <f t="array" ref="K55">IFERROR(IF(INDEX('2_Data_Pelanggan'!$F$5:$F$499,MATCH($B55,'2_Data_Pelanggan'!$O$5:$O$499,0))="","",HYPERLINK("https://wa.me/62"&amp;MID(INDEX('2_Data_Pelanggan'!$F$5:$F$499,MATCH($B55,'2_Data_Pelanggan'!$O$5:$O$499,0)),2,LEN(INDEX('2_Data_Pelanggan'!$F$5:$F$499,MATCH($B55,'2_Data_Pelanggan'!$O$5:$O$499,0)))-1)&amp;"?text="&amp;SUBSTITUTE(SUBSTITUTE("Selamat "&amp;IF(HOUR(NOW())&lt;11,"Pagi",IF(HOUR(NOW())&lt;15,"Siang",IF(HOUR(NOW())&lt;18,"Sore","Malam")))&amp;" Bapak/Ibu "&amp;E55&amp;","&amp;CHAR(10)&amp;CHAR(10)&amp;"Mohon maaf mengganggu waktunya. Kami dari Tim Teknis ARMEDIA Net mendeteksi jaringan internet di rumah Bapak/Ibu sedang OFFLINE."&amp;CHAR(10)&amp;CHAR(10)&amp;"ID Pelanggan: "&amp;D55&amp;CHAR(10)&amp;CHAR(10)&amp;"Mohon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</row>
    <row r="56" ht="15.0" customHeight="1">
      <c r="A56" s="285">
        <v>36.0</v>
      </c>
      <c r="B56" s="286" t="s">
        <v>312</v>
      </c>
      <c r="C56" s="286" t="s">
        <v>1865</v>
      </c>
      <c r="D56" s="287" t="str">
        <f t="array" ref="D56">IFERROR(INDEX('2_Data_Pelanggan'!$B$5:$B$499,MATCH($B56,'2_Data_Pelanggan'!$O$5:$O$499,0)),"")</f>
        <v>ARM-0016</v>
      </c>
      <c r="E56" s="288" t="str">
        <f t="array" ref="E56">IFERROR(INDEX('2_Data_Pelanggan'!$D$5:$D$499,MATCH($B56,'2_Data_Pelanggan'!$O$5:$O$499,0)),"")</f>
        <v>SUSONO</v>
      </c>
      <c r="F56" s="226" t="str">
        <f t="array" ref="F56">IFERROR(INDEX('2_Data_Pelanggan'!$H$5:$H$499,MATCH($B56,'2_Data_Pelanggan'!$O$5:$O$499,0)),"")</f>
        <v>CIHONJE</v>
      </c>
      <c r="G56" s="216" t="str">
        <f t="array" ref="G56">IFERROR(INDEX('2_Data_Pelanggan'!$I$5:$I$499,MATCH($B56,'2_Data_Pelanggan'!$O$5:$O$499,0))&amp;"/"&amp;INDEX('2_Data_Pelanggan'!$J$5:$J$499,MATCH($B56,'2_Data_Pelanggan'!$O$5:$O$499,0)),"")</f>
        <v>3/2</v>
      </c>
      <c r="H56" s="287">
        <f t="array" ref="H56">IFERROR(INDEX('2_Data_Pelanggan'!$M$5:$M$499,MATCH($B56,'2_Data_Pelanggan'!$O$5:$O$499,0)),"")</f>
        <v>20</v>
      </c>
      <c r="I56" s="287" t="str">
        <f t="array" ref="I56">IFERROR(INDEX('2_Data_Pelanggan'!$W$5:$W$499,MATCH($B56,'2_Data_Pelanggan'!$O$5:$O$499,0)),"")</f>
        <v>Aktif</v>
      </c>
      <c r="J56" s="107" t="str">
        <f t="array" ref="J56">IFERROR(IF(INDEX('2_Data_Pelanggan'!$F$5:$F$499,MATCH($B56,'2_Data_Pelanggan'!$O$5:$O$499,0))="","",HYPERLINK("https://wa.me/62"&amp;MID(INDEX('2_Data_Pelanggan'!$F$5:$F$499,MATCH($B56,'2_Data_Pelanggan'!$O$5:$O$499,0)),2,20),"Chat WA")),"")</f>
        <v>Chat WA</v>
      </c>
      <c r="K56" s="107" t="str">
        <f t="array" ref="K56">IFERROR(IF(INDEX('2_Data_Pelanggan'!$F$5:$F$499,MATCH($B56,'2_Data_Pelanggan'!$O$5:$O$499,0))="","",HYPERLINK("https://wa.me/62"&amp;MID(INDEX('2_Data_Pelanggan'!$F$5:$F$499,MATCH($B56,'2_Data_Pelanggan'!$O$5:$O$499,0)),2,LEN(INDEX('2_Data_Pelanggan'!$F$5:$F$499,MATCH($B56,'2_Data_Pelanggan'!$O$5:$O$499,0)))-1)&amp;"?text="&amp;SUBSTITUTE(SUBSTITUTE("Selamat "&amp;IF(HOUR(NOW())&lt;11,"Pagi",IF(HOUR(NOW())&lt;15,"Siang",IF(HOUR(NOW())&lt;18,"Sore","Malam")))&amp;" Bapak/Ibu "&amp;E56&amp;","&amp;CHAR(10)&amp;CHAR(10)&amp;"Mohon maaf mengganggu waktunya. Kami dari Tim Teknis ARMEDIA Net mendeteksi jaringan internet di rumah Bapak/Ibu sedang OFFLINE."&amp;CHAR(10)&amp;CHAR(10)&amp;"ID Pelanggan: "&amp;D56&amp;CHAR(10)&amp;CHAR(10)&amp;"Mohon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</row>
    <row r="57" ht="15.0" customHeight="1">
      <c r="A57" s="285">
        <v>37.0</v>
      </c>
      <c r="B57" s="286" t="s">
        <v>267</v>
      </c>
      <c r="C57" s="286" t="s">
        <v>1865</v>
      </c>
      <c r="D57" s="287" t="str">
        <f t="array" ref="D57">IFERROR(INDEX('2_Data_Pelanggan'!$B$5:$B$499,MATCH($B57,'2_Data_Pelanggan'!$O$5:$O$499,0)),"")</f>
        <v>ARM-0010</v>
      </c>
      <c r="E57" s="288" t="str">
        <f t="array" ref="E57">IFERROR(INDEX('2_Data_Pelanggan'!$D$5:$D$499,MATCH($B57,'2_Data_Pelanggan'!$O$5:$O$499,0)),"")</f>
        <v>SUDIRMAN</v>
      </c>
      <c r="F57" s="226" t="str">
        <f t="array" ref="F57">IFERROR(INDEX('2_Data_Pelanggan'!$H$5:$H$499,MATCH($B57,'2_Data_Pelanggan'!$O$5:$O$499,0)),"")</f>
        <v>CIHONJE </v>
      </c>
      <c r="G57" s="216" t="str">
        <f t="array" ref="G57">IFERROR(INDEX('2_Data_Pelanggan'!$I$5:$I$499,MATCH($B57,'2_Data_Pelanggan'!$O$5:$O$499,0))&amp;"/"&amp;INDEX('2_Data_Pelanggan'!$J$5:$J$499,MATCH($B57,'2_Data_Pelanggan'!$O$5:$O$499,0)),"")</f>
        <v>3/2</v>
      </c>
      <c r="H57" s="287">
        <f t="array" ref="H57">IFERROR(INDEX('2_Data_Pelanggan'!$M$5:$M$499,MATCH($B57,'2_Data_Pelanggan'!$O$5:$O$499,0)),"")</f>
        <v>20</v>
      </c>
      <c r="I57" s="287" t="str">
        <f t="array" ref="I57">IFERROR(INDEX('2_Data_Pelanggan'!$W$5:$W$499,MATCH($B57,'2_Data_Pelanggan'!$O$5:$O$499,0)),"")</f>
        <v>Aktif</v>
      </c>
      <c r="J57" s="107" t="str">
        <f t="array" ref="J57">IFERROR(IF(INDEX('2_Data_Pelanggan'!$F$5:$F$499,MATCH($B57,'2_Data_Pelanggan'!$O$5:$O$499,0))="","",HYPERLINK("https://wa.me/62"&amp;MID(INDEX('2_Data_Pelanggan'!$F$5:$F$499,MATCH($B57,'2_Data_Pelanggan'!$O$5:$O$499,0)),2,20),"Chat WA")),"")</f>
        <v>Chat WA</v>
      </c>
      <c r="K57" s="107" t="str">
        <f t="array" ref="K57">IFERROR(IF(INDEX('2_Data_Pelanggan'!$F$5:$F$499,MATCH($B57,'2_Data_Pelanggan'!$O$5:$O$499,0))="","",HYPERLINK("https://wa.me/62"&amp;MID(INDEX('2_Data_Pelanggan'!$F$5:$F$499,MATCH($B57,'2_Data_Pelanggan'!$O$5:$O$499,0)),2,LEN(INDEX('2_Data_Pelanggan'!$F$5:$F$499,MATCH($B57,'2_Data_Pelanggan'!$O$5:$O$499,0)))-1)&amp;"?text="&amp;SUBSTITUTE(SUBSTITUTE("Selamat "&amp;IF(HOUR(NOW())&lt;11,"Pagi",IF(HOUR(NOW())&lt;15,"Siang",IF(HOUR(NOW())&lt;18,"Sore","Malam")))&amp;" Bapak/Ibu "&amp;E57&amp;","&amp;CHAR(10)&amp;CHAR(10)&amp;"Mohon maaf mengganggu waktunya. Kami dari Tim Teknis ARMEDIA Net mendeteksi jaringan internet di rumah Bapak/Ibu sedang OFFLINE."&amp;CHAR(10)&amp;CHAR(10)&amp;"ID Pelanggan: "&amp;D57&amp;CHAR(10)&amp;CHAR(10)&amp;"Mohon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</row>
    <row r="58" ht="15.0" customHeight="1">
      <c r="A58" s="285">
        <v>38.0</v>
      </c>
      <c r="B58" s="286" t="s">
        <v>222</v>
      </c>
      <c r="C58" s="286" t="s">
        <v>1865</v>
      </c>
      <c r="D58" s="287" t="str">
        <f t="array" ref="D58">IFERROR(INDEX('2_Data_Pelanggan'!$B$5:$B$499,MATCH($B58,'2_Data_Pelanggan'!$O$5:$O$499,0)),"")</f>
        <v>ARM-0004</v>
      </c>
      <c r="E58" s="288" t="str">
        <f t="array" ref="E58">IFERROR(INDEX('2_Data_Pelanggan'!$D$5:$D$499,MATCH($B58,'2_Data_Pelanggan'!$O$5:$O$499,0)),"")</f>
        <v>TAMIRAH</v>
      </c>
      <c r="F58" s="226" t="str">
        <f t="array" ref="F58">IFERROR(INDEX('2_Data_Pelanggan'!$H$5:$H$499,MATCH($B58,'2_Data_Pelanggan'!$O$5:$O$499,0)),"")</f>
        <v>CIHONJE</v>
      </c>
      <c r="G58" s="216" t="str">
        <f t="array" ref="G58">IFERROR(INDEX('2_Data_Pelanggan'!$I$5:$I$499,MATCH($B58,'2_Data_Pelanggan'!$O$5:$O$499,0))&amp;"/"&amp;INDEX('2_Data_Pelanggan'!$J$5:$J$499,MATCH($B58,'2_Data_Pelanggan'!$O$5:$O$499,0)),"")</f>
        <v>4/3</v>
      </c>
      <c r="H58" s="287">
        <f t="array" ref="H58">IFERROR(INDEX('2_Data_Pelanggan'!$M$5:$M$499,MATCH($B58,'2_Data_Pelanggan'!$O$5:$O$499,0)),"")</f>
        <v>20</v>
      </c>
      <c r="I58" s="287" t="str">
        <f t="array" ref="I58">IFERROR(INDEX('2_Data_Pelanggan'!$W$5:$W$499,MATCH($B58,'2_Data_Pelanggan'!$O$5:$O$499,0)),"")</f>
        <v>Aktif</v>
      </c>
      <c r="J58" s="107" t="str">
        <f t="array" ref="J58">IFERROR(IF(INDEX('2_Data_Pelanggan'!$F$5:$F$499,MATCH($B58,'2_Data_Pelanggan'!$O$5:$O$499,0))="","",HYPERLINK("https://wa.me/62"&amp;MID(INDEX('2_Data_Pelanggan'!$F$5:$F$499,MATCH($B58,'2_Data_Pelanggan'!$O$5:$O$499,0)),2,20),"Chat WA")),"")</f>
        <v>Chat WA</v>
      </c>
      <c r="K58" s="107" t="str">
        <f t="array" ref="K58">IFERROR(IF(INDEX('2_Data_Pelanggan'!$F$5:$F$499,MATCH($B58,'2_Data_Pelanggan'!$O$5:$O$499,0))="","",HYPERLINK("https://wa.me/62"&amp;MID(INDEX('2_Data_Pelanggan'!$F$5:$F$499,MATCH($B58,'2_Data_Pelanggan'!$O$5:$O$499,0)),2,LEN(INDEX('2_Data_Pelanggan'!$F$5:$F$499,MATCH($B58,'2_Data_Pelanggan'!$O$5:$O$499,0)))-1)&amp;"?text="&amp;SUBSTITUTE(SUBSTITUTE("Selamat "&amp;IF(HOUR(NOW())&lt;11,"Pagi",IF(HOUR(NOW())&lt;15,"Siang",IF(HOUR(NOW())&lt;18,"Sore","Malam")))&amp;" Bapak/Ibu "&amp;E58&amp;","&amp;CHAR(10)&amp;CHAR(10)&amp;"Mohon maaf mengganggu waktunya. Kami dari Tim Teknis ARMEDIA Net mendeteksi jaringan internet di rumah Bapak/Ibu sedang OFFLINE."&amp;CHAR(10)&amp;CHAR(10)&amp;"ID Pelanggan: "&amp;D58&amp;CHAR(10)&amp;CHAR(10)&amp;"Mohon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</row>
    <row r="59" ht="15.0" customHeight="1">
      <c r="A59" s="285">
        <v>39.0</v>
      </c>
      <c r="B59" s="286" t="s">
        <v>289</v>
      </c>
      <c r="C59" s="286" t="s">
        <v>1865</v>
      </c>
      <c r="D59" s="287" t="str">
        <f t="array" ref="D59">IFERROR(INDEX('2_Data_Pelanggan'!$B$5:$B$499,MATCH($B59,'2_Data_Pelanggan'!$O$5:$O$499,0)),"")</f>
        <v>ARM-0013</v>
      </c>
      <c r="E59" s="288" t="str">
        <f t="array" ref="E59">IFERROR(INDEX('2_Data_Pelanggan'!$D$5:$D$499,MATCH($B59,'2_Data_Pelanggan'!$O$5:$O$499,0)),"")</f>
        <v>NURAISYIAH HARAHAP</v>
      </c>
      <c r="F59" s="226" t="str">
        <f t="array" ref="F59">IFERROR(INDEX('2_Data_Pelanggan'!$H$5:$H$499,MATCH($B59,'2_Data_Pelanggan'!$O$5:$O$499,0)),"")</f>
        <v>CIHONJE </v>
      </c>
      <c r="G59" s="216" t="str">
        <f t="array" ref="G59">IFERROR(INDEX('2_Data_Pelanggan'!$I$5:$I$499,MATCH($B59,'2_Data_Pelanggan'!$O$5:$O$499,0))&amp;"/"&amp;INDEX('2_Data_Pelanggan'!$J$5:$J$499,MATCH($B59,'2_Data_Pelanggan'!$O$5:$O$499,0)),"")</f>
        <v>4/3</v>
      </c>
      <c r="H59" s="287">
        <f t="array" ref="H59">IFERROR(INDEX('2_Data_Pelanggan'!$M$5:$M$499,MATCH($B59,'2_Data_Pelanggan'!$O$5:$O$499,0)),"")</f>
        <v>20</v>
      </c>
      <c r="I59" s="287" t="str">
        <f t="array" ref="I59">IFERROR(INDEX('2_Data_Pelanggan'!$W$5:$W$499,MATCH($B59,'2_Data_Pelanggan'!$O$5:$O$499,0)),"")</f>
        <v>Aktif</v>
      </c>
      <c r="J59" s="107" t="str">
        <f t="array" ref="J59">IFERROR(IF(INDEX('2_Data_Pelanggan'!$F$5:$F$499,MATCH($B59,'2_Data_Pelanggan'!$O$5:$O$499,0))="","",HYPERLINK("https://wa.me/62"&amp;MID(INDEX('2_Data_Pelanggan'!$F$5:$F$499,MATCH($B59,'2_Data_Pelanggan'!$O$5:$O$499,0)),2,20),"Chat WA")),"")</f>
        <v>Chat WA</v>
      </c>
      <c r="K59" s="107" t="str">
        <f t="array" ref="K59">IFERROR(IF(INDEX('2_Data_Pelanggan'!$F$5:$F$499,MATCH($B59,'2_Data_Pelanggan'!$O$5:$O$499,0))="","",HYPERLINK("https://wa.me/62"&amp;MID(INDEX('2_Data_Pelanggan'!$F$5:$F$499,MATCH($B59,'2_Data_Pelanggan'!$O$5:$O$499,0)),2,LEN(INDEX('2_Data_Pelanggan'!$F$5:$F$499,MATCH($B59,'2_Data_Pelanggan'!$O$5:$O$499,0)))-1)&amp;"?text="&amp;SUBSTITUTE(SUBSTITUTE("Selamat "&amp;IF(HOUR(NOW())&lt;11,"Pagi",IF(HOUR(NOW())&lt;15,"Siang",IF(HOUR(NOW())&lt;18,"Sore","Malam")))&amp;" Bapak/Ibu "&amp;E59&amp;","&amp;CHAR(10)&amp;CHAR(10)&amp;"Mohon maaf mengganggu waktunya. Kami dari Tim Teknis ARMEDIA Net mendeteksi jaringan internet di rumah Bapak/Ibu sedang OFFLINE."&amp;CHAR(10)&amp;CHAR(10)&amp;"ID Pelanggan: "&amp;D59&amp;CHAR(10)&amp;CHAR(10)&amp;"Mohon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</row>
    <row r="60" ht="15.0" customHeight="1">
      <c r="A60" s="285">
        <v>40.0</v>
      </c>
      <c r="B60" s="286" t="s">
        <v>281</v>
      </c>
      <c r="C60" s="286" t="s">
        <v>1865</v>
      </c>
      <c r="D60" s="287" t="str">
        <f t="array" ref="D60">IFERROR(INDEX('2_Data_Pelanggan'!$B$5:$B$499,MATCH($B60,'2_Data_Pelanggan'!$O$5:$O$499,0)),"")</f>
        <v>ARM-0012</v>
      </c>
      <c r="E60" s="288" t="str">
        <f t="array" ref="E60">IFERROR(INDEX('2_Data_Pelanggan'!$D$5:$D$499,MATCH($B60,'2_Data_Pelanggan'!$O$5:$O$499,0)),"")</f>
        <v>MAMO</v>
      </c>
      <c r="F60" s="226" t="str">
        <f t="array" ref="F60">IFERROR(INDEX('2_Data_Pelanggan'!$H$5:$H$499,MATCH($B60,'2_Data_Pelanggan'!$O$5:$O$499,0)),"")</f>
        <v>CIHONJE</v>
      </c>
      <c r="G60" s="216" t="str">
        <f t="array" ref="G60">IFERROR(INDEX('2_Data_Pelanggan'!$I$5:$I$499,MATCH($B60,'2_Data_Pelanggan'!$O$5:$O$499,0))&amp;"/"&amp;INDEX('2_Data_Pelanggan'!$J$5:$J$499,MATCH($B60,'2_Data_Pelanggan'!$O$5:$O$499,0)),"")</f>
        <v>4/3</v>
      </c>
      <c r="H60" s="287">
        <f t="array" ref="H60">IFERROR(INDEX('2_Data_Pelanggan'!$M$5:$M$499,MATCH($B60,'2_Data_Pelanggan'!$O$5:$O$499,0)),"")</f>
        <v>20</v>
      </c>
      <c r="I60" s="287" t="str">
        <f t="array" ref="I60">IFERROR(INDEX('2_Data_Pelanggan'!$W$5:$W$499,MATCH($B60,'2_Data_Pelanggan'!$O$5:$O$499,0)),"")</f>
        <v>Aktif</v>
      </c>
      <c r="J60" s="107" t="str">
        <f t="array" ref="J60">IFERROR(IF(INDEX('2_Data_Pelanggan'!$F$5:$F$499,MATCH($B60,'2_Data_Pelanggan'!$O$5:$O$499,0))="","",HYPERLINK("https://wa.me/62"&amp;MID(INDEX('2_Data_Pelanggan'!$F$5:$F$499,MATCH($B60,'2_Data_Pelanggan'!$O$5:$O$499,0)),2,20),"Chat WA")),"")</f>
        <v>Chat WA</v>
      </c>
      <c r="K60" s="107" t="str">
        <f t="array" ref="K60">IFERROR(IF(INDEX('2_Data_Pelanggan'!$F$5:$F$499,MATCH($B60,'2_Data_Pelanggan'!$O$5:$O$499,0))="","",HYPERLINK("https://wa.me/62"&amp;MID(INDEX('2_Data_Pelanggan'!$F$5:$F$499,MATCH($B60,'2_Data_Pelanggan'!$O$5:$O$499,0)),2,LEN(INDEX('2_Data_Pelanggan'!$F$5:$F$499,MATCH($B60,'2_Data_Pelanggan'!$O$5:$O$499,0)))-1)&amp;"?text="&amp;SUBSTITUTE(SUBSTITUTE("Selamat "&amp;IF(HOUR(NOW())&lt;11,"Pagi",IF(HOUR(NOW())&lt;15,"Siang",IF(HOUR(NOW())&lt;18,"Sore","Malam")))&amp;" Bapak/Ibu "&amp;E60&amp;","&amp;CHAR(10)&amp;CHAR(10)&amp;"Mohon maaf mengganggu waktunya. Kami dari Tim Teknis ARMEDIA Net mendeteksi jaringan internet di rumah Bapak/Ibu sedang OFFLINE."&amp;CHAR(10)&amp;CHAR(10)&amp;"ID Pelanggan: "&amp;D60&amp;CHAR(10)&amp;CHAR(10)&amp;"Mohon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</row>
    <row r="61" ht="15.0" customHeight="1">
      <c r="A61" s="285">
        <v>41.0</v>
      </c>
      <c r="B61" s="286" t="s">
        <v>297</v>
      </c>
      <c r="C61" s="286" t="s">
        <v>1865</v>
      </c>
      <c r="D61" s="287" t="str">
        <f t="array" ref="D61">IFERROR(INDEX('2_Data_Pelanggan'!$B$5:$B$499,MATCH($B61,'2_Data_Pelanggan'!$O$5:$O$499,0)),"")</f>
        <v>ARM-0014</v>
      </c>
      <c r="E61" s="288" t="str">
        <f t="array" ref="E61">IFERROR(INDEX('2_Data_Pelanggan'!$D$5:$D$499,MATCH($B61,'2_Data_Pelanggan'!$O$5:$O$499,0)),"")</f>
        <v>DIARJO</v>
      </c>
      <c r="F61" s="226" t="str">
        <f t="array" ref="F61">IFERROR(INDEX('2_Data_Pelanggan'!$H$5:$H$499,MATCH($B61,'2_Data_Pelanggan'!$O$5:$O$499,0)),"")</f>
        <v>CIHONJE</v>
      </c>
      <c r="G61" s="216" t="str">
        <f t="array" ref="G61">IFERROR(INDEX('2_Data_Pelanggan'!$I$5:$I$499,MATCH($B61,'2_Data_Pelanggan'!$O$5:$O$499,0))&amp;"/"&amp;INDEX('2_Data_Pelanggan'!$J$5:$J$499,MATCH($B61,'2_Data_Pelanggan'!$O$5:$O$499,0)),"")</f>
        <v>4/3</v>
      </c>
      <c r="H61" s="287">
        <f t="array" ref="H61">IFERROR(INDEX('2_Data_Pelanggan'!$M$5:$M$499,MATCH($B61,'2_Data_Pelanggan'!$O$5:$O$499,0)),"")</f>
        <v>20</v>
      </c>
      <c r="I61" s="287" t="str">
        <f t="array" ref="I61">IFERROR(INDEX('2_Data_Pelanggan'!$W$5:$W$499,MATCH($B61,'2_Data_Pelanggan'!$O$5:$O$499,0)),"")</f>
        <v>Aktif</v>
      </c>
      <c r="J61" s="107" t="str">
        <f t="array" ref="J61">IFERROR(IF(INDEX('2_Data_Pelanggan'!$F$5:$F$499,MATCH($B61,'2_Data_Pelanggan'!$O$5:$O$499,0))="","",HYPERLINK("https://wa.me/62"&amp;MID(INDEX('2_Data_Pelanggan'!$F$5:$F$499,MATCH($B61,'2_Data_Pelanggan'!$O$5:$O$499,0)),2,20),"Chat WA")),"")</f>
        <v>Chat WA</v>
      </c>
      <c r="K61" s="107" t="str">
        <f t="array" ref="K61">IFERROR(IF(INDEX('2_Data_Pelanggan'!$F$5:$F$499,MATCH($B61,'2_Data_Pelanggan'!$O$5:$O$499,0))="","",HYPERLINK("https://wa.me/62"&amp;MID(INDEX('2_Data_Pelanggan'!$F$5:$F$499,MATCH($B61,'2_Data_Pelanggan'!$O$5:$O$499,0)),2,LEN(INDEX('2_Data_Pelanggan'!$F$5:$F$499,MATCH($B61,'2_Data_Pelanggan'!$O$5:$O$499,0)))-1)&amp;"?text="&amp;SUBSTITUTE(SUBSTITUTE("Selamat "&amp;IF(HOUR(NOW())&lt;11,"Pagi",IF(HOUR(NOW())&lt;15,"Siang",IF(HOUR(NOW())&lt;18,"Sore","Malam")))&amp;" Bapak/Ibu "&amp;E61&amp;","&amp;CHAR(10)&amp;CHAR(10)&amp;"Mohon maaf mengganggu waktunya. Kami dari Tim Teknis ARMEDIA Net mendeteksi jaringan internet di rumah Bapak/Ibu sedang OFFLINE."&amp;CHAR(10)&amp;CHAR(10)&amp;"ID Pelanggan: "&amp;D61&amp;CHAR(10)&amp;CHAR(10)&amp;"Mohon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</row>
    <row r="62" ht="15.0" customHeight="1">
      <c r="A62" s="285">
        <v>42.0</v>
      </c>
      <c r="B62" s="286" t="s">
        <v>337</v>
      </c>
      <c r="C62" s="286" t="s">
        <v>1865</v>
      </c>
      <c r="D62" s="287" t="str">
        <f t="array" ref="D62">IFERROR(INDEX('2_Data_Pelanggan'!$B$5:$B$499,MATCH($B62,'2_Data_Pelanggan'!$O$5:$O$499,0)),"")</f>
        <v>ARM-0019</v>
      </c>
      <c r="E62" s="288" t="str">
        <f t="array" ref="E62">IFERROR(INDEX('2_Data_Pelanggan'!$D$5:$D$499,MATCH($B62,'2_Data_Pelanggan'!$O$5:$O$499,0)),"")</f>
        <v>HERIYADI</v>
      </c>
      <c r="F62" s="226" t="str">
        <f t="array" ref="F62">IFERROR(INDEX('2_Data_Pelanggan'!$H$5:$H$499,MATCH($B62,'2_Data_Pelanggan'!$O$5:$O$499,0)),"")</f>
        <v>CIHONJE</v>
      </c>
      <c r="G62" s="216" t="str">
        <f t="array" ref="G62">IFERROR(INDEX('2_Data_Pelanggan'!$I$5:$I$499,MATCH($B62,'2_Data_Pelanggan'!$O$5:$O$499,0))&amp;"/"&amp;INDEX('2_Data_Pelanggan'!$J$5:$J$499,MATCH($B62,'2_Data_Pelanggan'!$O$5:$O$499,0)),"")</f>
        <v>8/2</v>
      </c>
      <c r="H62" s="287">
        <f t="array" ref="H62">IFERROR(INDEX('2_Data_Pelanggan'!$M$5:$M$499,MATCH($B62,'2_Data_Pelanggan'!$O$5:$O$499,0)),"")</f>
        <v>20</v>
      </c>
      <c r="I62" s="287" t="str">
        <f t="array" ref="I62">IFERROR(INDEX('2_Data_Pelanggan'!$W$5:$W$499,MATCH($B62,'2_Data_Pelanggan'!$O$5:$O$499,0)),"")</f>
        <v>Aktif</v>
      </c>
      <c r="J62" s="107" t="str">
        <f t="array" ref="J62">IFERROR(IF(INDEX('2_Data_Pelanggan'!$F$5:$F$499,MATCH($B62,'2_Data_Pelanggan'!$O$5:$O$499,0))="","",HYPERLINK("https://wa.me/62"&amp;MID(INDEX('2_Data_Pelanggan'!$F$5:$F$499,MATCH($B62,'2_Data_Pelanggan'!$O$5:$O$499,0)),2,20),"Chat WA")),"")</f>
        <v>Chat WA</v>
      </c>
      <c r="K62" s="107" t="str">
        <f t="array" ref="K62">IFERROR(IF(INDEX('2_Data_Pelanggan'!$F$5:$F$499,MATCH($B62,'2_Data_Pelanggan'!$O$5:$O$499,0))="","",HYPERLINK("https://wa.me/62"&amp;MID(INDEX('2_Data_Pelanggan'!$F$5:$F$499,MATCH($B62,'2_Data_Pelanggan'!$O$5:$O$499,0)),2,LEN(INDEX('2_Data_Pelanggan'!$F$5:$F$499,MATCH($B62,'2_Data_Pelanggan'!$O$5:$O$499,0)))-1)&amp;"?text="&amp;SUBSTITUTE(SUBSTITUTE("Selamat "&amp;IF(HOUR(NOW())&lt;11,"Pagi",IF(HOUR(NOW())&lt;15,"Siang",IF(HOUR(NOW())&lt;18,"Sore","Malam")))&amp;" Bapak/Ibu "&amp;E62&amp;","&amp;CHAR(10)&amp;CHAR(10)&amp;"Mohon maaf mengganggu waktunya. Kami dari Tim Teknis ARMEDIA Net mendeteksi jaringan internet di rumah Bapak/Ibu sedang OFFLINE."&amp;CHAR(10)&amp;CHAR(10)&amp;"ID Pelanggan: "&amp;D62&amp;CHAR(10)&amp;CHAR(10)&amp;"Mohon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</row>
    <row r="63" ht="15.0" customHeight="1">
      <c r="A63" s="285">
        <v>43.0</v>
      </c>
      <c r="B63" s="286" t="s">
        <v>368</v>
      </c>
      <c r="C63" s="286" t="s">
        <v>1865</v>
      </c>
      <c r="D63" s="287" t="str">
        <f t="array" ref="D63">IFERROR(INDEX('2_Data_Pelanggan'!$B$5:$B$499,MATCH($B63,'2_Data_Pelanggan'!$O$5:$O$499,0)),"")</f>
        <v>ARM-0023</v>
      </c>
      <c r="E63" s="288" t="str">
        <f t="array" ref="E63">IFERROR(INDEX('2_Data_Pelanggan'!$D$5:$D$499,MATCH($B63,'2_Data_Pelanggan'!$O$5:$O$499,0)),"")</f>
        <v>DESTI DWI HARIYANTO</v>
      </c>
      <c r="F63" s="226" t="str">
        <f t="array" ref="F63">IFERROR(INDEX('2_Data_Pelanggan'!$H$5:$H$499,MATCH($B63,'2_Data_Pelanggan'!$O$5:$O$499,0)),"")</f>
        <v/>
      </c>
      <c r="G63" s="216" t="str">
        <f t="array" ref="G63">IFERROR(INDEX('2_Data_Pelanggan'!$I$5:$I$499,MATCH($B63,'2_Data_Pelanggan'!$O$5:$O$499,0))&amp;"/"&amp;INDEX('2_Data_Pelanggan'!$J$5:$J$499,MATCH($B63,'2_Data_Pelanggan'!$O$5:$O$499,0)),"")</f>
        <v>/</v>
      </c>
      <c r="H63" s="287">
        <f t="array" ref="H63">IFERROR(INDEX('2_Data_Pelanggan'!$M$5:$M$499,MATCH($B63,'2_Data_Pelanggan'!$O$5:$O$499,0)),"")</f>
        <v>20</v>
      </c>
      <c r="I63" s="287" t="str">
        <f t="array" ref="I63">IFERROR(INDEX('2_Data_Pelanggan'!$W$5:$W$499,MATCH($B63,'2_Data_Pelanggan'!$O$5:$O$499,0)),"")</f>
        <v>Aktif</v>
      </c>
      <c r="J63" s="107" t="str">
        <f t="array" ref="J63">IFERROR(IF(INDEX('2_Data_Pelanggan'!$F$5:$F$499,MATCH($B63,'2_Data_Pelanggan'!$O$5:$O$499,0))="","",HYPERLINK("https://wa.me/62"&amp;MID(INDEX('2_Data_Pelanggan'!$F$5:$F$499,MATCH($B63,'2_Data_Pelanggan'!$O$5:$O$499,0)),2,20),"Chat WA")),"")</f>
        <v>Chat WA</v>
      </c>
      <c r="K63" s="107" t="str">
        <f t="array" ref="K63">IFERROR(IF(INDEX('2_Data_Pelanggan'!$F$5:$F$499,MATCH($B63,'2_Data_Pelanggan'!$O$5:$O$499,0))="","",HYPERLINK("https://wa.me/62"&amp;MID(INDEX('2_Data_Pelanggan'!$F$5:$F$499,MATCH($B63,'2_Data_Pelanggan'!$O$5:$O$499,0)),2,LEN(INDEX('2_Data_Pelanggan'!$F$5:$F$499,MATCH($B63,'2_Data_Pelanggan'!$O$5:$O$499,0)))-1)&amp;"?text="&amp;SUBSTITUTE(SUBSTITUTE("Selamat "&amp;IF(HOUR(NOW())&lt;11,"Pagi",IF(HOUR(NOW())&lt;15,"Siang",IF(HOUR(NOW())&lt;18,"Sore","Malam")))&amp;" Bapak/Ibu "&amp;E63&amp;","&amp;CHAR(10)&amp;CHAR(10)&amp;"Mohon maaf mengganggu waktunya. Kami dari Tim Teknis ARMEDIA Net mendeteksi jaringan internet di rumah Bapak/Ibu sedang OFFLINE."&amp;CHAR(10)&amp;CHAR(10)&amp;"ID Pelanggan: "&amp;D63&amp;CHAR(10)&amp;CHAR(10)&amp;"Mohon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</row>
    <row r="64" ht="15.0" customHeight="1">
      <c r="A64" s="285">
        <v>44.0</v>
      </c>
      <c r="B64" s="286" t="s">
        <v>949</v>
      </c>
      <c r="C64" s="286" t="s">
        <v>1865</v>
      </c>
      <c r="D64" s="287" t="str">
        <f t="array" ref="D64">IFERROR(INDEX('2_Data_Pelanggan'!$B$5:$B$499,MATCH($B64,'2_Data_Pelanggan'!$O$5:$O$499,0)),"")</f>
        <v>ARM-0097</v>
      </c>
      <c r="E64" s="288" t="str">
        <f t="array" ref="E64">IFERROR(INDEX('2_Data_Pelanggan'!$D$5:$D$499,MATCH($B64,'2_Data_Pelanggan'!$O$5:$O$499,0)),"")</f>
        <v>DITO SUDITO</v>
      </c>
      <c r="F64" s="226" t="str">
        <f t="array" ref="F64">IFERROR(INDEX('2_Data_Pelanggan'!$H$5:$H$499,MATCH($B64,'2_Data_Pelanggan'!$O$5:$O$499,0)),"")</f>
        <v>CIHONJE</v>
      </c>
      <c r="G64" s="216" t="str">
        <f t="array" ref="G64">IFERROR(INDEX('2_Data_Pelanggan'!$I$5:$I$499,MATCH($B64,'2_Data_Pelanggan'!$O$5:$O$499,0))&amp;"/"&amp;INDEX('2_Data_Pelanggan'!$J$5:$J$499,MATCH($B64,'2_Data_Pelanggan'!$O$5:$O$499,0)),"")</f>
        <v>5/2</v>
      </c>
      <c r="H64" s="287">
        <f t="array" ref="H64">IFERROR(INDEX('2_Data_Pelanggan'!$M$5:$M$499,MATCH($B64,'2_Data_Pelanggan'!$O$5:$O$499,0)),"")</f>
        <v>50</v>
      </c>
      <c r="I64" s="287" t="str">
        <f t="array" ref="I64">IFERROR(INDEX('2_Data_Pelanggan'!$W$5:$W$499,MATCH($B64,'2_Data_Pelanggan'!$O$5:$O$499,0)),"")</f>
        <v>Aktif</v>
      </c>
      <c r="J64" s="107" t="str">
        <f t="array" ref="J64">IFERROR(IF(INDEX('2_Data_Pelanggan'!$F$5:$F$499,MATCH($B64,'2_Data_Pelanggan'!$O$5:$O$499,0))="","",HYPERLINK("https://wa.me/62"&amp;MID(INDEX('2_Data_Pelanggan'!$F$5:$F$499,MATCH($B64,'2_Data_Pelanggan'!$O$5:$O$499,0)),2,20),"Chat WA")),"")</f>
        <v>Chat WA</v>
      </c>
      <c r="K64" s="107" t="str">
        <f t="array" ref="K64">IFERROR(IF(INDEX('2_Data_Pelanggan'!$F$5:$F$499,MATCH($B64,'2_Data_Pelanggan'!$O$5:$O$499,0))="","",HYPERLINK("https://wa.me/62"&amp;MID(INDEX('2_Data_Pelanggan'!$F$5:$F$499,MATCH($B64,'2_Data_Pelanggan'!$O$5:$O$499,0)),2,LEN(INDEX('2_Data_Pelanggan'!$F$5:$F$499,MATCH($B64,'2_Data_Pelanggan'!$O$5:$O$499,0)))-1)&amp;"?text="&amp;SUBSTITUTE(SUBSTITUTE("Selamat "&amp;IF(HOUR(NOW())&lt;11,"Pagi",IF(HOUR(NOW())&lt;15,"Siang",IF(HOUR(NOW())&lt;18,"Sore","Malam")))&amp;" Bapak/Ibu "&amp;E64&amp;","&amp;CHAR(10)&amp;CHAR(10)&amp;"Mohon maaf mengganggu waktunya. Kami dari Tim Teknis ARMEDIA Net mendeteksi jaringan internet di rumah Bapak/Ibu sedang OFFLINE."&amp;CHAR(10)&amp;CHAR(10)&amp;"ID Pelanggan: "&amp;D64&amp;CHAR(10)&amp;CHAR(10)&amp;"Mohon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</row>
    <row r="65" ht="15.0" customHeight="1">
      <c r="A65" s="285">
        <v>45.0</v>
      </c>
      <c r="B65" s="286" t="s">
        <v>361</v>
      </c>
      <c r="C65" s="286" t="s">
        <v>1865</v>
      </c>
      <c r="D65" s="287" t="str">
        <f t="array" ref="D65">IFERROR(INDEX('2_Data_Pelanggan'!$B$5:$B$499,MATCH($B65,'2_Data_Pelanggan'!$O$5:$O$499,0)),"")</f>
        <v>ARM-0022</v>
      </c>
      <c r="E65" s="288" t="str">
        <f t="array" ref="E65">IFERROR(INDEX('2_Data_Pelanggan'!$D$5:$D$499,MATCH($B65,'2_Data_Pelanggan'!$O$5:$O$499,0)),"")</f>
        <v>RAGIL NONO DARSONO</v>
      </c>
      <c r="F65" s="226" t="str">
        <f t="array" ref="F65">IFERROR(INDEX('2_Data_Pelanggan'!$H$5:$H$499,MATCH($B65,'2_Data_Pelanggan'!$O$5:$O$499,0)),"")</f>
        <v>GUMELAR</v>
      </c>
      <c r="G65" s="216" t="str">
        <f t="array" ref="G65">IFERROR(INDEX('2_Data_Pelanggan'!$I$5:$I$499,MATCH($B65,'2_Data_Pelanggan'!$O$5:$O$499,0))&amp;"/"&amp;INDEX('2_Data_Pelanggan'!$J$5:$J$499,MATCH($B65,'2_Data_Pelanggan'!$O$5:$O$499,0)),"")</f>
        <v>5/6</v>
      </c>
      <c r="H65" s="287">
        <f t="array" ref="H65">IFERROR(INDEX('2_Data_Pelanggan'!$M$5:$M$499,MATCH($B65,'2_Data_Pelanggan'!$O$5:$O$499,0)),"")</f>
        <v>20</v>
      </c>
      <c r="I65" s="287" t="str">
        <f t="array" ref="I65">IFERROR(INDEX('2_Data_Pelanggan'!$W$5:$W$499,MATCH($B65,'2_Data_Pelanggan'!$O$5:$O$499,0)),"")</f>
        <v>Aktif</v>
      </c>
      <c r="J65" s="107" t="str">
        <f t="array" ref="J65">IFERROR(IF(INDEX('2_Data_Pelanggan'!$F$5:$F$499,MATCH($B65,'2_Data_Pelanggan'!$O$5:$O$499,0))="","",HYPERLINK("https://wa.me/62"&amp;MID(INDEX('2_Data_Pelanggan'!$F$5:$F$499,MATCH($B65,'2_Data_Pelanggan'!$O$5:$O$499,0)),2,20),"Chat WA")),"")</f>
        <v>Chat WA</v>
      </c>
      <c r="K65" s="107" t="str">
        <f t="array" ref="K65">IFERROR(IF(INDEX('2_Data_Pelanggan'!$F$5:$F$499,MATCH($B65,'2_Data_Pelanggan'!$O$5:$O$499,0))="","",HYPERLINK("https://wa.me/62"&amp;MID(INDEX('2_Data_Pelanggan'!$F$5:$F$499,MATCH($B65,'2_Data_Pelanggan'!$O$5:$O$499,0)),2,LEN(INDEX('2_Data_Pelanggan'!$F$5:$F$499,MATCH($B65,'2_Data_Pelanggan'!$O$5:$O$499,0)))-1)&amp;"?text="&amp;SUBSTITUTE(SUBSTITUTE("Selamat "&amp;IF(HOUR(NOW())&lt;11,"Pagi",IF(HOUR(NOW())&lt;15,"Siang",IF(HOUR(NOW())&lt;18,"Sore","Malam")))&amp;" Bapak/Ibu "&amp;E65&amp;","&amp;CHAR(10)&amp;CHAR(10)&amp;"Mohon maaf mengganggu waktunya. Kami dari Tim Teknis ARMEDIA Net mendeteksi jaringan internet di rumah Bapak/Ibu sedang OFFLINE."&amp;CHAR(10)&amp;CHAR(10)&amp;"ID Pelanggan: "&amp;D65&amp;CHAR(10)&amp;CHAR(10)&amp;"Mohon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</row>
    <row r="66" ht="15.0" customHeight="1">
      <c r="A66" s="285">
        <v>46.0</v>
      </c>
      <c r="B66" s="286" t="s">
        <v>305</v>
      </c>
      <c r="C66" s="286" t="s">
        <v>1865</v>
      </c>
      <c r="D66" s="287" t="str">
        <f t="array" ref="D66">IFERROR(INDEX('2_Data_Pelanggan'!$B$5:$B$499,MATCH($B66,'2_Data_Pelanggan'!$O$5:$O$499,0)),"")</f>
        <v>ARM-0015</v>
      </c>
      <c r="E66" s="288" t="str">
        <f t="array" ref="E66">IFERROR(INDEX('2_Data_Pelanggan'!$D$5:$D$499,MATCH($B66,'2_Data_Pelanggan'!$O$5:$O$499,0)),"")</f>
        <v>DARIKEM</v>
      </c>
      <c r="F66" s="226" t="str">
        <f t="array" ref="F66">IFERROR(INDEX('2_Data_Pelanggan'!$H$5:$H$499,MATCH($B66,'2_Data_Pelanggan'!$O$5:$O$499,0)),"")</f>
        <v>CIHONJE</v>
      </c>
      <c r="G66" s="216" t="str">
        <f t="array" ref="G66">IFERROR(INDEX('2_Data_Pelanggan'!$I$5:$I$499,MATCH($B66,'2_Data_Pelanggan'!$O$5:$O$499,0))&amp;"/"&amp;INDEX('2_Data_Pelanggan'!$J$5:$J$499,MATCH($B66,'2_Data_Pelanggan'!$O$5:$O$499,0)),"")</f>
        <v>4/3</v>
      </c>
      <c r="H66" s="287">
        <f t="array" ref="H66">IFERROR(INDEX('2_Data_Pelanggan'!$M$5:$M$499,MATCH($B66,'2_Data_Pelanggan'!$O$5:$O$499,0)),"")</f>
        <v>20</v>
      </c>
      <c r="I66" s="287" t="str">
        <f t="array" ref="I66">IFERROR(INDEX('2_Data_Pelanggan'!$W$5:$W$499,MATCH($B66,'2_Data_Pelanggan'!$O$5:$O$499,0)),"")</f>
        <v>Aktif</v>
      </c>
      <c r="J66" s="107" t="str">
        <f t="array" ref="J66">IFERROR(IF(INDEX('2_Data_Pelanggan'!$F$5:$F$499,MATCH($B66,'2_Data_Pelanggan'!$O$5:$O$499,0))="","",HYPERLINK("https://wa.me/62"&amp;MID(INDEX('2_Data_Pelanggan'!$F$5:$F$499,MATCH($B66,'2_Data_Pelanggan'!$O$5:$O$499,0)),2,20),"Chat WA")),"")</f>
        <v>Chat WA</v>
      </c>
      <c r="K66" s="107" t="str">
        <f t="array" ref="K66">IFERROR(IF(INDEX('2_Data_Pelanggan'!$F$5:$F$499,MATCH($B66,'2_Data_Pelanggan'!$O$5:$O$499,0))="","",HYPERLINK("https://wa.me/62"&amp;MID(INDEX('2_Data_Pelanggan'!$F$5:$F$499,MATCH($B66,'2_Data_Pelanggan'!$O$5:$O$499,0)),2,LEN(INDEX('2_Data_Pelanggan'!$F$5:$F$499,MATCH($B66,'2_Data_Pelanggan'!$O$5:$O$499,0)))-1)&amp;"?text="&amp;SUBSTITUTE(SUBSTITUTE("Selamat "&amp;IF(HOUR(NOW())&lt;11,"Pagi",IF(HOUR(NOW())&lt;15,"Siang",IF(HOUR(NOW())&lt;18,"Sore","Malam")))&amp;" Bapak/Ibu "&amp;E66&amp;","&amp;CHAR(10)&amp;CHAR(10)&amp;"Mohon maaf mengganggu waktunya. Kami dari Tim Teknis ARMEDIA Net mendeteksi jaringan internet di rumah Bapak/Ibu sedang OFFLINE."&amp;CHAR(10)&amp;CHAR(10)&amp;"ID Pelanggan: "&amp;D66&amp;CHAR(10)&amp;CHAR(10)&amp;"Mohon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</row>
    <row r="67" ht="15.0" customHeight="1">
      <c r="A67" s="285">
        <v>47.0</v>
      </c>
      <c r="B67" s="286" t="s">
        <v>345</v>
      </c>
      <c r="C67" s="286" t="s">
        <v>1865</v>
      </c>
      <c r="D67" s="287" t="str">
        <f t="array" ref="D67">IFERROR(INDEX('2_Data_Pelanggan'!$B$5:$B$499,MATCH($B67,'2_Data_Pelanggan'!$O$5:$O$499,0)),"")</f>
        <v>ARM-0020</v>
      </c>
      <c r="E67" s="288" t="str">
        <f t="array" ref="E67">IFERROR(INDEX('2_Data_Pelanggan'!$D$5:$D$499,MATCH($B67,'2_Data_Pelanggan'!$O$5:$O$499,0)),"")</f>
        <v>DARYANTI</v>
      </c>
      <c r="F67" s="226" t="str">
        <f t="array" ref="F67">IFERROR(INDEX('2_Data_Pelanggan'!$H$5:$H$499,MATCH($B67,'2_Data_Pelanggan'!$O$5:$O$499,0)),"")</f>
        <v/>
      </c>
      <c r="G67" s="216" t="str">
        <f t="array" ref="G67">IFERROR(INDEX('2_Data_Pelanggan'!$I$5:$I$499,MATCH($B67,'2_Data_Pelanggan'!$O$5:$O$499,0))&amp;"/"&amp;INDEX('2_Data_Pelanggan'!$J$5:$J$499,MATCH($B67,'2_Data_Pelanggan'!$O$5:$O$499,0)),"")</f>
        <v>/</v>
      </c>
      <c r="H67" s="287">
        <f t="array" ref="H67">IFERROR(INDEX('2_Data_Pelanggan'!$M$5:$M$499,MATCH($B67,'2_Data_Pelanggan'!$O$5:$O$499,0)),"")</f>
        <v>20</v>
      </c>
      <c r="I67" s="287" t="str">
        <f t="array" ref="I67">IFERROR(INDEX('2_Data_Pelanggan'!$W$5:$W$499,MATCH($B67,'2_Data_Pelanggan'!$O$5:$O$499,0)),"")</f>
        <v>Aktif</v>
      </c>
      <c r="J67" s="107" t="str">
        <f t="array" ref="J67">IFERROR(IF(INDEX('2_Data_Pelanggan'!$F$5:$F$499,MATCH($B67,'2_Data_Pelanggan'!$O$5:$O$499,0))="","",HYPERLINK("https://wa.me/62"&amp;MID(INDEX('2_Data_Pelanggan'!$F$5:$F$499,MATCH($B67,'2_Data_Pelanggan'!$O$5:$O$499,0)),2,20),"Chat WA")),"")</f>
        <v>Chat WA</v>
      </c>
      <c r="K67" s="107" t="str">
        <f t="array" ref="K67">IFERROR(IF(INDEX('2_Data_Pelanggan'!$F$5:$F$499,MATCH($B67,'2_Data_Pelanggan'!$O$5:$O$499,0))="","",HYPERLINK("https://wa.me/62"&amp;MID(INDEX('2_Data_Pelanggan'!$F$5:$F$499,MATCH($B67,'2_Data_Pelanggan'!$O$5:$O$499,0)),2,LEN(INDEX('2_Data_Pelanggan'!$F$5:$F$499,MATCH($B67,'2_Data_Pelanggan'!$O$5:$O$499,0)))-1)&amp;"?text="&amp;SUBSTITUTE(SUBSTITUTE("Selamat "&amp;IF(HOUR(NOW())&lt;11,"Pagi",IF(HOUR(NOW())&lt;15,"Siang",IF(HOUR(NOW())&lt;18,"Sore","Malam")))&amp;" Bapak/Ibu "&amp;E67&amp;","&amp;CHAR(10)&amp;CHAR(10)&amp;"Mohon maaf mengganggu waktunya. Kami dari Tim Teknis ARMEDIA Net mendeteksi jaringan internet di rumah Bapak/Ibu sedang OFFLINE."&amp;CHAR(10)&amp;CHAR(10)&amp;"ID Pelanggan: "&amp;D67&amp;CHAR(10)&amp;CHAR(10)&amp;"Mohon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</row>
    <row r="68" ht="15.0" customHeight="1">
      <c r="A68" s="285">
        <v>48.0</v>
      </c>
      <c r="B68" s="286" t="s">
        <v>383</v>
      </c>
      <c r="C68" s="286" t="s">
        <v>1865</v>
      </c>
      <c r="D68" s="287" t="str">
        <f t="array" ref="D68">IFERROR(INDEX('2_Data_Pelanggan'!$B$5:$B$499,MATCH($B68,'2_Data_Pelanggan'!$O$5:$O$499,0)),"")</f>
        <v>ARM-0025</v>
      </c>
      <c r="E68" s="288" t="str">
        <f t="array" ref="E68">IFERROR(INDEX('2_Data_Pelanggan'!$D$5:$D$499,MATCH($B68,'2_Data_Pelanggan'!$O$5:$O$499,0)),"")</f>
        <v>RUDI</v>
      </c>
      <c r="F68" s="226" t="str">
        <f t="array" ref="F68">IFERROR(INDEX('2_Data_Pelanggan'!$H$5:$H$499,MATCH($B68,'2_Data_Pelanggan'!$O$5:$O$499,0)),"")</f>
        <v>CIHONJE</v>
      </c>
      <c r="G68" s="216" t="str">
        <f t="array" ref="G68">IFERROR(INDEX('2_Data_Pelanggan'!$I$5:$I$499,MATCH($B68,'2_Data_Pelanggan'!$O$5:$O$499,0))&amp;"/"&amp;INDEX('2_Data_Pelanggan'!$J$5:$J$499,MATCH($B68,'2_Data_Pelanggan'!$O$5:$O$499,0)),"")</f>
        <v>4/3</v>
      </c>
      <c r="H68" s="287">
        <f t="array" ref="H68">IFERROR(INDEX('2_Data_Pelanggan'!$M$5:$M$499,MATCH($B68,'2_Data_Pelanggan'!$O$5:$O$499,0)),"")</f>
        <v>20</v>
      </c>
      <c r="I68" s="287" t="str">
        <f t="array" ref="I68">IFERROR(INDEX('2_Data_Pelanggan'!$W$5:$W$499,MATCH($B68,'2_Data_Pelanggan'!$O$5:$O$499,0)),"")</f>
        <v>Aktif</v>
      </c>
      <c r="J68" s="107" t="str">
        <f t="array" ref="J68">IFERROR(IF(INDEX('2_Data_Pelanggan'!$F$5:$F$499,MATCH($B68,'2_Data_Pelanggan'!$O$5:$O$499,0))="","",HYPERLINK("https://wa.me/62"&amp;MID(INDEX('2_Data_Pelanggan'!$F$5:$F$499,MATCH($B68,'2_Data_Pelanggan'!$O$5:$O$499,0)),2,20),"Chat WA")),"")</f>
        <v>Chat WA</v>
      </c>
      <c r="K68" s="107" t="str">
        <f t="array" ref="K68">IFERROR(IF(INDEX('2_Data_Pelanggan'!$F$5:$F$499,MATCH($B68,'2_Data_Pelanggan'!$O$5:$O$499,0))="","",HYPERLINK("https://wa.me/62"&amp;MID(INDEX('2_Data_Pelanggan'!$F$5:$F$499,MATCH($B68,'2_Data_Pelanggan'!$O$5:$O$499,0)),2,LEN(INDEX('2_Data_Pelanggan'!$F$5:$F$499,MATCH($B68,'2_Data_Pelanggan'!$O$5:$O$499,0)))-1)&amp;"?text="&amp;SUBSTITUTE(SUBSTITUTE("Selamat "&amp;IF(HOUR(NOW())&lt;11,"Pagi",IF(HOUR(NOW())&lt;15,"Siang",IF(HOUR(NOW())&lt;18,"Sore","Malam")))&amp;" Bapak/Ibu "&amp;E68&amp;","&amp;CHAR(10)&amp;CHAR(10)&amp;"Mohon maaf mengganggu waktunya. Kami dari Tim Teknis ARMEDIA Net mendeteksi jaringan internet di rumah Bapak/Ibu sedang OFFLINE."&amp;CHAR(10)&amp;CHAR(10)&amp;"ID Pelanggan: "&amp;D68&amp;CHAR(10)&amp;CHAR(10)&amp;"Mohon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</row>
    <row r="69" ht="15.0" customHeight="1">
      <c r="A69" s="285">
        <v>49.0</v>
      </c>
      <c r="B69" s="286" t="s">
        <v>274</v>
      </c>
      <c r="C69" s="286" t="s">
        <v>1865</v>
      </c>
      <c r="D69" s="287" t="str">
        <f t="array" ref="D69">IFERROR(INDEX('2_Data_Pelanggan'!$B$5:$B$499,MATCH($B69,'2_Data_Pelanggan'!$O$5:$O$499,0)),"")</f>
        <v>ARM-0011</v>
      </c>
      <c r="E69" s="288" t="str">
        <f t="array" ref="E69">IFERROR(INDEX('2_Data_Pelanggan'!$D$5:$D$499,MATCH($B69,'2_Data_Pelanggan'!$O$5:$O$499,0)),"")</f>
        <v>ROMSIACH</v>
      </c>
      <c r="F69" s="226" t="str">
        <f t="array" ref="F69">IFERROR(INDEX('2_Data_Pelanggan'!$H$5:$H$499,MATCH($B69,'2_Data_Pelanggan'!$O$5:$O$499,0)),"")</f>
        <v>CIHONJE</v>
      </c>
      <c r="G69" s="216" t="str">
        <f t="array" ref="G69">IFERROR(INDEX('2_Data_Pelanggan'!$I$5:$I$499,MATCH($B69,'2_Data_Pelanggan'!$O$5:$O$499,0))&amp;"/"&amp;INDEX('2_Data_Pelanggan'!$J$5:$J$499,MATCH($B69,'2_Data_Pelanggan'!$O$5:$O$499,0)),"")</f>
        <v>/</v>
      </c>
      <c r="H69" s="287">
        <f t="array" ref="H69">IFERROR(INDEX('2_Data_Pelanggan'!$M$5:$M$499,MATCH($B69,'2_Data_Pelanggan'!$O$5:$O$499,0)),"")</f>
        <v>20</v>
      </c>
      <c r="I69" s="287" t="str">
        <f t="array" ref="I69">IFERROR(INDEX('2_Data_Pelanggan'!$W$5:$W$499,MATCH($B69,'2_Data_Pelanggan'!$O$5:$O$499,0)),"")</f>
        <v>Aktif</v>
      </c>
      <c r="J69" s="107" t="str">
        <f t="array" ref="J69">IFERROR(IF(INDEX('2_Data_Pelanggan'!$F$5:$F$499,MATCH($B69,'2_Data_Pelanggan'!$O$5:$O$499,0))="","",HYPERLINK("https://wa.me/62"&amp;MID(INDEX('2_Data_Pelanggan'!$F$5:$F$499,MATCH($B69,'2_Data_Pelanggan'!$O$5:$O$499,0)),2,20),"Chat WA")),"")</f>
        <v>Chat WA</v>
      </c>
      <c r="K69" s="107" t="str">
        <f t="array" ref="K69">IFERROR(IF(INDEX('2_Data_Pelanggan'!$F$5:$F$499,MATCH($B69,'2_Data_Pelanggan'!$O$5:$O$499,0))="","",HYPERLINK("https://wa.me/62"&amp;MID(INDEX('2_Data_Pelanggan'!$F$5:$F$499,MATCH($B69,'2_Data_Pelanggan'!$O$5:$O$499,0)),2,LEN(INDEX('2_Data_Pelanggan'!$F$5:$F$499,MATCH($B69,'2_Data_Pelanggan'!$O$5:$O$499,0)))-1)&amp;"?text="&amp;SUBSTITUTE(SUBSTITUTE("Selamat "&amp;IF(HOUR(NOW())&lt;11,"Pagi",IF(HOUR(NOW())&lt;15,"Siang",IF(HOUR(NOW())&lt;18,"Sore","Malam")))&amp;" Bapak/Ibu "&amp;E69&amp;","&amp;CHAR(10)&amp;CHAR(10)&amp;"Mohon maaf mengganggu waktunya. Kami dari Tim Teknis ARMEDIA Net mendeteksi jaringan internet di rumah Bapak/Ibu sedang OFFLINE."&amp;CHAR(10)&amp;CHAR(10)&amp;"ID Pelanggan: "&amp;D69&amp;CHAR(10)&amp;CHAR(10)&amp;"Mohon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</row>
    <row r="70" ht="15.0" customHeight="1">
      <c r="A70" s="285">
        <v>50.0</v>
      </c>
      <c r="B70" s="286" t="s">
        <v>390</v>
      </c>
      <c r="C70" s="286" t="s">
        <v>1865</v>
      </c>
      <c r="D70" s="287" t="str">
        <f t="array" ref="D70">IFERROR(INDEX('2_Data_Pelanggan'!$B$5:$B$499,MATCH($B70,'2_Data_Pelanggan'!$O$5:$O$499,0)),"")</f>
        <v>ARM-0026</v>
      </c>
      <c r="E70" s="288" t="str">
        <f t="array" ref="E70">IFERROR(INDEX('2_Data_Pelanggan'!$D$5:$D$499,MATCH($B70,'2_Data_Pelanggan'!$O$5:$O$499,0)),"")</f>
        <v>KIRWONO</v>
      </c>
      <c r="F70" s="226" t="str">
        <f t="array" ref="F70">IFERROR(INDEX('2_Data_Pelanggan'!$H$5:$H$499,MATCH($B70,'2_Data_Pelanggan'!$O$5:$O$499,0)),"")</f>
        <v>CIHONJE</v>
      </c>
      <c r="G70" s="216" t="str">
        <f t="array" ref="G70">IFERROR(INDEX('2_Data_Pelanggan'!$I$5:$I$499,MATCH($B70,'2_Data_Pelanggan'!$O$5:$O$499,0))&amp;"/"&amp;INDEX('2_Data_Pelanggan'!$J$5:$J$499,MATCH($B70,'2_Data_Pelanggan'!$O$5:$O$499,0)),"")</f>
        <v>/</v>
      </c>
      <c r="H70" s="287">
        <f t="array" ref="H70">IFERROR(INDEX('2_Data_Pelanggan'!$M$5:$M$499,MATCH($B70,'2_Data_Pelanggan'!$O$5:$O$499,0)),"")</f>
        <v>20</v>
      </c>
      <c r="I70" s="287" t="str">
        <f t="array" ref="I70">IFERROR(INDEX('2_Data_Pelanggan'!$W$5:$W$499,MATCH($B70,'2_Data_Pelanggan'!$O$5:$O$499,0)),"")</f>
        <v>Aktif</v>
      </c>
      <c r="J70" s="107" t="str">
        <f t="array" ref="J70">IFERROR(IF(INDEX('2_Data_Pelanggan'!$F$5:$F$499,MATCH($B70,'2_Data_Pelanggan'!$O$5:$O$499,0))="","",HYPERLINK("https://wa.me/62"&amp;MID(INDEX('2_Data_Pelanggan'!$F$5:$F$499,MATCH($B70,'2_Data_Pelanggan'!$O$5:$O$499,0)),2,20),"Chat WA")),"")</f>
        <v>Chat WA</v>
      </c>
      <c r="K70" s="107" t="str">
        <f t="array" ref="K70">IFERROR(IF(INDEX('2_Data_Pelanggan'!$F$5:$F$499,MATCH($B70,'2_Data_Pelanggan'!$O$5:$O$499,0))="","",HYPERLINK("https://wa.me/62"&amp;MID(INDEX('2_Data_Pelanggan'!$F$5:$F$499,MATCH($B70,'2_Data_Pelanggan'!$O$5:$O$499,0)),2,LEN(INDEX('2_Data_Pelanggan'!$F$5:$F$499,MATCH($B70,'2_Data_Pelanggan'!$O$5:$O$499,0)))-1)&amp;"?text="&amp;SUBSTITUTE(SUBSTITUTE("Selamat "&amp;IF(HOUR(NOW())&lt;11,"Pagi",IF(HOUR(NOW())&lt;15,"Siang",IF(HOUR(NOW())&lt;18,"Sore","Malam")))&amp;" Bapak/Ibu "&amp;E70&amp;","&amp;CHAR(10)&amp;CHAR(10)&amp;"Mohon maaf mengganggu waktunya. Kami dari Tim Teknis ARMEDIA Net mendeteksi jaringan internet di rumah Bapak/Ibu sedang OFFLINE."&amp;CHAR(10)&amp;CHAR(10)&amp;"ID Pelanggan: "&amp;D70&amp;CHAR(10)&amp;CHAR(10)&amp;"Mohon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</row>
    <row r="71" ht="15.0" customHeight="1">
      <c r="A71" s="285">
        <v>51.0</v>
      </c>
      <c r="B71" s="286" t="s">
        <v>375</v>
      </c>
      <c r="C71" s="286" t="s">
        <v>1865</v>
      </c>
      <c r="D71" s="287" t="str">
        <f t="array" ref="D71">IFERROR(INDEX('2_Data_Pelanggan'!$B$5:$B$499,MATCH($B71,'2_Data_Pelanggan'!$O$5:$O$499,0)),"")</f>
        <v>ARM-0024</v>
      </c>
      <c r="E71" s="288" t="str">
        <f t="array" ref="E71">IFERROR(INDEX('2_Data_Pelanggan'!$D$5:$D$499,MATCH($B71,'2_Data_Pelanggan'!$O$5:$O$499,0)),"")</f>
        <v>MAKIR</v>
      </c>
      <c r="F71" s="226" t="str">
        <f t="array" ref="F71">IFERROR(INDEX('2_Data_Pelanggan'!$H$5:$H$499,MATCH($B71,'2_Data_Pelanggan'!$O$5:$O$499,0)),"")</f>
        <v>CIHONJE</v>
      </c>
      <c r="G71" s="216" t="str">
        <f t="array" ref="G71">IFERROR(INDEX('2_Data_Pelanggan'!$I$5:$I$499,MATCH($B71,'2_Data_Pelanggan'!$O$5:$O$499,0))&amp;"/"&amp;INDEX('2_Data_Pelanggan'!$J$5:$J$499,MATCH($B71,'2_Data_Pelanggan'!$O$5:$O$499,0)),"")</f>
        <v>5/2</v>
      </c>
      <c r="H71" s="287">
        <f t="array" ref="H71">IFERROR(INDEX('2_Data_Pelanggan'!$M$5:$M$499,MATCH($B71,'2_Data_Pelanggan'!$O$5:$O$499,0)),"")</f>
        <v>20</v>
      </c>
      <c r="I71" s="287" t="str">
        <f t="array" ref="I71">IFERROR(INDEX('2_Data_Pelanggan'!$W$5:$W$499,MATCH($B71,'2_Data_Pelanggan'!$O$5:$O$499,0)),"")</f>
        <v>Aktif</v>
      </c>
      <c r="J71" s="107" t="str">
        <f t="array" ref="J71">IFERROR(IF(INDEX('2_Data_Pelanggan'!$F$5:$F$499,MATCH($B71,'2_Data_Pelanggan'!$O$5:$O$499,0))="","",HYPERLINK("https://wa.me/62"&amp;MID(INDEX('2_Data_Pelanggan'!$F$5:$F$499,MATCH($B71,'2_Data_Pelanggan'!$O$5:$O$499,0)),2,20),"Chat WA")),"")</f>
        <v>Chat WA</v>
      </c>
      <c r="K71" s="107" t="str">
        <f t="array" ref="K71">IFERROR(IF(INDEX('2_Data_Pelanggan'!$F$5:$F$499,MATCH($B71,'2_Data_Pelanggan'!$O$5:$O$499,0))="","",HYPERLINK("https://wa.me/62"&amp;MID(INDEX('2_Data_Pelanggan'!$F$5:$F$499,MATCH($B71,'2_Data_Pelanggan'!$O$5:$O$499,0)),2,LEN(INDEX('2_Data_Pelanggan'!$F$5:$F$499,MATCH($B71,'2_Data_Pelanggan'!$O$5:$O$499,0)))-1)&amp;"?text="&amp;SUBSTITUTE(SUBSTITUTE("Selamat "&amp;IF(HOUR(NOW())&lt;11,"Pagi",IF(HOUR(NOW())&lt;15,"Siang",IF(HOUR(NOW())&lt;18,"Sore","Malam")))&amp;" Bapak/Ibu "&amp;E71&amp;","&amp;CHAR(10)&amp;CHAR(10)&amp;"Mohon maaf mengganggu waktunya. Kami dari Tim Teknis ARMEDIA Net mendeteksi jaringan internet di rumah Bapak/Ibu sedang OFFLINE."&amp;CHAR(10)&amp;CHAR(10)&amp;"ID Pelanggan: "&amp;D71&amp;CHAR(10)&amp;CHAR(10)&amp;"Mohon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</row>
    <row r="72" ht="15.0" customHeight="1">
      <c r="A72" s="285">
        <v>52.0</v>
      </c>
      <c r="B72" s="286" t="s">
        <v>506</v>
      </c>
      <c r="C72" s="286" t="s">
        <v>1865</v>
      </c>
      <c r="D72" s="287" t="str">
        <f t="array" ref="D72">IFERROR(INDEX('2_Data_Pelanggan'!$B$5:$B$499,MATCH($B72,'2_Data_Pelanggan'!$O$5:$O$499,0)),"")</f>
        <v>ARM-0041</v>
      </c>
      <c r="E72" s="288" t="str">
        <f t="array" ref="E72">IFERROR(INDEX('2_Data_Pelanggan'!$D$5:$D$499,MATCH($B72,'2_Data_Pelanggan'!$O$5:$O$499,0)),"")</f>
        <v>HERI SUTRISNO</v>
      </c>
      <c r="F72" s="226" t="str">
        <f t="array" ref="F72">IFERROR(INDEX('2_Data_Pelanggan'!$H$5:$H$499,MATCH($B72,'2_Data_Pelanggan'!$O$5:$O$499,0)),"")</f>
        <v>CIHONJE</v>
      </c>
      <c r="G72" s="216" t="str">
        <f t="array" ref="G72">IFERROR(INDEX('2_Data_Pelanggan'!$I$5:$I$499,MATCH($B72,'2_Data_Pelanggan'!$O$5:$O$499,0))&amp;"/"&amp;INDEX('2_Data_Pelanggan'!$J$5:$J$499,MATCH($B72,'2_Data_Pelanggan'!$O$5:$O$499,0)),"")</f>
        <v>4/2</v>
      </c>
      <c r="H72" s="287">
        <f t="array" ref="H72">IFERROR(INDEX('2_Data_Pelanggan'!$M$5:$M$499,MATCH($B72,'2_Data_Pelanggan'!$O$5:$O$499,0)),"")</f>
        <v>20</v>
      </c>
      <c r="I72" s="287" t="str">
        <f t="array" ref="I72">IFERROR(INDEX('2_Data_Pelanggan'!$W$5:$W$499,MATCH($B72,'2_Data_Pelanggan'!$O$5:$O$499,0)),"")</f>
        <v>Aktif</v>
      </c>
      <c r="J72" s="107" t="str">
        <f t="array" ref="J72">IFERROR(IF(INDEX('2_Data_Pelanggan'!$F$5:$F$499,MATCH($B72,'2_Data_Pelanggan'!$O$5:$O$499,0))="","",HYPERLINK("https://wa.me/62"&amp;MID(INDEX('2_Data_Pelanggan'!$F$5:$F$499,MATCH($B72,'2_Data_Pelanggan'!$O$5:$O$499,0)),2,20),"Chat WA")),"")</f>
        <v>Chat WA</v>
      </c>
      <c r="K72" s="107" t="str">
        <f t="array" ref="K72">IFERROR(IF(INDEX('2_Data_Pelanggan'!$F$5:$F$499,MATCH($B72,'2_Data_Pelanggan'!$O$5:$O$499,0))="","",HYPERLINK("https://wa.me/62"&amp;MID(INDEX('2_Data_Pelanggan'!$F$5:$F$499,MATCH($B72,'2_Data_Pelanggan'!$O$5:$O$499,0)),2,LEN(INDEX('2_Data_Pelanggan'!$F$5:$F$499,MATCH($B72,'2_Data_Pelanggan'!$O$5:$O$499,0)))-1)&amp;"?text="&amp;SUBSTITUTE(SUBSTITUTE("Selamat "&amp;IF(HOUR(NOW())&lt;11,"Pagi",IF(HOUR(NOW())&lt;15,"Siang",IF(HOUR(NOW())&lt;18,"Sore","Malam")))&amp;" Bapak/Ibu "&amp;E72&amp;","&amp;CHAR(10)&amp;CHAR(10)&amp;"Mohon maaf mengganggu waktunya. Kami dari Tim Teknis ARMEDIA Net mendeteksi jaringan internet di rumah Bapak/Ibu sedang OFFLINE."&amp;CHAR(10)&amp;CHAR(10)&amp;"ID Pelanggan: "&amp;D72&amp;CHAR(10)&amp;CHAR(10)&amp;"Mohon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</row>
    <row r="73" ht="15.0" customHeight="1">
      <c r="A73" s="285">
        <v>53.0</v>
      </c>
      <c r="B73" s="286" t="s">
        <v>406</v>
      </c>
      <c r="C73" s="286" t="s">
        <v>1865</v>
      </c>
      <c r="D73" s="287" t="str">
        <f t="array" ref="D73">IFERROR(INDEX('2_Data_Pelanggan'!$B$5:$B$499,MATCH($B73,'2_Data_Pelanggan'!$O$5:$O$499,0)),"")</f>
        <v>ARM-0028</v>
      </c>
      <c r="E73" s="288" t="str">
        <f t="array" ref="E73">IFERROR(INDEX('2_Data_Pelanggan'!$D$5:$D$499,MATCH($B73,'2_Data_Pelanggan'!$O$5:$O$499,0)),"")</f>
        <v>KISLAM</v>
      </c>
      <c r="F73" s="226" t="str">
        <f t="array" ref="F73">IFERROR(INDEX('2_Data_Pelanggan'!$H$5:$H$499,MATCH($B73,'2_Data_Pelanggan'!$O$5:$O$499,0)),"")</f>
        <v>CIHONJE</v>
      </c>
      <c r="G73" s="216" t="str">
        <f t="array" ref="G73">IFERROR(INDEX('2_Data_Pelanggan'!$I$5:$I$499,MATCH($B73,'2_Data_Pelanggan'!$O$5:$O$499,0))&amp;"/"&amp;INDEX('2_Data_Pelanggan'!$J$5:$J$499,MATCH($B73,'2_Data_Pelanggan'!$O$5:$O$499,0)),"")</f>
        <v>5/2</v>
      </c>
      <c r="H73" s="287">
        <f t="array" ref="H73">IFERROR(INDEX('2_Data_Pelanggan'!$M$5:$M$499,MATCH($B73,'2_Data_Pelanggan'!$O$5:$O$499,0)),"")</f>
        <v>20</v>
      </c>
      <c r="I73" s="287" t="str">
        <f t="array" ref="I73">IFERROR(INDEX('2_Data_Pelanggan'!$W$5:$W$499,MATCH($B73,'2_Data_Pelanggan'!$O$5:$O$499,0)),"")</f>
        <v>Aktif</v>
      </c>
      <c r="J73" s="107" t="str">
        <f t="array" ref="J73">IFERROR(IF(INDEX('2_Data_Pelanggan'!$F$5:$F$499,MATCH($B73,'2_Data_Pelanggan'!$O$5:$O$499,0))="","",HYPERLINK("https://wa.me/62"&amp;MID(INDEX('2_Data_Pelanggan'!$F$5:$F$499,MATCH($B73,'2_Data_Pelanggan'!$O$5:$O$499,0)),2,20),"Chat WA")),"")</f>
        <v>Chat WA</v>
      </c>
      <c r="K73" s="107" t="str">
        <f t="array" ref="K73">IFERROR(IF(INDEX('2_Data_Pelanggan'!$F$5:$F$499,MATCH($B73,'2_Data_Pelanggan'!$O$5:$O$499,0))="","",HYPERLINK("https://wa.me/62"&amp;MID(INDEX('2_Data_Pelanggan'!$F$5:$F$499,MATCH($B73,'2_Data_Pelanggan'!$O$5:$O$499,0)),2,LEN(INDEX('2_Data_Pelanggan'!$F$5:$F$499,MATCH($B73,'2_Data_Pelanggan'!$O$5:$O$499,0)))-1)&amp;"?text="&amp;SUBSTITUTE(SUBSTITUTE("Selamat "&amp;IF(HOUR(NOW())&lt;11,"Pagi",IF(HOUR(NOW())&lt;15,"Siang",IF(HOUR(NOW())&lt;18,"Sore","Malam")))&amp;" Bapak/Ibu "&amp;E73&amp;","&amp;CHAR(10)&amp;CHAR(10)&amp;"Mohon maaf mengganggu waktunya. Kami dari Tim Teknis ARMEDIA Net mendeteksi jaringan internet di rumah Bapak/Ibu sedang OFFLINE."&amp;CHAR(10)&amp;CHAR(10)&amp;"ID Pelanggan: "&amp;D73&amp;CHAR(10)&amp;CHAR(10)&amp;"Mohon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</row>
    <row r="74" ht="15.0" customHeight="1">
      <c r="A74" s="285">
        <v>54.0</v>
      </c>
      <c r="B74" s="286" t="s">
        <v>416</v>
      </c>
      <c r="C74" s="286" t="s">
        <v>1865</v>
      </c>
      <c r="D74" s="287" t="str">
        <f t="array" ref="D74">IFERROR(INDEX('2_Data_Pelanggan'!$B$5:$B$499,MATCH($B74,'2_Data_Pelanggan'!$O$5:$O$499,0)),"")</f>
        <v>ARM-0030</v>
      </c>
      <c r="E74" s="288" t="str">
        <f t="array" ref="E74">IFERROR(INDEX('2_Data_Pelanggan'!$D$5:$D$499,MATCH($B74,'2_Data_Pelanggan'!$O$5:$O$499,0)),"")</f>
        <v>CARSUM</v>
      </c>
      <c r="F74" s="226" t="str">
        <f t="array" ref="F74">IFERROR(INDEX('2_Data_Pelanggan'!$H$5:$H$499,MATCH($B74,'2_Data_Pelanggan'!$O$5:$O$499,0)),"")</f>
        <v>CIHONJE</v>
      </c>
      <c r="G74" s="216" t="str">
        <f t="array" ref="G74">IFERROR(INDEX('2_Data_Pelanggan'!$I$5:$I$499,MATCH($B74,'2_Data_Pelanggan'!$O$5:$O$499,0))&amp;"/"&amp;INDEX('2_Data_Pelanggan'!$J$5:$J$499,MATCH($B74,'2_Data_Pelanggan'!$O$5:$O$499,0)),"")</f>
        <v>4/2</v>
      </c>
      <c r="H74" s="287">
        <f t="array" ref="H74">IFERROR(INDEX('2_Data_Pelanggan'!$M$5:$M$499,MATCH($B74,'2_Data_Pelanggan'!$O$5:$O$499,0)),"")</f>
        <v>20</v>
      </c>
      <c r="I74" s="287" t="str">
        <f t="array" ref="I74">IFERROR(INDEX('2_Data_Pelanggan'!$W$5:$W$499,MATCH($B74,'2_Data_Pelanggan'!$O$5:$O$499,0)),"")</f>
        <v>Aktif</v>
      </c>
      <c r="J74" s="107" t="str">
        <f t="array" ref="J74">IFERROR(IF(INDEX('2_Data_Pelanggan'!$F$5:$F$499,MATCH($B74,'2_Data_Pelanggan'!$O$5:$O$499,0))="","",HYPERLINK("https://wa.me/62"&amp;MID(INDEX('2_Data_Pelanggan'!$F$5:$F$499,MATCH($B74,'2_Data_Pelanggan'!$O$5:$O$499,0)),2,20),"Chat WA")),"")</f>
        <v>Chat WA</v>
      </c>
      <c r="K74" s="107" t="str">
        <f t="array" ref="K74">IFERROR(IF(INDEX('2_Data_Pelanggan'!$F$5:$F$499,MATCH($B74,'2_Data_Pelanggan'!$O$5:$O$499,0))="","",HYPERLINK("https://wa.me/62"&amp;MID(INDEX('2_Data_Pelanggan'!$F$5:$F$499,MATCH($B74,'2_Data_Pelanggan'!$O$5:$O$499,0)),2,LEN(INDEX('2_Data_Pelanggan'!$F$5:$F$499,MATCH($B74,'2_Data_Pelanggan'!$O$5:$O$499,0)))-1)&amp;"?text="&amp;SUBSTITUTE(SUBSTITUTE("Selamat "&amp;IF(HOUR(NOW())&lt;11,"Pagi",IF(HOUR(NOW())&lt;15,"Siang",IF(HOUR(NOW())&lt;18,"Sore","Malam")))&amp;" Bapak/Ibu "&amp;E74&amp;","&amp;CHAR(10)&amp;CHAR(10)&amp;"Mohon maaf mengganggu waktunya. Kami dari Tim Teknis ARMEDIA Net mendeteksi jaringan internet di rumah Bapak/Ibu sedang OFFLINE."&amp;CHAR(10)&amp;CHAR(10)&amp;"ID Pelanggan: "&amp;D74&amp;CHAR(10)&amp;CHAR(10)&amp;"Mohon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</row>
    <row r="75" ht="15.0" customHeight="1">
      <c r="A75" s="285">
        <v>55.0</v>
      </c>
      <c r="B75" s="286" t="s">
        <v>424</v>
      </c>
      <c r="C75" s="286" t="s">
        <v>1865</v>
      </c>
      <c r="D75" s="287" t="str">
        <f t="array" ref="D75">IFERROR(INDEX('2_Data_Pelanggan'!$B$5:$B$499,MATCH($B75,'2_Data_Pelanggan'!$O$5:$O$499,0)),"")</f>
        <v>ARM-0031</v>
      </c>
      <c r="E75" s="288" t="str">
        <f t="array" ref="E75">IFERROR(INDEX('2_Data_Pelanggan'!$D$5:$D$499,MATCH($B75,'2_Data_Pelanggan'!$O$5:$O$499,0)),"")</f>
        <v>JONI SAPUTRA</v>
      </c>
      <c r="F75" s="226" t="str">
        <f t="array" ref="F75">IFERROR(INDEX('2_Data_Pelanggan'!$H$5:$H$499,MATCH($B75,'2_Data_Pelanggan'!$O$5:$O$499,0)),"")</f>
        <v>CIHONJE</v>
      </c>
      <c r="G75" s="216" t="str">
        <f t="array" ref="G75">IFERROR(INDEX('2_Data_Pelanggan'!$I$5:$I$499,MATCH($B75,'2_Data_Pelanggan'!$O$5:$O$499,0))&amp;"/"&amp;INDEX('2_Data_Pelanggan'!$J$5:$J$499,MATCH($B75,'2_Data_Pelanggan'!$O$5:$O$499,0)),"")</f>
        <v>15/3</v>
      </c>
      <c r="H75" s="287">
        <f t="array" ref="H75">IFERROR(INDEX('2_Data_Pelanggan'!$M$5:$M$499,MATCH($B75,'2_Data_Pelanggan'!$O$5:$O$499,0)),"")</f>
        <v>20</v>
      </c>
      <c r="I75" s="287" t="str">
        <f t="array" ref="I75">IFERROR(INDEX('2_Data_Pelanggan'!$W$5:$W$499,MATCH($B75,'2_Data_Pelanggan'!$O$5:$O$499,0)),"")</f>
        <v>Aktif</v>
      </c>
      <c r="J75" s="107" t="str">
        <f t="array" ref="J75">IFERROR(IF(INDEX('2_Data_Pelanggan'!$F$5:$F$499,MATCH($B75,'2_Data_Pelanggan'!$O$5:$O$499,0))="","",HYPERLINK("https://wa.me/62"&amp;MID(INDEX('2_Data_Pelanggan'!$F$5:$F$499,MATCH($B75,'2_Data_Pelanggan'!$O$5:$O$499,0)),2,20),"Chat WA")),"")</f>
        <v>Chat WA</v>
      </c>
      <c r="K75" s="107" t="str">
        <f t="array" ref="K75">IFERROR(IF(INDEX('2_Data_Pelanggan'!$F$5:$F$499,MATCH($B75,'2_Data_Pelanggan'!$O$5:$O$499,0))="","",HYPERLINK("https://wa.me/62"&amp;MID(INDEX('2_Data_Pelanggan'!$F$5:$F$499,MATCH($B75,'2_Data_Pelanggan'!$O$5:$O$499,0)),2,LEN(INDEX('2_Data_Pelanggan'!$F$5:$F$499,MATCH($B75,'2_Data_Pelanggan'!$O$5:$O$499,0)))-1)&amp;"?text="&amp;SUBSTITUTE(SUBSTITUTE("Selamat "&amp;IF(HOUR(NOW())&lt;11,"Pagi",IF(HOUR(NOW())&lt;15,"Siang",IF(HOUR(NOW())&lt;18,"Sore","Malam")))&amp;" Bapak/Ibu "&amp;E75&amp;","&amp;CHAR(10)&amp;CHAR(10)&amp;"Mohon maaf mengganggu waktunya. Kami dari Tim Teknis ARMEDIA Net mendeteksi jaringan internet di rumah Bapak/Ibu sedang OFFLINE."&amp;CHAR(10)&amp;CHAR(10)&amp;"ID Pelanggan: "&amp;D75&amp;CHAR(10)&amp;CHAR(10)&amp;"Mohon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</row>
    <row r="76" ht="15.0" customHeight="1">
      <c r="A76" s="285">
        <v>56.0</v>
      </c>
      <c r="B76" s="286" t="s">
        <v>438</v>
      </c>
      <c r="C76" s="286" t="s">
        <v>1865</v>
      </c>
      <c r="D76" s="287" t="str">
        <f t="array" ref="D76">IFERROR(INDEX('2_Data_Pelanggan'!$B$5:$B$499,MATCH($B76,'2_Data_Pelanggan'!$O$5:$O$499,0)),"")</f>
        <v>ARM-0033</v>
      </c>
      <c r="E76" s="288" t="str">
        <f t="array" ref="E76">IFERROR(INDEX('2_Data_Pelanggan'!$D$5:$D$499,MATCH($B76,'2_Data_Pelanggan'!$O$5:$O$499,0)),"")</f>
        <v>SUSANTO</v>
      </c>
      <c r="F76" s="226" t="str">
        <f t="array" ref="F76">IFERROR(INDEX('2_Data_Pelanggan'!$H$5:$H$499,MATCH($B76,'2_Data_Pelanggan'!$O$5:$O$499,0)),"")</f>
        <v>CIHONJE</v>
      </c>
      <c r="G76" s="216" t="str">
        <f t="array" ref="G76">IFERROR(INDEX('2_Data_Pelanggan'!$I$5:$I$499,MATCH($B76,'2_Data_Pelanggan'!$O$5:$O$499,0))&amp;"/"&amp;INDEX('2_Data_Pelanggan'!$J$5:$J$499,MATCH($B76,'2_Data_Pelanggan'!$O$5:$O$499,0)),"")</f>
        <v>3/3</v>
      </c>
      <c r="H76" s="287">
        <f t="array" ref="H76">IFERROR(INDEX('2_Data_Pelanggan'!$M$5:$M$499,MATCH($B76,'2_Data_Pelanggan'!$O$5:$O$499,0)),"")</f>
        <v>20</v>
      </c>
      <c r="I76" s="287" t="str">
        <f t="array" ref="I76">IFERROR(INDEX('2_Data_Pelanggan'!$W$5:$W$499,MATCH($B76,'2_Data_Pelanggan'!$O$5:$O$499,0)),"")</f>
        <v>Aktif</v>
      </c>
      <c r="J76" s="107" t="str">
        <f t="array" ref="J76">IFERROR(IF(INDEX('2_Data_Pelanggan'!$F$5:$F$499,MATCH($B76,'2_Data_Pelanggan'!$O$5:$O$499,0))="","",HYPERLINK("https://wa.me/62"&amp;MID(INDEX('2_Data_Pelanggan'!$F$5:$F$499,MATCH($B76,'2_Data_Pelanggan'!$O$5:$O$499,0)),2,20),"Chat WA")),"")</f>
        <v>Chat WA</v>
      </c>
      <c r="K76" s="107" t="str">
        <f t="array" ref="K76">IFERROR(IF(INDEX('2_Data_Pelanggan'!$F$5:$F$499,MATCH($B76,'2_Data_Pelanggan'!$O$5:$O$499,0))="","",HYPERLINK("https://wa.me/62"&amp;MID(INDEX('2_Data_Pelanggan'!$F$5:$F$499,MATCH($B76,'2_Data_Pelanggan'!$O$5:$O$499,0)),2,LEN(INDEX('2_Data_Pelanggan'!$F$5:$F$499,MATCH($B76,'2_Data_Pelanggan'!$O$5:$O$499,0)))-1)&amp;"?text="&amp;SUBSTITUTE(SUBSTITUTE("Selamat "&amp;IF(HOUR(NOW())&lt;11,"Pagi",IF(HOUR(NOW())&lt;15,"Siang",IF(HOUR(NOW())&lt;18,"Sore","Malam")))&amp;" Bapak/Ibu "&amp;E76&amp;","&amp;CHAR(10)&amp;CHAR(10)&amp;"Mohon maaf mengganggu waktunya. Kami dari Tim Teknis ARMEDIA Net mendeteksi jaringan internet di rumah Bapak/Ibu sedang OFFLINE."&amp;CHAR(10)&amp;CHAR(10)&amp;"ID Pelanggan: "&amp;D76&amp;CHAR(10)&amp;CHAR(10)&amp;"Mohon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</row>
    <row r="77" ht="15.0" customHeight="1">
      <c r="A77" s="285">
        <v>57.0</v>
      </c>
      <c r="B77" s="286" t="s">
        <v>446</v>
      </c>
      <c r="C77" s="286" t="s">
        <v>1865</v>
      </c>
      <c r="D77" s="287" t="str">
        <f t="array" ref="D77">IFERROR(INDEX('2_Data_Pelanggan'!$B$5:$B$499,MATCH($B77,'2_Data_Pelanggan'!$O$5:$O$499,0)),"")</f>
        <v>ARM-0034</v>
      </c>
      <c r="E77" s="288" t="str">
        <f t="array" ref="E77">IFERROR(INDEX('2_Data_Pelanggan'!$D$5:$D$499,MATCH($B77,'2_Data_Pelanggan'!$O$5:$O$499,0)),"")</f>
        <v>SRI MULYONO</v>
      </c>
      <c r="F77" s="226" t="str">
        <f t="array" ref="F77">IFERROR(INDEX('2_Data_Pelanggan'!$H$5:$H$499,MATCH($B77,'2_Data_Pelanggan'!$O$5:$O$499,0)),"")</f>
        <v>CIHONJE</v>
      </c>
      <c r="G77" s="216" t="str">
        <f t="array" ref="G77">IFERROR(INDEX('2_Data_Pelanggan'!$I$5:$I$499,MATCH($B77,'2_Data_Pelanggan'!$O$5:$O$499,0))&amp;"/"&amp;INDEX('2_Data_Pelanggan'!$J$5:$J$499,MATCH($B77,'2_Data_Pelanggan'!$O$5:$O$499,0)),"")</f>
        <v>2/4</v>
      </c>
      <c r="H77" s="287">
        <f t="array" ref="H77">IFERROR(INDEX('2_Data_Pelanggan'!$M$5:$M$499,MATCH($B77,'2_Data_Pelanggan'!$O$5:$O$499,0)),"")</f>
        <v>20</v>
      </c>
      <c r="I77" s="287" t="str">
        <f t="array" ref="I77">IFERROR(INDEX('2_Data_Pelanggan'!$W$5:$W$499,MATCH($B77,'2_Data_Pelanggan'!$O$5:$O$499,0)),"")</f>
        <v>Aktif</v>
      </c>
      <c r="J77" s="107" t="str">
        <f t="array" ref="J77">IFERROR(IF(INDEX('2_Data_Pelanggan'!$F$5:$F$499,MATCH($B77,'2_Data_Pelanggan'!$O$5:$O$499,0))="","",HYPERLINK("https://wa.me/62"&amp;MID(INDEX('2_Data_Pelanggan'!$F$5:$F$499,MATCH($B77,'2_Data_Pelanggan'!$O$5:$O$499,0)),2,20),"Chat WA")),"")</f>
        <v>Chat WA</v>
      </c>
      <c r="K77" s="107" t="str">
        <f t="array" ref="K77">IFERROR(IF(INDEX('2_Data_Pelanggan'!$F$5:$F$499,MATCH($B77,'2_Data_Pelanggan'!$O$5:$O$499,0))="","",HYPERLINK("https://wa.me/62"&amp;MID(INDEX('2_Data_Pelanggan'!$F$5:$F$499,MATCH($B77,'2_Data_Pelanggan'!$O$5:$O$499,0)),2,LEN(INDEX('2_Data_Pelanggan'!$F$5:$F$499,MATCH($B77,'2_Data_Pelanggan'!$O$5:$O$499,0)))-1)&amp;"?text="&amp;SUBSTITUTE(SUBSTITUTE("Selamat "&amp;IF(HOUR(NOW())&lt;11,"Pagi",IF(HOUR(NOW())&lt;15,"Siang",IF(HOUR(NOW())&lt;18,"Sore","Malam")))&amp;" Bapak/Ibu "&amp;E77&amp;","&amp;CHAR(10)&amp;CHAR(10)&amp;"Mohon maaf mengganggu waktunya. Kami dari Tim Teknis ARMEDIA Net mendeteksi jaringan internet di rumah Bapak/Ibu sedang OFFLINE."&amp;CHAR(10)&amp;CHAR(10)&amp;"ID Pelanggan: "&amp;D77&amp;CHAR(10)&amp;CHAR(10)&amp;"Mohon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</row>
    <row r="78" ht="15.0" customHeight="1">
      <c r="A78" s="285">
        <v>58.0</v>
      </c>
      <c r="B78" s="286" t="s">
        <v>454</v>
      </c>
      <c r="C78" s="286" t="s">
        <v>1865</v>
      </c>
      <c r="D78" s="287" t="str">
        <f t="array" ref="D78">IFERROR(INDEX('2_Data_Pelanggan'!$B$5:$B$499,MATCH($B78,'2_Data_Pelanggan'!$O$5:$O$499,0)),"")</f>
        <v>ARM-0035</v>
      </c>
      <c r="E78" s="288" t="str">
        <f t="array" ref="E78">IFERROR(INDEX('2_Data_Pelanggan'!$D$5:$D$499,MATCH($B78,'2_Data_Pelanggan'!$O$5:$O$499,0)),"")</f>
        <v>SURIPTO/RIDHO</v>
      </c>
      <c r="F78" s="226" t="str">
        <f t="array" ref="F78">IFERROR(INDEX('2_Data_Pelanggan'!$H$5:$H$499,MATCH($B78,'2_Data_Pelanggan'!$O$5:$O$499,0)),"")</f>
        <v>CIHONJE</v>
      </c>
      <c r="G78" s="216" t="str">
        <f t="array" ref="G78">IFERROR(INDEX('2_Data_Pelanggan'!$I$5:$I$499,MATCH($B78,'2_Data_Pelanggan'!$O$5:$O$499,0))&amp;"/"&amp;INDEX('2_Data_Pelanggan'!$J$5:$J$499,MATCH($B78,'2_Data_Pelanggan'!$O$5:$O$499,0)),"")</f>
        <v>3/2</v>
      </c>
      <c r="H78" s="287">
        <f t="array" ref="H78">IFERROR(INDEX('2_Data_Pelanggan'!$M$5:$M$499,MATCH($B78,'2_Data_Pelanggan'!$O$5:$O$499,0)),"")</f>
        <v>20</v>
      </c>
      <c r="I78" s="287" t="str">
        <f t="array" ref="I78">IFERROR(INDEX('2_Data_Pelanggan'!$W$5:$W$499,MATCH($B78,'2_Data_Pelanggan'!$O$5:$O$499,0)),"")</f>
        <v>Aktif</v>
      </c>
      <c r="J78" s="107" t="str">
        <f t="array" ref="J78">IFERROR(IF(INDEX('2_Data_Pelanggan'!$F$5:$F$499,MATCH($B78,'2_Data_Pelanggan'!$O$5:$O$499,0))="","",HYPERLINK("https://wa.me/62"&amp;MID(INDEX('2_Data_Pelanggan'!$F$5:$F$499,MATCH($B78,'2_Data_Pelanggan'!$O$5:$O$499,0)),2,20),"Chat WA")),"")</f>
        <v>Chat WA</v>
      </c>
      <c r="K78" s="107" t="str">
        <f t="array" ref="K78">IFERROR(IF(INDEX('2_Data_Pelanggan'!$F$5:$F$499,MATCH($B78,'2_Data_Pelanggan'!$O$5:$O$499,0))="","",HYPERLINK("https://wa.me/62"&amp;MID(INDEX('2_Data_Pelanggan'!$F$5:$F$499,MATCH($B78,'2_Data_Pelanggan'!$O$5:$O$499,0)),2,LEN(INDEX('2_Data_Pelanggan'!$F$5:$F$499,MATCH($B78,'2_Data_Pelanggan'!$O$5:$O$499,0)))-1)&amp;"?text="&amp;SUBSTITUTE(SUBSTITUTE("Selamat "&amp;IF(HOUR(NOW())&lt;11,"Pagi",IF(HOUR(NOW())&lt;15,"Siang",IF(HOUR(NOW())&lt;18,"Sore","Malam")))&amp;" Bapak/Ibu "&amp;E78&amp;","&amp;CHAR(10)&amp;CHAR(10)&amp;"Mohon maaf mengganggu waktunya. Kami dari Tim Teknis ARMEDIA Net mendeteksi jaringan internet di rumah Bapak/Ibu sedang OFFLINE."&amp;CHAR(10)&amp;CHAR(10)&amp;"ID Pelanggan: "&amp;D78&amp;CHAR(10)&amp;CHAR(10)&amp;"Mohon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</row>
    <row r="79" ht="15.0" customHeight="1">
      <c r="A79" s="285">
        <v>59.0</v>
      </c>
      <c r="B79" s="286" t="s">
        <v>463</v>
      </c>
      <c r="C79" s="286" t="s">
        <v>1865</v>
      </c>
      <c r="D79" s="287" t="str">
        <f t="array" ref="D79">IFERROR(INDEX('2_Data_Pelanggan'!$B$5:$B$499,MATCH($B79,'2_Data_Pelanggan'!$O$5:$O$499,0)),"")</f>
        <v>ARM-0036</v>
      </c>
      <c r="E79" s="288" t="str">
        <f t="array" ref="E79">IFERROR(INDEX('2_Data_Pelanggan'!$D$5:$D$499,MATCH($B79,'2_Data_Pelanggan'!$O$5:$O$499,0)),"")</f>
        <v>SUPRIYANTO</v>
      </c>
      <c r="F79" s="226" t="str">
        <f t="array" ref="F79">IFERROR(INDEX('2_Data_Pelanggan'!$H$5:$H$499,MATCH($B79,'2_Data_Pelanggan'!$O$5:$O$499,0)),"")</f>
        <v>CIWARAS</v>
      </c>
      <c r="G79" s="216" t="str">
        <f t="array" ref="G79">IFERROR(INDEX('2_Data_Pelanggan'!$I$5:$I$499,MATCH($B79,'2_Data_Pelanggan'!$O$5:$O$499,0))&amp;"/"&amp;INDEX('2_Data_Pelanggan'!$J$5:$J$499,MATCH($B79,'2_Data_Pelanggan'!$O$5:$O$499,0)),"")</f>
        <v>3/3</v>
      </c>
      <c r="H79" s="287">
        <f t="array" ref="H79">IFERROR(INDEX('2_Data_Pelanggan'!$M$5:$M$499,MATCH($B79,'2_Data_Pelanggan'!$O$5:$O$499,0)),"")</f>
        <v>20</v>
      </c>
      <c r="I79" s="287" t="str">
        <f t="array" ref="I79">IFERROR(INDEX('2_Data_Pelanggan'!$W$5:$W$499,MATCH($B79,'2_Data_Pelanggan'!$O$5:$O$499,0)),"")</f>
        <v>Aktif</v>
      </c>
      <c r="J79" s="107" t="str">
        <f t="array" ref="J79">IFERROR(IF(INDEX('2_Data_Pelanggan'!$F$5:$F$499,MATCH($B79,'2_Data_Pelanggan'!$O$5:$O$499,0))="","",HYPERLINK("https://wa.me/62"&amp;MID(INDEX('2_Data_Pelanggan'!$F$5:$F$499,MATCH($B79,'2_Data_Pelanggan'!$O$5:$O$499,0)),2,20),"Chat WA")),"")</f>
        <v>Chat WA</v>
      </c>
      <c r="K79" s="107" t="str">
        <f t="array" ref="K79">IFERROR(IF(INDEX('2_Data_Pelanggan'!$F$5:$F$499,MATCH($B79,'2_Data_Pelanggan'!$O$5:$O$499,0))="","",HYPERLINK("https://wa.me/62"&amp;MID(INDEX('2_Data_Pelanggan'!$F$5:$F$499,MATCH($B79,'2_Data_Pelanggan'!$O$5:$O$499,0)),2,LEN(INDEX('2_Data_Pelanggan'!$F$5:$F$499,MATCH($B79,'2_Data_Pelanggan'!$O$5:$O$499,0)))-1)&amp;"?text="&amp;SUBSTITUTE(SUBSTITUTE("Selamat "&amp;IF(HOUR(NOW())&lt;11,"Pagi",IF(HOUR(NOW())&lt;15,"Siang",IF(HOUR(NOW())&lt;18,"Sore","Malam")))&amp;" Bapak/Ibu "&amp;E79&amp;","&amp;CHAR(10)&amp;CHAR(10)&amp;"Mohon maaf mengganggu waktunya. Kami dari Tim Teknis ARMEDIA Net mendeteksi jaringan internet di rumah Bapak/Ibu sedang OFFLINE."&amp;CHAR(10)&amp;CHAR(10)&amp;"ID Pelanggan: "&amp;D79&amp;CHAR(10)&amp;CHAR(10)&amp;"Mohon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</row>
    <row r="80" ht="15.0" customHeight="1">
      <c r="A80" s="285">
        <v>60.0</v>
      </c>
      <c r="B80" s="286" t="s">
        <v>472</v>
      </c>
      <c r="C80" s="286" t="s">
        <v>1865</v>
      </c>
      <c r="D80" s="287" t="str">
        <f t="array" ref="D80">IFERROR(INDEX('2_Data_Pelanggan'!$B$5:$B$499,MATCH($B80,'2_Data_Pelanggan'!$O$5:$O$499,0)),"")</f>
        <v>ARM-0037</v>
      </c>
      <c r="E80" s="288" t="str">
        <f t="array" ref="E80">IFERROR(INDEX('2_Data_Pelanggan'!$D$5:$D$499,MATCH($B80,'2_Data_Pelanggan'!$O$5:$O$499,0)),"")</f>
        <v>SUSIYAH</v>
      </c>
      <c r="F80" s="226" t="str">
        <f t="array" ref="F80">IFERROR(INDEX('2_Data_Pelanggan'!$H$5:$H$499,MATCH($B80,'2_Data_Pelanggan'!$O$5:$O$499,0)),"")</f>
        <v>CIWARAS</v>
      </c>
      <c r="G80" s="216" t="str">
        <f t="array" ref="G80">IFERROR(INDEX('2_Data_Pelanggan'!$I$5:$I$499,MATCH($B80,'2_Data_Pelanggan'!$O$5:$O$499,0))&amp;"/"&amp;INDEX('2_Data_Pelanggan'!$J$5:$J$499,MATCH($B80,'2_Data_Pelanggan'!$O$5:$O$499,0)),"")</f>
        <v>3/3</v>
      </c>
      <c r="H80" s="287">
        <f t="array" ref="H80">IFERROR(INDEX('2_Data_Pelanggan'!$M$5:$M$499,MATCH($B80,'2_Data_Pelanggan'!$O$5:$O$499,0)),"")</f>
        <v>20</v>
      </c>
      <c r="I80" s="287" t="str">
        <f t="array" ref="I80">IFERROR(INDEX('2_Data_Pelanggan'!$W$5:$W$499,MATCH($B80,'2_Data_Pelanggan'!$O$5:$O$499,0)),"")</f>
        <v>Aktif</v>
      </c>
      <c r="J80" s="107" t="str">
        <f t="array" ref="J80">IFERROR(IF(INDEX('2_Data_Pelanggan'!$F$5:$F$499,MATCH($B80,'2_Data_Pelanggan'!$O$5:$O$499,0))="","",HYPERLINK("https://wa.me/62"&amp;MID(INDEX('2_Data_Pelanggan'!$F$5:$F$499,MATCH($B80,'2_Data_Pelanggan'!$O$5:$O$499,0)),2,20),"Chat WA")),"")</f>
        <v>Chat WA</v>
      </c>
      <c r="K80" s="107" t="str">
        <f t="array" ref="K80">IFERROR(IF(INDEX('2_Data_Pelanggan'!$F$5:$F$499,MATCH($B80,'2_Data_Pelanggan'!$O$5:$O$499,0))="","",HYPERLINK("https://wa.me/62"&amp;MID(INDEX('2_Data_Pelanggan'!$F$5:$F$499,MATCH($B80,'2_Data_Pelanggan'!$O$5:$O$499,0)),2,LEN(INDEX('2_Data_Pelanggan'!$F$5:$F$499,MATCH($B80,'2_Data_Pelanggan'!$O$5:$O$499,0)))-1)&amp;"?text="&amp;SUBSTITUTE(SUBSTITUTE("Selamat "&amp;IF(HOUR(NOW())&lt;11,"Pagi",IF(HOUR(NOW())&lt;15,"Siang",IF(HOUR(NOW())&lt;18,"Sore","Malam")))&amp;" Bapak/Ibu "&amp;E80&amp;","&amp;CHAR(10)&amp;CHAR(10)&amp;"Mohon maaf mengganggu waktunya. Kami dari Tim Teknis ARMEDIA Net mendeteksi jaringan internet di rumah Bapak/Ibu sedang OFFLINE."&amp;CHAR(10)&amp;CHAR(10)&amp;"ID Pelanggan: "&amp;D80&amp;CHAR(10)&amp;CHAR(10)&amp;"Mohon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</row>
    <row r="81" ht="15.0" customHeight="1">
      <c r="A81" s="285">
        <v>61.0</v>
      </c>
      <c r="B81" s="286" t="s">
        <v>481</v>
      </c>
      <c r="C81" s="286" t="s">
        <v>1865</v>
      </c>
      <c r="D81" s="287" t="str">
        <f t="array" ref="D81">IFERROR(INDEX('2_Data_Pelanggan'!$B$5:$B$499,MATCH($B81,'2_Data_Pelanggan'!$O$5:$O$499,0)),"")</f>
        <v>ARM-0038</v>
      </c>
      <c r="E81" s="288" t="str">
        <f t="array" ref="E81">IFERROR(INDEX('2_Data_Pelanggan'!$D$5:$D$499,MATCH($B81,'2_Data_Pelanggan'!$O$5:$O$499,0)),"")</f>
        <v>ADITIA</v>
      </c>
      <c r="F81" s="226" t="str">
        <f t="array" ref="F81">IFERROR(INDEX('2_Data_Pelanggan'!$H$5:$H$499,MATCH($B81,'2_Data_Pelanggan'!$O$5:$O$499,0)),"")</f>
        <v>CIHONJE</v>
      </c>
      <c r="G81" s="216" t="str">
        <f t="array" ref="G81">IFERROR(INDEX('2_Data_Pelanggan'!$I$5:$I$499,MATCH($B81,'2_Data_Pelanggan'!$O$5:$O$499,0))&amp;"/"&amp;INDEX('2_Data_Pelanggan'!$J$5:$J$499,MATCH($B81,'2_Data_Pelanggan'!$O$5:$O$499,0)),"")</f>
        <v>/</v>
      </c>
      <c r="H81" s="287">
        <f t="array" ref="H81">IFERROR(INDEX('2_Data_Pelanggan'!$M$5:$M$499,MATCH($B81,'2_Data_Pelanggan'!$O$5:$O$499,0)),"")</f>
        <v>20</v>
      </c>
      <c r="I81" s="287" t="str">
        <f t="array" ref="I81">IFERROR(INDEX('2_Data_Pelanggan'!$W$5:$W$499,MATCH($B81,'2_Data_Pelanggan'!$O$5:$O$499,0)),"")</f>
        <v>Aktif</v>
      </c>
      <c r="J81" s="107" t="str">
        <f t="array" ref="J81">IFERROR(IF(INDEX('2_Data_Pelanggan'!$F$5:$F$499,MATCH($B81,'2_Data_Pelanggan'!$O$5:$O$499,0))="","",HYPERLINK("https://wa.me/62"&amp;MID(INDEX('2_Data_Pelanggan'!$F$5:$F$499,MATCH($B81,'2_Data_Pelanggan'!$O$5:$O$499,0)),2,20),"Chat WA")),"")</f>
        <v>Chat WA</v>
      </c>
      <c r="K81" s="107" t="str">
        <f t="array" ref="K81">IFERROR(IF(INDEX('2_Data_Pelanggan'!$F$5:$F$499,MATCH($B81,'2_Data_Pelanggan'!$O$5:$O$499,0))="","",HYPERLINK("https://wa.me/62"&amp;MID(INDEX('2_Data_Pelanggan'!$F$5:$F$499,MATCH($B81,'2_Data_Pelanggan'!$O$5:$O$499,0)),2,LEN(INDEX('2_Data_Pelanggan'!$F$5:$F$499,MATCH($B81,'2_Data_Pelanggan'!$O$5:$O$499,0)))-1)&amp;"?text="&amp;SUBSTITUTE(SUBSTITUTE("Selamat "&amp;IF(HOUR(NOW())&lt;11,"Pagi",IF(HOUR(NOW())&lt;15,"Siang",IF(HOUR(NOW())&lt;18,"Sore","Malam")))&amp;" Bapak/Ibu "&amp;E81&amp;","&amp;CHAR(10)&amp;CHAR(10)&amp;"Mohon maaf mengganggu waktunya. Kami dari Tim Teknis ARMEDIA Net mendeteksi jaringan internet di rumah Bapak/Ibu sedang OFFLINE."&amp;CHAR(10)&amp;CHAR(10)&amp;"ID Pelanggan: "&amp;D81&amp;CHAR(10)&amp;CHAR(10)&amp;"Mohon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</row>
    <row r="82" ht="15.0" customHeight="1">
      <c r="A82" s="285">
        <v>62.0</v>
      </c>
      <c r="B82" s="286" t="s">
        <v>488</v>
      </c>
      <c r="C82" s="286" t="s">
        <v>1865</v>
      </c>
      <c r="D82" s="287" t="str">
        <f t="array" ref="D82">IFERROR(INDEX('2_Data_Pelanggan'!$B$5:$B$499,MATCH($B82,'2_Data_Pelanggan'!$O$5:$O$499,0)),"")</f>
        <v>ARM-0039</v>
      </c>
      <c r="E82" s="288" t="str">
        <f t="array" ref="E82">IFERROR(INDEX('2_Data_Pelanggan'!$D$5:$D$499,MATCH($B82,'2_Data_Pelanggan'!$O$5:$O$499,0)),"")</f>
        <v>BALAI DESA CIHONJE</v>
      </c>
      <c r="F82" s="226" t="str">
        <f t="array" ref="F82">IFERROR(INDEX('2_Data_Pelanggan'!$H$5:$H$499,MATCH($B82,'2_Data_Pelanggan'!$O$5:$O$499,0)),"")</f>
        <v>CIHONJE</v>
      </c>
      <c r="G82" s="216" t="str">
        <f t="array" ref="G82">IFERROR(INDEX('2_Data_Pelanggan'!$I$5:$I$499,MATCH($B82,'2_Data_Pelanggan'!$O$5:$O$499,0))&amp;"/"&amp;INDEX('2_Data_Pelanggan'!$J$5:$J$499,MATCH($B82,'2_Data_Pelanggan'!$O$5:$O$499,0)),"")</f>
        <v>/</v>
      </c>
      <c r="H82" s="287">
        <f t="array" ref="H82">IFERROR(INDEX('2_Data_Pelanggan'!$M$5:$M$499,MATCH($B82,'2_Data_Pelanggan'!$O$5:$O$499,0)),"")</f>
        <v>20</v>
      </c>
      <c r="I82" s="287" t="str">
        <f t="array" ref="I82">IFERROR(INDEX('2_Data_Pelanggan'!$W$5:$W$499,MATCH($B82,'2_Data_Pelanggan'!$O$5:$O$499,0)),"")</f>
        <v>Aktif</v>
      </c>
      <c r="J82" s="107" t="str">
        <f t="array" ref="J82">IFERROR(IF(INDEX('2_Data_Pelanggan'!$F$5:$F$499,MATCH($B82,'2_Data_Pelanggan'!$O$5:$O$499,0))="","",HYPERLINK("https://wa.me/62"&amp;MID(INDEX('2_Data_Pelanggan'!$F$5:$F$499,MATCH($B82,'2_Data_Pelanggan'!$O$5:$O$499,0)),2,20),"Chat WA")),"")</f>
        <v/>
      </c>
      <c r="K82" s="107" t="str">
        <f t="array" ref="K82">IFERROR(IF(INDEX('2_Data_Pelanggan'!$F$5:$F$499,MATCH($B82,'2_Data_Pelanggan'!$O$5:$O$499,0))="","",HYPERLINK("https://wa.me/62"&amp;MID(INDEX('2_Data_Pelanggan'!$F$5:$F$499,MATCH($B82,'2_Data_Pelanggan'!$O$5:$O$499,0)),2,LEN(INDEX('2_Data_Pelanggan'!$F$5:$F$499,MATCH($B82,'2_Data_Pelanggan'!$O$5:$O$499,0)))-1)&amp;"?text="&amp;SUBSTITUTE(SUBSTITUTE("Selamat "&amp;IF(HOUR(NOW())&lt;11,"Pagi",IF(HOUR(NOW())&lt;15,"Siang",IF(HOUR(NOW())&lt;18,"Sore","Malam")))&amp;" Bapak/Ibu "&amp;E82&amp;","&amp;CHAR(10)&amp;CHAR(10)&amp;"Mohon maaf mengganggu waktunya. Kami dari Tim Teknis ARMEDIA Net mendeteksi jaringan internet di rumah Bapak/Ibu sedang OFFLINE."&amp;CHAR(10)&amp;CHAR(10)&amp;"ID Pelanggan: "&amp;D82&amp;CHAR(10)&amp;CHAR(10)&amp;"Mohon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</row>
    <row r="83" ht="15.0" customHeight="1">
      <c r="A83" s="285">
        <v>63.0</v>
      </c>
      <c r="B83" s="286" t="s">
        <v>497</v>
      </c>
      <c r="C83" s="286" t="s">
        <v>1865</v>
      </c>
      <c r="D83" s="287" t="str">
        <f t="array" ref="D83">IFERROR(INDEX('2_Data_Pelanggan'!$B$5:$B$499,MATCH($B83,'2_Data_Pelanggan'!$O$5:$O$499,0)),"")</f>
        <v>ARM-0040</v>
      </c>
      <c r="E83" s="288" t="str">
        <f t="array" ref="E83">IFERROR(INDEX('2_Data_Pelanggan'!$D$5:$D$499,MATCH($B83,'2_Data_Pelanggan'!$O$5:$O$499,0)),"")</f>
        <v>IPUNG PURWANINGSIH</v>
      </c>
      <c r="F83" s="226" t="str">
        <f t="array" ref="F83">IFERROR(INDEX('2_Data_Pelanggan'!$H$5:$H$499,MATCH($B83,'2_Data_Pelanggan'!$O$5:$O$499,0)),"")</f>
        <v>CIHONJE</v>
      </c>
      <c r="G83" s="216" t="str">
        <f t="array" ref="G83">IFERROR(INDEX('2_Data_Pelanggan'!$I$5:$I$499,MATCH($B83,'2_Data_Pelanggan'!$O$5:$O$499,0))&amp;"/"&amp;INDEX('2_Data_Pelanggan'!$J$5:$J$499,MATCH($B83,'2_Data_Pelanggan'!$O$5:$O$499,0)),"")</f>
        <v>4/3</v>
      </c>
      <c r="H83" s="287">
        <f t="array" ref="H83">IFERROR(INDEX('2_Data_Pelanggan'!$M$5:$M$499,MATCH($B83,'2_Data_Pelanggan'!$O$5:$O$499,0)),"")</f>
        <v>20</v>
      </c>
      <c r="I83" s="287" t="str">
        <f t="array" ref="I83">IFERROR(INDEX('2_Data_Pelanggan'!$W$5:$W$499,MATCH($B83,'2_Data_Pelanggan'!$O$5:$O$499,0)),"")</f>
        <v>Aktif</v>
      </c>
      <c r="J83" s="107" t="str">
        <f t="array" ref="J83">IFERROR(IF(INDEX('2_Data_Pelanggan'!$F$5:$F$499,MATCH($B83,'2_Data_Pelanggan'!$O$5:$O$499,0))="","",HYPERLINK("https://wa.me/62"&amp;MID(INDEX('2_Data_Pelanggan'!$F$5:$F$499,MATCH($B83,'2_Data_Pelanggan'!$O$5:$O$499,0)),2,20),"Chat WA")),"")</f>
        <v>Chat WA</v>
      </c>
      <c r="K83" s="107" t="str">
        <f t="array" ref="K83">IFERROR(IF(INDEX('2_Data_Pelanggan'!$F$5:$F$499,MATCH($B83,'2_Data_Pelanggan'!$O$5:$O$499,0))="","",HYPERLINK("https://wa.me/62"&amp;MID(INDEX('2_Data_Pelanggan'!$F$5:$F$499,MATCH($B83,'2_Data_Pelanggan'!$O$5:$O$499,0)),2,LEN(INDEX('2_Data_Pelanggan'!$F$5:$F$499,MATCH($B83,'2_Data_Pelanggan'!$O$5:$O$499,0)))-1)&amp;"?text="&amp;SUBSTITUTE(SUBSTITUTE("Selamat "&amp;IF(HOUR(NOW())&lt;11,"Pagi",IF(HOUR(NOW())&lt;15,"Siang",IF(HOUR(NOW())&lt;18,"Sore","Malam")))&amp;" Bapak/Ibu "&amp;E83&amp;","&amp;CHAR(10)&amp;CHAR(10)&amp;"Mohon maaf mengganggu waktunya. Kami dari Tim Teknis ARMEDIA Net mendeteksi jaringan internet di rumah Bapak/Ibu sedang OFFLINE."&amp;CHAR(10)&amp;CHAR(10)&amp;"ID Pelanggan: "&amp;D83&amp;CHAR(10)&amp;CHAR(10)&amp;"Mohon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</row>
    <row r="84" ht="15.0" customHeight="1">
      <c r="A84" s="285">
        <v>64.0</v>
      </c>
      <c r="B84" s="286" t="s">
        <v>514</v>
      </c>
      <c r="C84" s="286" t="s">
        <v>1865</v>
      </c>
      <c r="D84" s="287" t="str">
        <f t="array" ref="D84">IFERROR(INDEX('2_Data_Pelanggan'!$B$5:$B$499,MATCH($B84,'2_Data_Pelanggan'!$O$5:$O$499,0)),"")</f>
        <v>ARM-0042</v>
      </c>
      <c r="E84" s="288" t="str">
        <f t="array" ref="E84">IFERROR(INDEX('2_Data_Pelanggan'!$D$5:$D$499,MATCH($B84,'2_Data_Pelanggan'!$O$5:$O$499,0)),"")</f>
        <v>WATIM WALUYO</v>
      </c>
      <c r="F84" s="226" t="str">
        <f t="array" ref="F84">IFERROR(INDEX('2_Data_Pelanggan'!$H$5:$H$499,MATCH($B84,'2_Data_Pelanggan'!$O$5:$O$499,0)),"")</f>
        <v>CIHONJE</v>
      </c>
      <c r="G84" s="216" t="str">
        <f t="array" ref="G84">IFERROR(INDEX('2_Data_Pelanggan'!$I$5:$I$499,MATCH($B84,'2_Data_Pelanggan'!$O$5:$O$499,0))&amp;"/"&amp;INDEX('2_Data_Pelanggan'!$J$5:$J$499,MATCH($B84,'2_Data_Pelanggan'!$O$5:$O$499,0)),"")</f>
        <v>4/2</v>
      </c>
      <c r="H84" s="287">
        <f t="array" ref="H84">IFERROR(INDEX('2_Data_Pelanggan'!$M$5:$M$499,MATCH($B84,'2_Data_Pelanggan'!$O$5:$O$499,0)),"")</f>
        <v>20</v>
      </c>
      <c r="I84" s="287" t="str">
        <f t="array" ref="I84">IFERROR(INDEX('2_Data_Pelanggan'!$W$5:$W$499,MATCH($B84,'2_Data_Pelanggan'!$O$5:$O$499,0)),"")</f>
        <v>Aktif</v>
      </c>
      <c r="J84" s="107" t="str">
        <f t="array" ref="J84">IFERROR(IF(INDEX('2_Data_Pelanggan'!$F$5:$F$499,MATCH($B84,'2_Data_Pelanggan'!$O$5:$O$499,0))="","",HYPERLINK("https://wa.me/62"&amp;MID(INDEX('2_Data_Pelanggan'!$F$5:$F$499,MATCH($B84,'2_Data_Pelanggan'!$O$5:$O$499,0)),2,20),"Chat WA")),"")</f>
        <v>Chat WA</v>
      </c>
      <c r="K84" s="107" t="str">
        <f t="array" ref="K84">IFERROR(IF(INDEX('2_Data_Pelanggan'!$F$5:$F$499,MATCH($B84,'2_Data_Pelanggan'!$O$5:$O$499,0))="","",HYPERLINK("https://wa.me/62"&amp;MID(INDEX('2_Data_Pelanggan'!$F$5:$F$499,MATCH($B84,'2_Data_Pelanggan'!$O$5:$O$499,0)),2,LEN(INDEX('2_Data_Pelanggan'!$F$5:$F$499,MATCH($B84,'2_Data_Pelanggan'!$O$5:$O$499,0)))-1)&amp;"?text="&amp;SUBSTITUTE(SUBSTITUTE("Selamat "&amp;IF(HOUR(NOW())&lt;11,"Pagi",IF(HOUR(NOW())&lt;15,"Siang",IF(HOUR(NOW())&lt;18,"Sore","Malam")))&amp;" Bapak/Ibu "&amp;E84&amp;","&amp;CHAR(10)&amp;CHAR(10)&amp;"Mohon maaf mengganggu waktunya. Kami dari Tim Teknis ARMEDIA Net mendeteksi jaringan internet di rumah Bapak/Ibu sedang OFFLINE."&amp;CHAR(10)&amp;CHAR(10)&amp;"ID Pelanggan: "&amp;D84&amp;CHAR(10)&amp;CHAR(10)&amp;"Mohon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</row>
    <row r="85" ht="15.0" customHeight="1">
      <c r="A85" s="285">
        <v>65.0</v>
      </c>
      <c r="B85" s="286" t="s">
        <v>524</v>
      </c>
      <c r="C85" s="286" t="s">
        <v>1865</v>
      </c>
      <c r="D85" s="287" t="str">
        <f t="array" ref="D85">IFERROR(INDEX('2_Data_Pelanggan'!$B$5:$B$499,MATCH($B85,'2_Data_Pelanggan'!$O$5:$O$499,0)),"")</f>
        <v>ARM-0043</v>
      </c>
      <c r="E85" s="288" t="str">
        <f t="array" ref="E85">IFERROR(INDEX('2_Data_Pelanggan'!$D$5:$D$499,MATCH($B85,'2_Data_Pelanggan'!$O$5:$O$499,0)),"")</f>
        <v>RASUM</v>
      </c>
      <c r="F85" s="226" t="str">
        <f t="array" ref="F85">IFERROR(INDEX('2_Data_Pelanggan'!$H$5:$H$499,MATCH($B85,'2_Data_Pelanggan'!$O$5:$O$499,0)),"")</f>
        <v>GUMELAR </v>
      </c>
      <c r="G85" s="216" t="str">
        <f t="array" ref="G85">IFERROR(INDEX('2_Data_Pelanggan'!$I$5:$I$499,MATCH($B85,'2_Data_Pelanggan'!$O$5:$O$499,0))&amp;"/"&amp;INDEX('2_Data_Pelanggan'!$J$5:$J$499,MATCH($B85,'2_Data_Pelanggan'!$O$5:$O$499,0)),"")</f>
        <v>5/1</v>
      </c>
      <c r="H85" s="287">
        <f t="array" ref="H85">IFERROR(INDEX('2_Data_Pelanggan'!$M$5:$M$499,MATCH($B85,'2_Data_Pelanggan'!$O$5:$O$499,0)),"")</f>
        <v>20</v>
      </c>
      <c r="I85" s="287" t="str">
        <f t="array" ref="I85">IFERROR(INDEX('2_Data_Pelanggan'!$W$5:$W$499,MATCH($B85,'2_Data_Pelanggan'!$O$5:$O$499,0)),"")</f>
        <v>Aktif</v>
      </c>
      <c r="J85" s="107" t="str">
        <f t="array" ref="J85">IFERROR(IF(INDEX('2_Data_Pelanggan'!$F$5:$F$499,MATCH($B85,'2_Data_Pelanggan'!$O$5:$O$499,0))="","",HYPERLINK("https://wa.me/62"&amp;MID(INDEX('2_Data_Pelanggan'!$F$5:$F$499,MATCH($B85,'2_Data_Pelanggan'!$O$5:$O$499,0)),2,20),"Chat WA")),"")</f>
        <v>Chat WA</v>
      </c>
      <c r="K85" s="107" t="str">
        <f t="array" ref="K85">IFERROR(IF(INDEX('2_Data_Pelanggan'!$F$5:$F$499,MATCH($B85,'2_Data_Pelanggan'!$O$5:$O$499,0))="","",HYPERLINK("https://wa.me/62"&amp;MID(INDEX('2_Data_Pelanggan'!$F$5:$F$499,MATCH($B85,'2_Data_Pelanggan'!$O$5:$O$499,0)),2,LEN(INDEX('2_Data_Pelanggan'!$F$5:$F$499,MATCH($B85,'2_Data_Pelanggan'!$O$5:$O$499,0)))-1)&amp;"?text="&amp;SUBSTITUTE(SUBSTITUTE("Selamat "&amp;IF(HOUR(NOW())&lt;11,"Pagi",IF(HOUR(NOW())&lt;15,"Siang",IF(HOUR(NOW())&lt;18,"Sore","Malam")))&amp;" Bapak/Ibu "&amp;E85&amp;","&amp;CHAR(10)&amp;CHAR(10)&amp;"Mohon maaf mengganggu waktunya. Kami dari Tim Teknis ARMEDIA Net mendeteksi jaringan internet di rumah Bapak/Ibu sedang OFFLINE."&amp;CHAR(10)&amp;CHAR(10)&amp;"ID Pelanggan: "&amp;D85&amp;CHAR(10)&amp;CHAR(10)&amp;"Mohon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</row>
    <row r="86" ht="15.0" customHeight="1">
      <c r="A86" s="285">
        <v>66.0</v>
      </c>
      <c r="B86" s="286" t="s">
        <v>533</v>
      </c>
      <c r="C86" s="286" t="s">
        <v>1865</v>
      </c>
      <c r="D86" s="287" t="str">
        <f t="array" ref="D86">IFERROR(INDEX('2_Data_Pelanggan'!$B$5:$B$499,MATCH($B86,'2_Data_Pelanggan'!$O$5:$O$499,0)),"")</f>
        <v>ARM-0044</v>
      </c>
      <c r="E86" s="288" t="str">
        <f t="array" ref="E86">IFERROR(INDEX('2_Data_Pelanggan'!$D$5:$D$499,MATCH($B86,'2_Data_Pelanggan'!$O$5:$O$499,0)),"")</f>
        <v>ESTININGSIH</v>
      </c>
      <c r="F86" s="226" t="str">
        <f t="array" ref="F86">IFERROR(INDEX('2_Data_Pelanggan'!$H$5:$H$499,MATCH($B86,'2_Data_Pelanggan'!$O$5:$O$499,0)),"")</f>
        <v>GUMELAR </v>
      </c>
      <c r="G86" s="216" t="str">
        <f t="array" ref="G86">IFERROR(INDEX('2_Data_Pelanggan'!$I$5:$I$499,MATCH($B86,'2_Data_Pelanggan'!$O$5:$O$499,0))&amp;"/"&amp;INDEX('2_Data_Pelanggan'!$J$5:$J$499,MATCH($B86,'2_Data_Pelanggan'!$O$5:$O$499,0)),"")</f>
        <v>5/1</v>
      </c>
      <c r="H86" s="287">
        <f t="array" ref="H86">IFERROR(INDEX('2_Data_Pelanggan'!$M$5:$M$499,MATCH($B86,'2_Data_Pelanggan'!$O$5:$O$499,0)),"")</f>
        <v>20</v>
      </c>
      <c r="I86" s="287" t="str">
        <f t="array" ref="I86">IFERROR(INDEX('2_Data_Pelanggan'!$W$5:$W$499,MATCH($B86,'2_Data_Pelanggan'!$O$5:$O$499,0)),"")</f>
        <v>Aktif</v>
      </c>
      <c r="J86" s="107" t="str">
        <f t="array" ref="J86">IFERROR(IF(INDEX('2_Data_Pelanggan'!$F$5:$F$499,MATCH($B86,'2_Data_Pelanggan'!$O$5:$O$499,0))="","",HYPERLINK("https://wa.me/62"&amp;MID(INDEX('2_Data_Pelanggan'!$F$5:$F$499,MATCH($B86,'2_Data_Pelanggan'!$O$5:$O$499,0)),2,20),"Chat WA")),"")</f>
        <v>Chat WA</v>
      </c>
      <c r="K86" s="107" t="str">
        <f t="array" ref="K86">IFERROR(IF(INDEX('2_Data_Pelanggan'!$F$5:$F$499,MATCH($B86,'2_Data_Pelanggan'!$O$5:$O$499,0))="","",HYPERLINK("https://wa.me/62"&amp;MID(INDEX('2_Data_Pelanggan'!$F$5:$F$499,MATCH($B86,'2_Data_Pelanggan'!$O$5:$O$499,0)),2,LEN(INDEX('2_Data_Pelanggan'!$F$5:$F$499,MATCH($B86,'2_Data_Pelanggan'!$O$5:$O$499,0)))-1)&amp;"?text="&amp;SUBSTITUTE(SUBSTITUTE("Selamat "&amp;IF(HOUR(NOW())&lt;11,"Pagi",IF(HOUR(NOW())&lt;15,"Siang",IF(HOUR(NOW())&lt;18,"Sore","Malam")))&amp;" Bapak/Ibu "&amp;E86&amp;","&amp;CHAR(10)&amp;CHAR(10)&amp;"Mohon maaf mengganggu waktunya. Kami dari Tim Teknis ARMEDIA Net mendeteksi jaringan internet di rumah Bapak/Ibu sedang OFFLINE."&amp;CHAR(10)&amp;CHAR(10)&amp;"ID Pelanggan: "&amp;D86&amp;CHAR(10)&amp;CHAR(10)&amp;"Mohon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</row>
    <row r="87" ht="15.0" customHeight="1">
      <c r="A87" s="285">
        <v>67.0</v>
      </c>
      <c r="B87" s="286" t="s">
        <v>542</v>
      </c>
      <c r="C87" s="286" t="s">
        <v>1865</v>
      </c>
      <c r="D87" s="287" t="str">
        <f t="array" ref="D87">IFERROR(INDEX('2_Data_Pelanggan'!$B$5:$B$499,MATCH($B87,'2_Data_Pelanggan'!$O$5:$O$499,0)),"")</f>
        <v>ARM-0045</v>
      </c>
      <c r="E87" s="288" t="str">
        <f t="array" ref="E87">IFERROR(INDEX('2_Data_Pelanggan'!$D$5:$D$499,MATCH($B87,'2_Data_Pelanggan'!$O$5:$O$499,0)),"")</f>
        <v>DARTAM</v>
      </c>
      <c r="F87" s="226" t="str">
        <f t="array" ref="F87">IFERROR(INDEX('2_Data_Pelanggan'!$H$5:$H$499,MATCH($B87,'2_Data_Pelanggan'!$O$5:$O$499,0)),"")</f>
        <v>CILANGKAP</v>
      </c>
      <c r="G87" s="216" t="str">
        <f t="array" ref="G87">IFERROR(INDEX('2_Data_Pelanggan'!$I$5:$I$499,MATCH($B87,'2_Data_Pelanggan'!$O$5:$O$499,0))&amp;"/"&amp;INDEX('2_Data_Pelanggan'!$J$5:$J$499,MATCH($B87,'2_Data_Pelanggan'!$O$5:$O$499,0)),"")</f>
        <v>1/4</v>
      </c>
      <c r="H87" s="287">
        <f t="array" ref="H87">IFERROR(INDEX('2_Data_Pelanggan'!$M$5:$M$499,MATCH($B87,'2_Data_Pelanggan'!$O$5:$O$499,0)),"")</f>
        <v>20</v>
      </c>
      <c r="I87" s="287" t="str">
        <f t="array" ref="I87">IFERROR(INDEX('2_Data_Pelanggan'!$W$5:$W$499,MATCH($B87,'2_Data_Pelanggan'!$O$5:$O$499,0)),"")</f>
        <v>Aktif</v>
      </c>
      <c r="J87" s="107" t="str">
        <f t="array" ref="J87">IFERROR(IF(INDEX('2_Data_Pelanggan'!$F$5:$F$499,MATCH($B87,'2_Data_Pelanggan'!$O$5:$O$499,0))="","",HYPERLINK("https://wa.me/62"&amp;MID(INDEX('2_Data_Pelanggan'!$F$5:$F$499,MATCH($B87,'2_Data_Pelanggan'!$O$5:$O$499,0)),2,20),"Chat WA")),"")</f>
        <v>Chat WA</v>
      </c>
      <c r="K87" s="107" t="str">
        <f t="array" ref="K87">IFERROR(IF(INDEX('2_Data_Pelanggan'!$F$5:$F$499,MATCH($B87,'2_Data_Pelanggan'!$O$5:$O$499,0))="","",HYPERLINK("https://wa.me/62"&amp;MID(INDEX('2_Data_Pelanggan'!$F$5:$F$499,MATCH($B87,'2_Data_Pelanggan'!$O$5:$O$499,0)),2,LEN(INDEX('2_Data_Pelanggan'!$F$5:$F$499,MATCH($B87,'2_Data_Pelanggan'!$O$5:$O$499,0)))-1)&amp;"?text="&amp;SUBSTITUTE(SUBSTITUTE("Selamat "&amp;IF(HOUR(NOW())&lt;11,"Pagi",IF(HOUR(NOW())&lt;15,"Siang",IF(HOUR(NOW())&lt;18,"Sore","Malam")))&amp;" Bapak/Ibu "&amp;E87&amp;","&amp;CHAR(10)&amp;CHAR(10)&amp;"Mohon maaf mengganggu waktunya. Kami dari Tim Teknis ARMEDIA Net mendeteksi jaringan internet di rumah Bapak/Ibu sedang OFFLINE."&amp;CHAR(10)&amp;CHAR(10)&amp;"ID Pelanggan: "&amp;D87&amp;CHAR(10)&amp;CHAR(10)&amp;"Mohon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</row>
    <row r="88" ht="15.0" customHeight="1">
      <c r="A88" s="285">
        <v>68.0</v>
      </c>
      <c r="B88" s="286" t="s">
        <v>557</v>
      </c>
      <c r="C88" s="286" t="s">
        <v>1865</v>
      </c>
      <c r="D88" s="287" t="str">
        <f t="array" ref="D88">IFERROR(INDEX('2_Data_Pelanggan'!$B$5:$B$499,MATCH($B88,'2_Data_Pelanggan'!$O$5:$O$499,0)),"")</f>
        <v>ARM-0047</v>
      </c>
      <c r="E88" s="288" t="str">
        <f t="array" ref="E88">IFERROR(INDEX('2_Data_Pelanggan'!$D$5:$D$499,MATCH($B88,'2_Data_Pelanggan'!$O$5:$O$499,0)),"")</f>
        <v>TAMIARJO TARSIWAN</v>
      </c>
      <c r="F88" s="226" t="str">
        <f t="array" ref="F88">IFERROR(INDEX('2_Data_Pelanggan'!$H$5:$H$499,MATCH($B88,'2_Data_Pelanggan'!$O$5:$O$499,0)),"")</f>
        <v>GUMELAR</v>
      </c>
      <c r="G88" s="216" t="str">
        <f t="array" ref="G88">IFERROR(INDEX('2_Data_Pelanggan'!$I$5:$I$499,MATCH($B88,'2_Data_Pelanggan'!$O$5:$O$499,0))&amp;"/"&amp;INDEX('2_Data_Pelanggan'!$J$5:$J$499,MATCH($B88,'2_Data_Pelanggan'!$O$5:$O$499,0)),"")</f>
        <v>5/5</v>
      </c>
      <c r="H88" s="287">
        <f t="array" ref="H88">IFERROR(INDEX('2_Data_Pelanggan'!$M$5:$M$499,MATCH($B88,'2_Data_Pelanggan'!$O$5:$O$499,0)),"")</f>
        <v>20</v>
      </c>
      <c r="I88" s="287" t="str">
        <f t="array" ref="I88">IFERROR(INDEX('2_Data_Pelanggan'!$W$5:$W$499,MATCH($B88,'2_Data_Pelanggan'!$O$5:$O$499,0)),"")</f>
        <v>Aktif</v>
      </c>
      <c r="J88" s="107" t="str">
        <f t="array" ref="J88">IFERROR(IF(INDEX('2_Data_Pelanggan'!$F$5:$F$499,MATCH($B88,'2_Data_Pelanggan'!$O$5:$O$499,0))="","",HYPERLINK("https://wa.me/62"&amp;MID(INDEX('2_Data_Pelanggan'!$F$5:$F$499,MATCH($B88,'2_Data_Pelanggan'!$O$5:$O$499,0)),2,20),"Chat WA")),"")</f>
        <v>Chat WA</v>
      </c>
      <c r="K88" s="107" t="str">
        <f t="array" ref="K88">IFERROR(IF(INDEX('2_Data_Pelanggan'!$F$5:$F$499,MATCH($B88,'2_Data_Pelanggan'!$O$5:$O$499,0))="","",HYPERLINK("https://wa.me/62"&amp;MID(INDEX('2_Data_Pelanggan'!$F$5:$F$499,MATCH($B88,'2_Data_Pelanggan'!$O$5:$O$499,0)),2,LEN(INDEX('2_Data_Pelanggan'!$F$5:$F$499,MATCH($B88,'2_Data_Pelanggan'!$O$5:$O$499,0)))-1)&amp;"?text="&amp;SUBSTITUTE(SUBSTITUTE("Selamat "&amp;IF(HOUR(NOW())&lt;11,"Pagi",IF(HOUR(NOW())&lt;15,"Siang",IF(HOUR(NOW())&lt;18,"Sore","Malam")))&amp;" Bapak/Ibu "&amp;E88&amp;","&amp;CHAR(10)&amp;CHAR(10)&amp;"Mohon maaf mengganggu waktunya. Kami dari Tim Teknis ARMEDIA Net mendeteksi jaringan internet di rumah Bapak/Ibu sedang OFFLINE."&amp;CHAR(10)&amp;CHAR(10)&amp;"ID Pelanggan: "&amp;D88&amp;CHAR(10)&amp;CHAR(10)&amp;"Mohon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</row>
    <row r="89" ht="15.0" customHeight="1">
      <c r="A89" s="285">
        <v>69.0</v>
      </c>
      <c r="B89" s="286" t="s">
        <v>588</v>
      </c>
      <c r="C89" s="286" t="s">
        <v>1865</v>
      </c>
      <c r="D89" s="287" t="str">
        <f t="array" ref="D89">IFERROR(INDEX('2_Data_Pelanggan'!$B$5:$B$499,MATCH($B89,'2_Data_Pelanggan'!$O$5:$O$499,0)),"")</f>
        <v>ARM-0051</v>
      </c>
      <c r="E89" s="288" t="str">
        <f t="array" ref="E89">IFERROR(INDEX('2_Data_Pelanggan'!$D$5:$D$499,MATCH($B89,'2_Data_Pelanggan'!$O$5:$O$499,0)),"")</f>
        <v>NARSO</v>
      </c>
      <c r="F89" s="226" t="str">
        <f t="array" ref="F89">IFERROR(INDEX('2_Data_Pelanggan'!$H$5:$H$499,MATCH($B89,'2_Data_Pelanggan'!$O$5:$O$499,0)),"")</f>
        <v>GUMELAR</v>
      </c>
      <c r="G89" s="216" t="str">
        <f t="array" ref="G89">IFERROR(INDEX('2_Data_Pelanggan'!$I$5:$I$499,MATCH($B89,'2_Data_Pelanggan'!$O$5:$O$499,0))&amp;"/"&amp;INDEX('2_Data_Pelanggan'!$J$5:$J$499,MATCH($B89,'2_Data_Pelanggan'!$O$5:$O$499,0)),"")</f>
        <v>9/4</v>
      </c>
      <c r="H89" s="287">
        <f t="array" ref="H89">IFERROR(INDEX('2_Data_Pelanggan'!$M$5:$M$499,MATCH($B89,'2_Data_Pelanggan'!$O$5:$O$499,0)),"")</f>
        <v>20</v>
      </c>
      <c r="I89" s="287" t="str">
        <f t="array" ref="I89">IFERROR(INDEX('2_Data_Pelanggan'!$W$5:$W$499,MATCH($B89,'2_Data_Pelanggan'!$O$5:$O$499,0)),"")</f>
        <v>Aktif</v>
      </c>
      <c r="J89" s="107" t="str">
        <f t="array" ref="J89">IFERROR(IF(INDEX('2_Data_Pelanggan'!$F$5:$F$499,MATCH($B89,'2_Data_Pelanggan'!$O$5:$O$499,0))="","",HYPERLINK("https://wa.me/62"&amp;MID(INDEX('2_Data_Pelanggan'!$F$5:$F$499,MATCH($B89,'2_Data_Pelanggan'!$O$5:$O$499,0)),2,20),"Chat WA")),"")</f>
        <v>Chat WA</v>
      </c>
      <c r="K89" s="107" t="str">
        <f t="array" ref="K89">IFERROR(IF(INDEX('2_Data_Pelanggan'!$F$5:$F$499,MATCH($B89,'2_Data_Pelanggan'!$O$5:$O$499,0))="","",HYPERLINK("https://wa.me/62"&amp;MID(INDEX('2_Data_Pelanggan'!$F$5:$F$499,MATCH($B89,'2_Data_Pelanggan'!$O$5:$O$499,0)),2,LEN(INDEX('2_Data_Pelanggan'!$F$5:$F$499,MATCH($B89,'2_Data_Pelanggan'!$O$5:$O$499,0)))-1)&amp;"?text="&amp;SUBSTITUTE(SUBSTITUTE("Selamat "&amp;IF(HOUR(NOW())&lt;11,"Pagi",IF(HOUR(NOW())&lt;15,"Siang",IF(HOUR(NOW())&lt;18,"Sore","Malam")))&amp;" Bapak/Ibu "&amp;E89&amp;","&amp;CHAR(10)&amp;CHAR(10)&amp;"Mohon maaf mengganggu waktunya. Kami dari Tim Teknis ARMEDIA Net mendeteksi jaringan internet di rumah Bapak/Ibu sedang OFFLINE."&amp;CHAR(10)&amp;CHAR(10)&amp;"ID Pelanggan: "&amp;D89&amp;CHAR(10)&amp;CHAR(10)&amp;"Mohon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</row>
    <row r="90" ht="15.0" customHeight="1">
      <c r="A90" s="285">
        <v>70.0</v>
      </c>
      <c r="B90" s="286" t="s">
        <v>595</v>
      </c>
      <c r="C90" s="286" t="s">
        <v>1865</v>
      </c>
      <c r="D90" s="287" t="str">
        <f t="array" ref="D90">IFERROR(INDEX('2_Data_Pelanggan'!$B$5:$B$499,MATCH($B90,'2_Data_Pelanggan'!$O$5:$O$499,0)),"")</f>
        <v>ARM-0052</v>
      </c>
      <c r="E90" s="288" t="str">
        <f t="array" ref="E90">IFERROR(INDEX('2_Data_Pelanggan'!$D$5:$D$499,MATCH($B90,'2_Data_Pelanggan'!$O$5:$O$499,0)),"")</f>
        <v>RAPIN</v>
      </c>
      <c r="F90" s="226" t="str">
        <f t="array" ref="F90">IFERROR(INDEX('2_Data_Pelanggan'!$H$5:$H$499,MATCH($B90,'2_Data_Pelanggan'!$O$5:$O$499,0)),"")</f>
        <v>GUMELAR</v>
      </c>
      <c r="G90" s="216" t="str">
        <f t="array" ref="G90">IFERROR(INDEX('2_Data_Pelanggan'!$I$5:$I$499,MATCH($B90,'2_Data_Pelanggan'!$O$5:$O$499,0))&amp;"/"&amp;INDEX('2_Data_Pelanggan'!$J$5:$J$499,MATCH($B90,'2_Data_Pelanggan'!$O$5:$O$499,0)),"")</f>
        <v>9/4</v>
      </c>
      <c r="H90" s="287">
        <f t="array" ref="H90">IFERROR(INDEX('2_Data_Pelanggan'!$M$5:$M$499,MATCH($B90,'2_Data_Pelanggan'!$O$5:$O$499,0)),"")</f>
        <v>20</v>
      </c>
      <c r="I90" s="287" t="str">
        <f t="array" ref="I90">IFERROR(INDEX('2_Data_Pelanggan'!$W$5:$W$499,MATCH($B90,'2_Data_Pelanggan'!$O$5:$O$499,0)),"")</f>
        <v>Aktif</v>
      </c>
      <c r="J90" s="107" t="str">
        <f t="array" ref="J90">IFERROR(IF(INDEX('2_Data_Pelanggan'!$F$5:$F$499,MATCH($B90,'2_Data_Pelanggan'!$O$5:$O$499,0))="","",HYPERLINK("https://wa.me/62"&amp;MID(INDEX('2_Data_Pelanggan'!$F$5:$F$499,MATCH($B90,'2_Data_Pelanggan'!$O$5:$O$499,0)),2,20),"Chat WA")),"")</f>
        <v>Chat WA</v>
      </c>
      <c r="K90" s="107" t="str">
        <f t="array" ref="K90">IFERROR(IF(INDEX('2_Data_Pelanggan'!$F$5:$F$499,MATCH($B90,'2_Data_Pelanggan'!$O$5:$O$499,0))="","",HYPERLINK("https://wa.me/62"&amp;MID(INDEX('2_Data_Pelanggan'!$F$5:$F$499,MATCH($B90,'2_Data_Pelanggan'!$O$5:$O$499,0)),2,LEN(INDEX('2_Data_Pelanggan'!$F$5:$F$499,MATCH($B90,'2_Data_Pelanggan'!$O$5:$O$499,0)))-1)&amp;"?text="&amp;SUBSTITUTE(SUBSTITUTE("Selamat "&amp;IF(HOUR(NOW())&lt;11,"Pagi",IF(HOUR(NOW())&lt;15,"Siang",IF(HOUR(NOW())&lt;18,"Sore","Malam")))&amp;" Bapak/Ibu "&amp;E90&amp;","&amp;CHAR(10)&amp;CHAR(10)&amp;"Mohon maaf mengganggu waktunya. Kami dari Tim Teknis ARMEDIA Net mendeteksi jaringan internet di rumah Bapak/Ibu sedang OFFLINE."&amp;CHAR(10)&amp;CHAR(10)&amp;"ID Pelanggan: "&amp;D90&amp;CHAR(10)&amp;CHAR(10)&amp;"Mohon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</row>
    <row r="91" ht="15.0" customHeight="1">
      <c r="A91" s="285">
        <v>71.0</v>
      </c>
      <c r="B91" s="286" t="s">
        <v>573</v>
      </c>
      <c r="C91" s="286" t="s">
        <v>1865</v>
      </c>
      <c r="D91" s="287" t="str">
        <f t="array" ref="D91">IFERROR(INDEX('2_Data_Pelanggan'!$B$5:$B$499,MATCH($B91,'2_Data_Pelanggan'!$O$5:$O$499,0)),"")</f>
        <v>ARM-0049</v>
      </c>
      <c r="E91" s="288" t="str">
        <f t="array" ref="E91">IFERROR(INDEX('2_Data_Pelanggan'!$D$5:$D$499,MATCH($B91,'2_Data_Pelanggan'!$O$5:$O$499,0)),"")</f>
        <v>SUSMIATI-DARTO</v>
      </c>
      <c r="F91" s="226" t="str">
        <f t="array" ref="F91">IFERROR(INDEX('2_Data_Pelanggan'!$H$5:$H$499,MATCH($B91,'2_Data_Pelanggan'!$O$5:$O$499,0)),"")</f>
        <v>GUMELAR</v>
      </c>
      <c r="G91" s="216" t="str">
        <f t="array" ref="G91">IFERROR(INDEX('2_Data_Pelanggan'!$I$5:$I$499,MATCH($B91,'2_Data_Pelanggan'!$O$5:$O$499,0))&amp;"/"&amp;INDEX('2_Data_Pelanggan'!$J$5:$J$499,MATCH($B91,'2_Data_Pelanggan'!$O$5:$O$499,0)),"")</f>
        <v>9/5</v>
      </c>
      <c r="H91" s="287">
        <f t="array" ref="H91">IFERROR(INDEX('2_Data_Pelanggan'!$M$5:$M$499,MATCH($B91,'2_Data_Pelanggan'!$O$5:$O$499,0)),"")</f>
        <v>20</v>
      </c>
      <c r="I91" s="287" t="str">
        <f t="array" ref="I91">IFERROR(INDEX('2_Data_Pelanggan'!$W$5:$W$499,MATCH($B91,'2_Data_Pelanggan'!$O$5:$O$499,0)),"")</f>
        <v>Aktif</v>
      </c>
      <c r="J91" s="107" t="str">
        <f t="array" ref="J91">IFERROR(IF(INDEX('2_Data_Pelanggan'!$F$5:$F$499,MATCH($B91,'2_Data_Pelanggan'!$O$5:$O$499,0))="","",HYPERLINK("https://wa.me/62"&amp;MID(INDEX('2_Data_Pelanggan'!$F$5:$F$499,MATCH($B91,'2_Data_Pelanggan'!$O$5:$O$499,0)),2,20),"Chat WA")),"")</f>
        <v>Chat WA</v>
      </c>
      <c r="K91" s="107" t="str">
        <f t="array" ref="K91">IFERROR(IF(INDEX('2_Data_Pelanggan'!$F$5:$F$499,MATCH($B91,'2_Data_Pelanggan'!$O$5:$O$499,0))="","",HYPERLINK("https://wa.me/62"&amp;MID(INDEX('2_Data_Pelanggan'!$F$5:$F$499,MATCH($B91,'2_Data_Pelanggan'!$O$5:$O$499,0)),2,LEN(INDEX('2_Data_Pelanggan'!$F$5:$F$499,MATCH($B91,'2_Data_Pelanggan'!$O$5:$O$499,0)))-1)&amp;"?text="&amp;SUBSTITUTE(SUBSTITUTE("Selamat "&amp;IF(HOUR(NOW())&lt;11,"Pagi",IF(HOUR(NOW())&lt;15,"Siang",IF(HOUR(NOW())&lt;18,"Sore","Malam")))&amp;" Bapak/Ibu "&amp;E91&amp;","&amp;CHAR(10)&amp;CHAR(10)&amp;"Mohon maaf mengganggu waktunya. Kami dari Tim Teknis ARMEDIA Net mendeteksi jaringan internet di rumah Bapak/Ibu sedang OFFLINE."&amp;CHAR(10)&amp;CHAR(10)&amp;"ID Pelanggan: "&amp;D91&amp;CHAR(10)&amp;CHAR(10)&amp;"Mohon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</row>
    <row r="92" ht="15.0" customHeight="1">
      <c r="A92" s="285">
        <v>72.0</v>
      </c>
      <c r="B92" s="286" t="s">
        <v>580</v>
      </c>
      <c r="C92" s="286" t="s">
        <v>1865</v>
      </c>
      <c r="D92" s="287" t="str">
        <f t="array" ref="D92">IFERROR(INDEX('2_Data_Pelanggan'!$B$5:$B$499,MATCH($B92,'2_Data_Pelanggan'!$O$5:$O$499,0)),"")</f>
        <v>ARM-0050</v>
      </c>
      <c r="E92" s="288" t="str">
        <f t="array" ref="E92">IFERROR(INDEX('2_Data_Pelanggan'!$D$5:$D$499,MATCH($B92,'2_Data_Pelanggan'!$O$5:$O$499,0)),"")</f>
        <v>KARSUN</v>
      </c>
      <c r="F92" s="226" t="str">
        <f t="array" ref="F92">IFERROR(INDEX('2_Data_Pelanggan'!$H$5:$H$499,MATCH($B92,'2_Data_Pelanggan'!$O$5:$O$499,0)),"")</f>
        <v>GUMELAR</v>
      </c>
      <c r="G92" s="216" t="str">
        <f t="array" ref="G92">IFERROR(INDEX('2_Data_Pelanggan'!$I$5:$I$499,MATCH($B92,'2_Data_Pelanggan'!$O$5:$O$499,0))&amp;"/"&amp;INDEX('2_Data_Pelanggan'!$J$5:$J$499,MATCH($B92,'2_Data_Pelanggan'!$O$5:$O$499,0)),"")</f>
        <v>9/4</v>
      </c>
      <c r="H92" s="287">
        <f t="array" ref="H92">IFERROR(INDEX('2_Data_Pelanggan'!$M$5:$M$499,MATCH($B92,'2_Data_Pelanggan'!$O$5:$O$499,0)),"")</f>
        <v>20</v>
      </c>
      <c r="I92" s="287" t="str">
        <f t="array" ref="I92">IFERROR(INDEX('2_Data_Pelanggan'!$W$5:$W$499,MATCH($B92,'2_Data_Pelanggan'!$O$5:$O$499,0)),"")</f>
        <v>Aktif</v>
      </c>
      <c r="J92" s="107" t="str">
        <f t="array" ref="J92">IFERROR(IF(INDEX('2_Data_Pelanggan'!$F$5:$F$499,MATCH($B92,'2_Data_Pelanggan'!$O$5:$O$499,0))="","",HYPERLINK("https://wa.me/62"&amp;MID(INDEX('2_Data_Pelanggan'!$F$5:$F$499,MATCH($B92,'2_Data_Pelanggan'!$O$5:$O$499,0)),2,20),"Chat WA")),"")</f>
        <v/>
      </c>
      <c r="K92" s="107" t="str">
        <f t="array" ref="K92">IFERROR(IF(INDEX('2_Data_Pelanggan'!$F$5:$F$499,MATCH($B92,'2_Data_Pelanggan'!$O$5:$O$499,0))="","",HYPERLINK("https://wa.me/62"&amp;MID(INDEX('2_Data_Pelanggan'!$F$5:$F$499,MATCH($B92,'2_Data_Pelanggan'!$O$5:$O$499,0)),2,LEN(INDEX('2_Data_Pelanggan'!$F$5:$F$499,MATCH($B92,'2_Data_Pelanggan'!$O$5:$O$499,0)))-1)&amp;"?text="&amp;SUBSTITUTE(SUBSTITUTE("Selamat "&amp;IF(HOUR(NOW())&lt;11,"Pagi",IF(HOUR(NOW())&lt;15,"Siang",IF(HOUR(NOW())&lt;18,"Sore","Malam")))&amp;" Bapak/Ibu "&amp;E92&amp;","&amp;CHAR(10)&amp;CHAR(10)&amp;"Mohon maaf mengganggu waktunya. Kami dari Tim Teknis ARMEDIA Net mendeteksi jaringan internet di rumah Bapak/Ibu sedang OFFLINE."&amp;CHAR(10)&amp;CHAR(10)&amp;"ID Pelanggan: "&amp;D92&amp;CHAR(10)&amp;CHAR(10)&amp;"Mohon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</row>
    <row r="93" ht="15.0" customHeight="1">
      <c r="A93" s="285">
        <v>73.0</v>
      </c>
      <c r="B93" s="286" t="s">
        <v>1868</v>
      </c>
      <c r="C93" s="286" t="s">
        <v>1865</v>
      </c>
      <c r="D93" s="287" t="str">
        <f t="array" ref="D93">IFERROR(INDEX('2_Data_Pelanggan'!$B$5:$B$499,MATCH($B93,'2_Data_Pelanggan'!$O$5:$O$499,0)),"")</f>
        <v/>
      </c>
      <c r="E93" s="288" t="str">
        <f t="array" ref="E93">IFERROR(INDEX('2_Data_Pelanggan'!$D$5:$D$499,MATCH($B93,'2_Data_Pelanggan'!$O$5:$O$499,0)),"")</f>
        <v/>
      </c>
      <c r="F93" s="226" t="str">
        <f t="array" ref="F93">IFERROR(INDEX('2_Data_Pelanggan'!$H$5:$H$499,MATCH($B93,'2_Data_Pelanggan'!$O$5:$O$499,0)),"")</f>
        <v/>
      </c>
      <c r="G93" s="216" t="str">
        <f t="array" ref="G93">IFERROR(INDEX('2_Data_Pelanggan'!$I$5:$I$499,MATCH($B93,'2_Data_Pelanggan'!$O$5:$O$499,0))&amp;"/"&amp;INDEX('2_Data_Pelanggan'!$J$5:$J$499,MATCH($B93,'2_Data_Pelanggan'!$O$5:$O$499,0)),"")</f>
        <v/>
      </c>
      <c r="H93" s="287" t="str">
        <f t="array" ref="H93">IFERROR(INDEX('2_Data_Pelanggan'!$M$5:$M$499,MATCH($B93,'2_Data_Pelanggan'!$O$5:$O$499,0)),"")</f>
        <v/>
      </c>
      <c r="I93" s="287" t="str">
        <f t="array" ref="I93">IFERROR(INDEX('2_Data_Pelanggan'!$W$5:$W$499,MATCH($B93,'2_Data_Pelanggan'!$O$5:$O$499,0)),"")</f>
        <v/>
      </c>
      <c r="J93" s="107" t="str">
        <f t="array" ref="J93">IFERROR(IF(INDEX('2_Data_Pelanggan'!$F$5:$F$499,MATCH($B93,'2_Data_Pelanggan'!$O$5:$O$499,0))="","",HYPERLINK("https://wa.me/62"&amp;MID(INDEX('2_Data_Pelanggan'!$F$5:$F$499,MATCH($B93,'2_Data_Pelanggan'!$O$5:$O$499,0)),2,20),"Chat WA")),"")</f>
        <v/>
      </c>
      <c r="K93" s="107" t="str">
        <f t="array" ref="K93">IFERROR(IF(INDEX('2_Data_Pelanggan'!$F$5:$F$499,MATCH($B93,'2_Data_Pelanggan'!$O$5:$O$499,0))="","",HYPERLINK("https://wa.me/62"&amp;MID(INDEX('2_Data_Pelanggan'!$F$5:$F$499,MATCH($B93,'2_Data_Pelanggan'!$O$5:$O$499,0)),2,LEN(INDEX('2_Data_Pelanggan'!$F$5:$F$499,MATCH($B93,'2_Data_Pelanggan'!$O$5:$O$499,0)))-1)&amp;"?text="&amp;SUBSTITUTE(SUBSTITUTE("Selamat "&amp;IF(HOUR(NOW())&lt;11,"Pagi",IF(HOUR(NOW())&lt;15,"Siang",IF(HOUR(NOW())&lt;18,"Sore","Malam")))&amp;" Bapak/Ibu "&amp;E93&amp;","&amp;CHAR(10)&amp;CHAR(10)&amp;"Mohon maaf mengganggu waktunya. Kami dari Tim Teknis ARMEDIA Net mendeteksi jaringan internet di rumah Bapak/Ibu sedang OFFLINE."&amp;CHAR(10)&amp;CHAR(10)&amp;"ID Pelanggan: "&amp;D93&amp;CHAR(10)&amp;CHAR(10)&amp;"Mohon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</row>
    <row r="94" ht="15.0" customHeight="1">
      <c r="A94" s="285">
        <v>74.0</v>
      </c>
      <c r="B94" s="286" t="s">
        <v>603</v>
      </c>
      <c r="C94" s="286" t="s">
        <v>1865</v>
      </c>
      <c r="D94" s="287" t="str">
        <f t="array" ref="D94">IFERROR(INDEX('2_Data_Pelanggan'!$B$5:$B$499,MATCH($B94,'2_Data_Pelanggan'!$O$5:$O$499,0)),"")</f>
        <v>ARM-0053</v>
      </c>
      <c r="E94" s="288" t="str">
        <f t="array" ref="E94">IFERROR(INDEX('2_Data_Pelanggan'!$D$5:$D$499,MATCH($B94,'2_Data_Pelanggan'!$O$5:$O$499,0)),"")</f>
        <v>KAMINAH</v>
      </c>
      <c r="F94" s="226" t="str">
        <f t="array" ref="F94">IFERROR(INDEX('2_Data_Pelanggan'!$H$5:$H$499,MATCH($B94,'2_Data_Pelanggan'!$O$5:$O$499,0)),"")</f>
        <v>GUMELAR</v>
      </c>
      <c r="G94" s="216" t="str">
        <f t="array" ref="G94">IFERROR(INDEX('2_Data_Pelanggan'!$I$5:$I$499,MATCH($B94,'2_Data_Pelanggan'!$O$5:$O$499,0))&amp;"/"&amp;INDEX('2_Data_Pelanggan'!$J$5:$J$499,MATCH($B94,'2_Data_Pelanggan'!$O$5:$O$499,0)),"")</f>
        <v>9/6</v>
      </c>
      <c r="H94" s="287">
        <f t="array" ref="H94">IFERROR(INDEX('2_Data_Pelanggan'!$M$5:$M$499,MATCH($B94,'2_Data_Pelanggan'!$O$5:$O$499,0)),"")</f>
        <v>20</v>
      </c>
      <c r="I94" s="287" t="str">
        <f t="array" ref="I94">IFERROR(INDEX('2_Data_Pelanggan'!$W$5:$W$499,MATCH($B94,'2_Data_Pelanggan'!$O$5:$O$499,0)),"")</f>
        <v>Aktif</v>
      </c>
      <c r="J94" s="107" t="str">
        <f t="array" ref="J94">IFERROR(IF(INDEX('2_Data_Pelanggan'!$F$5:$F$499,MATCH($B94,'2_Data_Pelanggan'!$O$5:$O$499,0))="","",HYPERLINK("https://wa.me/62"&amp;MID(INDEX('2_Data_Pelanggan'!$F$5:$F$499,MATCH($B94,'2_Data_Pelanggan'!$O$5:$O$499,0)),2,20),"Chat WA")),"")</f>
        <v>Chat WA</v>
      </c>
      <c r="K94" s="107" t="str">
        <f t="array" ref="K94">IFERROR(IF(INDEX('2_Data_Pelanggan'!$F$5:$F$499,MATCH($B94,'2_Data_Pelanggan'!$O$5:$O$499,0))="","",HYPERLINK("https://wa.me/62"&amp;MID(INDEX('2_Data_Pelanggan'!$F$5:$F$499,MATCH($B94,'2_Data_Pelanggan'!$O$5:$O$499,0)),2,LEN(INDEX('2_Data_Pelanggan'!$F$5:$F$499,MATCH($B94,'2_Data_Pelanggan'!$O$5:$O$499,0)))-1)&amp;"?text="&amp;SUBSTITUTE(SUBSTITUTE("Selamat "&amp;IF(HOUR(NOW())&lt;11,"Pagi",IF(HOUR(NOW())&lt;15,"Siang",IF(HOUR(NOW())&lt;18,"Sore","Malam")))&amp;" Bapak/Ibu "&amp;E94&amp;","&amp;CHAR(10)&amp;CHAR(10)&amp;"Mohon maaf mengganggu waktunya. Kami dari Tim Teknis ARMEDIA Net mendeteksi jaringan internet di rumah Bapak/Ibu sedang OFFLINE."&amp;CHAR(10)&amp;CHAR(10)&amp;"ID Pelanggan: "&amp;D94&amp;CHAR(10)&amp;CHAR(10)&amp;"Mohon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</row>
    <row r="95" ht="15.0" customHeight="1">
      <c r="A95" s="285">
        <v>75.0</v>
      </c>
      <c r="B95" s="286" t="s">
        <v>1869</v>
      </c>
      <c r="C95" s="286" t="s">
        <v>1865</v>
      </c>
      <c r="D95" s="287" t="str">
        <f t="array" ref="D95">IFERROR(INDEX('2_Data_Pelanggan'!$B$5:$B$499,MATCH($B95,'2_Data_Pelanggan'!$O$5:$O$499,0)),"")</f>
        <v/>
      </c>
      <c r="E95" s="288" t="str">
        <f t="array" ref="E95">IFERROR(INDEX('2_Data_Pelanggan'!$D$5:$D$499,MATCH($B95,'2_Data_Pelanggan'!$O$5:$O$499,0)),"")</f>
        <v/>
      </c>
      <c r="F95" s="226" t="str">
        <f t="array" ref="F95">IFERROR(INDEX('2_Data_Pelanggan'!$H$5:$H$499,MATCH($B95,'2_Data_Pelanggan'!$O$5:$O$499,0)),"")</f>
        <v/>
      </c>
      <c r="G95" s="216" t="str">
        <f t="array" ref="G95">IFERROR(INDEX('2_Data_Pelanggan'!$I$5:$I$499,MATCH($B95,'2_Data_Pelanggan'!$O$5:$O$499,0))&amp;"/"&amp;INDEX('2_Data_Pelanggan'!$J$5:$J$499,MATCH($B95,'2_Data_Pelanggan'!$O$5:$O$499,0)),"")</f>
        <v/>
      </c>
      <c r="H95" s="287" t="str">
        <f t="array" ref="H95">IFERROR(INDEX('2_Data_Pelanggan'!$M$5:$M$499,MATCH($B95,'2_Data_Pelanggan'!$O$5:$O$499,0)),"")</f>
        <v/>
      </c>
      <c r="I95" s="287" t="str">
        <f t="array" ref="I95">IFERROR(INDEX('2_Data_Pelanggan'!$W$5:$W$499,MATCH($B95,'2_Data_Pelanggan'!$O$5:$O$499,0)),"")</f>
        <v/>
      </c>
      <c r="J95" s="107" t="str">
        <f t="array" ref="J95">IFERROR(IF(INDEX('2_Data_Pelanggan'!$F$5:$F$499,MATCH($B95,'2_Data_Pelanggan'!$O$5:$O$499,0))="","",HYPERLINK("https://wa.me/62"&amp;MID(INDEX('2_Data_Pelanggan'!$F$5:$F$499,MATCH($B95,'2_Data_Pelanggan'!$O$5:$O$499,0)),2,20),"Chat WA")),"")</f>
        <v/>
      </c>
      <c r="K95" s="107" t="str">
        <f t="array" ref="K95">IFERROR(IF(INDEX('2_Data_Pelanggan'!$F$5:$F$499,MATCH($B95,'2_Data_Pelanggan'!$O$5:$O$499,0))="","",HYPERLINK("https://wa.me/62"&amp;MID(INDEX('2_Data_Pelanggan'!$F$5:$F$499,MATCH($B95,'2_Data_Pelanggan'!$O$5:$O$499,0)),2,LEN(INDEX('2_Data_Pelanggan'!$F$5:$F$499,MATCH($B95,'2_Data_Pelanggan'!$O$5:$O$499,0)))-1)&amp;"?text="&amp;SUBSTITUTE(SUBSTITUTE("Selamat "&amp;IF(HOUR(NOW())&lt;11,"Pagi",IF(HOUR(NOW())&lt;15,"Siang",IF(HOUR(NOW())&lt;18,"Sore","Malam")))&amp;" Bapak/Ibu "&amp;E95&amp;","&amp;CHAR(10)&amp;CHAR(10)&amp;"Mohon maaf mengganggu waktunya. Kami dari Tim Teknis ARMEDIA Net mendeteksi jaringan internet di rumah Bapak/Ibu sedang OFFLINE."&amp;CHAR(10)&amp;CHAR(10)&amp;"ID Pelanggan: "&amp;D95&amp;CHAR(10)&amp;CHAR(10)&amp;"Mohon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</row>
    <row r="96" ht="15.0" customHeight="1">
      <c r="A96" s="285">
        <v>76.0</v>
      </c>
      <c r="B96" s="286" t="s">
        <v>617</v>
      </c>
      <c r="C96" s="286" t="s">
        <v>1865</v>
      </c>
      <c r="D96" s="287" t="str">
        <f t="array" ref="D96">IFERROR(INDEX('2_Data_Pelanggan'!$B$5:$B$499,MATCH($B96,'2_Data_Pelanggan'!$O$5:$O$499,0)),"")</f>
        <v>ARM-0055</v>
      </c>
      <c r="E96" s="288" t="str">
        <f t="array" ref="E96">IFERROR(INDEX('2_Data_Pelanggan'!$D$5:$D$499,MATCH($B96,'2_Data_Pelanggan'!$O$5:$O$499,0)),"")</f>
        <v>ARI WINDIARTI</v>
      </c>
      <c r="F96" s="226" t="str">
        <f t="array" ref="F96">IFERROR(INDEX('2_Data_Pelanggan'!$H$5:$H$499,MATCH($B96,'2_Data_Pelanggan'!$O$5:$O$499,0)),"")</f>
        <v>GUMELAR</v>
      </c>
      <c r="G96" s="216" t="str">
        <f t="array" ref="G96">IFERROR(INDEX('2_Data_Pelanggan'!$I$5:$I$499,MATCH($B96,'2_Data_Pelanggan'!$O$5:$O$499,0))&amp;"/"&amp;INDEX('2_Data_Pelanggan'!$J$5:$J$499,MATCH($B96,'2_Data_Pelanggan'!$O$5:$O$499,0)),"")</f>
        <v>11/3</v>
      </c>
      <c r="H96" s="287">
        <f t="array" ref="H96">IFERROR(INDEX('2_Data_Pelanggan'!$M$5:$M$499,MATCH($B96,'2_Data_Pelanggan'!$O$5:$O$499,0)),"")</f>
        <v>20</v>
      </c>
      <c r="I96" s="287" t="str">
        <f t="array" ref="I96">IFERROR(INDEX('2_Data_Pelanggan'!$W$5:$W$499,MATCH($B96,'2_Data_Pelanggan'!$O$5:$O$499,0)),"")</f>
        <v>Aktif</v>
      </c>
      <c r="J96" s="107" t="str">
        <f t="array" ref="J96">IFERROR(IF(INDEX('2_Data_Pelanggan'!$F$5:$F$499,MATCH($B96,'2_Data_Pelanggan'!$O$5:$O$499,0))="","",HYPERLINK("https://wa.me/62"&amp;MID(INDEX('2_Data_Pelanggan'!$F$5:$F$499,MATCH($B96,'2_Data_Pelanggan'!$O$5:$O$499,0)),2,20),"Chat WA")),"")</f>
        <v>Chat WA</v>
      </c>
      <c r="K96" s="107" t="str">
        <f t="array" ref="K96">IFERROR(IF(INDEX('2_Data_Pelanggan'!$F$5:$F$499,MATCH($B96,'2_Data_Pelanggan'!$O$5:$O$499,0))="","",HYPERLINK("https://wa.me/62"&amp;MID(INDEX('2_Data_Pelanggan'!$F$5:$F$499,MATCH($B96,'2_Data_Pelanggan'!$O$5:$O$499,0)),2,LEN(INDEX('2_Data_Pelanggan'!$F$5:$F$499,MATCH($B96,'2_Data_Pelanggan'!$O$5:$O$499,0)))-1)&amp;"?text="&amp;SUBSTITUTE(SUBSTITUTE("Selamat "&amp;IF(HOUR(NOW())&lt;11,"Pagi",IF(HOUR(NOW())&lt;15,"Siang",IF(HOUR(NOW())&lt;18,"Sore","Malam")))&amp;" Bapak/Ibu "&amp;E96&amp;","&amp;CHAR(10)&amp;CHAR(10)&amp;"Mohon maaf mengganggu waktunya. Kami dari Tim Teknis ARMEDIA Net mendeteksi jaringan internet di rumah Bapak/Ibu sedang OFFLINE."&amp;CHAR(10)&amp;CHAR(10)&amp;"ID Pelanggan: "&amp;D96&amp;CHAR(10)&amp;CHAR(10)&amp;"Mohon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</row>
    <row r="97" ht="15.0" customHeight="1">
      <c r="A97" s="285">
        <v>77.0</v>
      </c>
      <c r="B97" s="286" t="s">
        <v>625</v>
      </c>
      <c r="C97" s="286" t="s">
        <v>1865</v>
      </c>
      <c r="D97" s="287" t="str">
        <f t="array" ref="D97">IFERROR(INDEX('2_Data_Pelanggan'!$B$5:$B$499,MATCH($B97,'2_Data_Pelanggan'!$O$5:$O$499,0)),"")</f>
        <v>ARM-0056</v>
      </c>
      <c r="E97" s="288" t="str">
        <f t="array" ref="E97">IFERROR(INDEX('2_Data_Pelanggan'!$D$5:$D$499,MATCH($B97,'2_Data_Pelanggan'!$O$5:$O$499,0)),"")</f>
        <v>MUHAMAD BAHRUL ULUM</v>
      </c>
      <c r="F97" s="226" t="str">
        <f t="array" ref="F97">IFERROR(INDEX('2_Data_Pelanggan'!$H$5:$H$499,MATCH($B97,'2_Data_Pelanggan'!$O$5:$O$499,0)),"")</f>
        <v>GUMELAR</v>
      </c>
      <c r="G97" s="216" t="str">
        <f t="array" ref="G97">IFERROR(INDEX('2_Data_Pelanggan'!$I$5:$I$499,MATCH($B97,'2_Data_Pelanggan'!$O$5:$O$499,0))&amp;"/"&amp;INDEX('2_Data_Pelanggan'!$J$5:$J$499,MATCH($B97,'2_Data_Pelanggan'!$O$5:$O$499,0)),"")</f>
        <v>5/8</v>
      </c>
      <c r="H97" s="287">
        <f t="array" ref="H97">IFERROR(INDEX('2_Data_Pelanggan'!$M$5:$M$499,MATCH($B97,'2_Data_Pelanggan'!$O$5:$O$499,0)),"")</f>
        <v>20</v>
      </c>
      <c r="I97" s="287" t="str">
        <f t="array" ref="I97">IFERROR(INDEX('2_Data_Pelanggan'!$W$5:$W$499,MATCH($B97,'2_Data_Pelanggan'!$O$5:$O$499,0)),"")</f>
        <v>Aktif</v>
      </c>
      <c r="J97" s="107" t="str">
        <f t="array" ref="J97">IFERROR(IF(INDEX('2_Data_Pelanggan'!$F$5:$F$499,MATCH($B97,'2_Data_Pelanggan'!$O$5:$O$499,0))="","",HYPERLINK("https://wa.me/62"&amp;MID(INDEX('2_Data_Pelanggan'!$F$5:$F$499,MATCH($B97,'2_Data_Pelanggan'!$O$5:$O$499,0)),2,20),"Chat WA")),"")</f>
        <v>Chat WA</v>
      </c>
      <c r="K97" s="107" t="str">
        <f t="array" ref="K97">IFERROR(IF(INDEX('2_Data_Pelanggan'!$F$5:$F$499,MATCH($B97,'2_Data_Pelanggan'!$O$5:$O$499,0))="","",HYPERLINK("https://wa.me/62"&amp;MID(INDEX('2_Data_Pelanggan'!$F$5:$F$499,MATCH($B97,'2_Data_Pelanggan'!$O$5:$O$499,0)),2,LEN(INDEX('2_Data_Pelanggan'!$F$5:$F$499,MATCH($B97,'2_Data_Pelanggan'!$O$5:$O$499,0)))-1)&amp;"?text="&amp;SUBSTITUTE(SUBSTITUTE("Selamat "&amp;IF(HOUR(NOW())&lt;11,"Pagi",IF(HOUR(NOW())&lt;15,"Siang",IF(HOUR(NOW())&lt;18,"Sore","Malam")))&amp;" Bapak/Ibu "&amp;E97&amp;","&amp;CHAR(10)&amp;CHAR(10)&amp;"Mohon maaf mengganggu waktunya. Kami dari Tim Teknis ARMEDIA Net mendeteksi jaringan internet di rumah Bapak/Ibu sedang OFFLINE."&amp;CHAR(10)&amp;CHAR(10)&amp;"ID Pelanggan: "&amp;D97&amp;CHAR(10)&amp;CHAR(10)&amp;"Mohon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</row>
    <row r="98" ht="15.0" customHeight="1">
      <c r="A98" s="285">
        <v>78.0</v>
      </c>
      <c r="B98" s="286" t="s">
        <v>633</v>
      </c>
      <c r="C98" s="286" t="s">
        <v>1865</v>
      </c>
      <c r="D98" s="287" t="str">
        <f t="array" ref="D98">IFERROR(INDEX('2_Data_Pelanggan'!$B$5:$B$499,MATCH($B98,'2_Data_Pelanggan'!$O$5:$O$499,0)),"")</f>
        <v>ARM-0057</v>
      </c>
      <c r="E98" s="288" t="str">
        <f t="array" ref="E98">IFERROR(INDEX('2_Data_Pelanggan'!$D$5:$D$499,MATCH($B98,'2_Data_Pelanggan'!$O$5:$O$499,0)),"")</f>
        <v>EFA FRISTIANA</v>
      </c>
      <c r="F98" s="226" t="str">
        <f t="array" ref="F98">IFERROR(INDEX('2_Data_Pelanggan'!$H$5:$H$499,MATCH($B98,'2_Data_Pelanggan'!$O$5:$O$499,0)),"")</f>
        <v>GUMELAR</v>
      </c>
      <c r="G98" s="216" t="str">
        <f t="array" ref="G98">IFERROR(INDEX('2_Data_Pelanggan'!$I$5:$I$499,MATCH($B98,'2_Data_Pelanggan'!$O$5:$O$499,0))&amp;"/"&amp;INDEX('2_Data_Pelanggan'!$J$5:$J$499,MATCH($B98,'2_Data_Pelanggan'!$O$5:$O$499,0)),"")</f>
        <v>/</v>
      </c>
      <c r="H98" s="287">
        <f t="array" ref="H98">IFERROR(INDEX('2_Data_Pelanggan'!$M$5:$M$499,MATCH($B98,'2_Data_Pelanggan'!$O$5:$O$499,0)),"")</f>
        <v>20</v>
      </c>
      <c r="I98" s="287" t="str">
        <f t="array" ref="I98">IFERROR(INDEX('2_Data_Pelanggan'!$W$5:$W$499,MATCH($B98,'2_Data_Pelanggan'!$O$5:$O$499,0)),"")</f>
        <v>Berhenti</v>
      </c>
      <c r="J98" s="107" t="str">
        <f t="array" ref="J98">IFERROR(IF(INDEX('2_Data_Pelanggan'!$F$5:$F$499,MATCH($B98,'2_Data_Pelanggan'!$O$5:$O$499,0))="","",HYPERLINK("https://wa.me/62"&amp;MID(INDEX('2_Data_Pelanggan'!$F$5:$F$499,MATCH($B98,'2_Data_Pelanggan'!$O$5:$O$499,0)),2,20),"Chat WA")),"")</f>
        <v>Chat WA</v>
      </c>
      <c r="K98" s="107" t="str">
        <f t="array" ref="K98">IFERROR(IF(INDEX('2_Data_Pelanggan'!$F$5:$F$499,MATCH($B98,'2_Data_Pelanggan'!$O$5:$O$499,0))="","",HYPERLINK("https://wa.me/62"&amp;MID(INDEX('2_Data_Pelanggan'!$F$5:$F$499,MATCH($B98,'2_Data_Pelanggan'!$O$5:$O$499,0)),2,LEN(INDEX('2_Data_Pelanggan'!$F$5:$F$499,MATCH($B98,'2_Data_Pelanggan'!$O$5:$O$499,0)))-1)&amp;"?text="&amp;SUBSTITUTE(SUBSTITUTE("Selamat "&amp;IF(HOUR(NOW())&lt;11,"Pagi",IF(HOUR(NOW())&lt;15,"Siang",IF(HOUR(NOW())&lt;18,"Sore","Malam")))&amp;" Bapak/Ibu "&amp;E98&amp;","&amp;CHAR(10)&amp;CHAR(10)&amp;"Mohon maaf mengganggu waktunya. Kami dari Tim Teknis ARMEDIA Net mendeteksi jaringan internet di rumah Bapak/Ibu sedang OFFLINE."&amp;CHAR(10)&amp;CHAR(10)&amp;"ID Pelanggan: "&amp;D98&amp;CHAR(10)&amp;CHAR(10)&amp;"Mohon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</row>
    <row r="99" ht="15.0" customHeight="1">
      <c r="A99" s="285">
        <v>79.0</v>
      </c>
      <c r="B99" s="286" t="s">
        <v>658</v>
      </c>
      <c r="C99" s="286" t="s">
        <v>1865</v>
      </c>
      <c r="D99" s="287" t="str">
        <f t="array" ref="D99">IFERROR(INDEX('2_Data_Pelanggan'!$B$5:$B$499,MATCH($B99,'2_Data_Pelanggan'!$O$5:$O$499,0)),"")</f>
        <v>ARM-0060</v>
      </c>
      <c r="E99" s="288" t="str">
        <f t="array" ref="E99">IFERROR(INDEX('2_Data_Pelanggan'!$D$5:$D$499,MATCH($B99,'2_Data_Pelanggan'!$O$5:$O$499,0)),"")</f>
        <v>SUMARNO NARKUM</v>
      </c>
      <c r="F99" s="226" t="str">
        <f t="array" ref="F99">IFERROR(INDEX('2_Data_Pelanggan'!$H$5:$H$499,MATCH($B99,'2_Data_Pelanggan'!$O$5:$O$499,0)),"")</f>
        <v>GUMELAR</v>
      </c>
      <c r="G99" s="216" t="str">
        <f t="array" ref="G99">IFERROR(INDEX('2_Data_Pelanggan'!$I$5:$I$499,MATCH($B99,'2_Data_Pelanggan'!$O$5:$O$499,0))&amp;"/"&amp;INDEX('2_Data_Pelanggan'!$J$5:$J$499,MATCH($B99,'2_Data_Pelanggan'!$O$5:$O$499,0)),"")</f>
        <v>5/3</v>
      </c>
      <c r="H99" s="287">
        <f t="array" ref="H99">IFERROR(INDEX('2_Data_Pelanggan'!$M$5:$M$499,MATCH($B99,'2_Data_Pelanggan'!$O$5:$O$499,0)),"")</f>
        <v>20</v>
      </c>
      <c r="I99" s="287" t="str">
        <f t="array" ref="I99">IFERROR(INDEX('2_Data_Pelanggan'!$W$5:$W$499,MATCH($B99,'2_Data_Pelanggan'!$O$5:$O$499,0)),"")</f>
        <v>Aktif</v>
      </c>
      <c r="J99" s="107" t="str">
        <f t="array" ref="J99">IFERROR(IF(INDEX('2_Data_Pelanggan'!$F$5:$F$499,MATCH($B99,'2_Data_Pelanggan'!$O$5:$O$499,0))="","",HYPERLINK("https://wa.me/62"&amp;MID(INDEX('2_Data_Pelanggan'!$F$5:$F$499,MATCH($B99,'2_Data_Pelanggan'!$O$5:$O$499,0)),2,20),"Chat WA")),"")</f>
        <v>Chat WA</v>
      </c>
      <c r="K99" s="107" t="str">
        <f t="array" ref="K99">IFERROR(IF(INDEX('2_Data_Pelanggan'!$F$5:$F$499,MATCH($B99,'2_Data_Pelanggan'!$O$5:$O$499,0))="","",HYPERLINK("https://wa.me/62"&amp;MID(INDEX('2_Data_Pelanggan'!$F$5:$F$499,MATCH($B99,'2_Data_Pelanggan'!$O$5:$O$499,0)),2,LEN(INDEX('2_Data_Pelanggan'!$F$5:$F$499,MATCH($B99,'2_Data_Pelanggan'!$O$5:$O$499,0)))-1)&amp;"?text="&amp;SUBSTITUTE(SUBSTITUTE("Selamat "&amp;IF(HOUR(NOW())&lt;11,"Pagi",IF(HOUR(NOW())&lt;15,"Siang",IF(HOUR(NOW())&lt;18,"Sore","Malam")))&amp;" Bapak/Ibu "&amp;E99&amp;","&amp;CHAR(10)&amp;CHAR(10)&amp;"Mohon maaf mengganggu waktunya. Kami dari Tim Teknis ARMEDIA Net mendeteksi jaringan internet di rumah Bapak/Ibu sedang OFFLINE."&amp;CHAR(10)&amp;CHAR(10)&amp;"ID Pelanggan: "&amp;D99&amp;CHAR(10)&amp;CHAR(10)&amp;"Mohon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</row>
    <row r="100" ht="15.0" customHeight="1">
      <c r="A100" s="285">
        <v>80.0</v>
      </c>
      <c r="B100" s="286" t="s">
        <v>666</v>
      </c>
      <c r="C100" s="286" t="s">
        <v>1865</v>
      </c>
      <c r="D100" s="287" t="str">
        <f t="array" ref="D100">IFERROR(INDEX('2_Data_Pelanggan'!$B$5:$B$499,MATCH($B100,'2_Data_Pelanggan'!$O$5:$O$499,0)),"")</f>
        <v>ARM-0061</v>
      </c>
      <c r="E100" s="288" t="str">
        <f t="array" ref="E100">IFERROR(INDEX('2_Data_Pelanggan'!$D$5:$D$499,MATCH($B100,'2_Data_Pelanggan'!$O$5:$O$499,0)),"")</f>
        <v>KISNO</v>
      </c>
      <c r="F100" s="226" t="str">
        <f t="array" ref="F100">IFERROR(INDEX('2_Data_Pelanggan'!$H$5:$H$499,MATCH($B100,'2_Data_Pelanggan'!$O$5:$O$499,0)),"")</f>
        <v>GUMELAR</v>
      </c>
      <c r="G100" s="216" t="str">
        <f t="array" ref="G100">IFERROR(INDEX('2_Data_Pelanggan'!$I$5:$I$499,MATCH($B100,'2_Data_Pelanggan'!$O$5:$O$499,0))&amp;"/"&amp;INDEX('2_Data_Pelanggan'!$J$5:$J$499,MATCH($B100,'2_Data_Pelanggan'!$O$5:$O$499,0)),"")</f>
        <v>5/3</v>
      </c>
      <c r="H100" s="287">
        <f t="array" ref="H100">IFERROR(INDEX('2_Data_Pelanggan'!$M$5:$M$499,MATCH($B100,'2_Data_Pelanggan'!$O$5:$O$499,0)),"")</f>
        <v>20</v>
      </c>
      <c r="I100" s="287" t="str">
        <f t="array" ref="I100">IFERROR(INDEX('2_Data_Pelanggan'!$W$5:$W$499,MATCH($B100,'2_Data_Pelanggan'!$O$5:$O$499,0)),"")</f>
        <v>Aktif</v>
      </c>
      <c r="J100" s="107" t="str">
        <f t="array" ref="J100">IFERROR(IF(INDEX('2_Data_Pelanggan'!$F$5:$F$499,MATCH($B100,'2_Data_Pelanggan'!$O$5:$O$499,0))="","",HYPERLINK("https://wa.me/62"&amp;MID(INDEX('2_Data_Pelanggan'!$F$5:$F$499,MATCH($B100,'2_Data_Pelanggan'!$O$5:$O$499,0)),2,20),"Chat WA")),"")</f>
        <v>Chat WA</v>
      </c>
      <c r="K100" s="107" t="str">
        <f t="array" ref="K100">IFERROR(IF(INDEX('2_Data_Pelanggan'!$F$5:$F$499,MATCH($B100,'2_Data_Pelanggan'!$O$5:$O$499,0))="","",HYPERLINK("https://wa.me/62"&amp;MID(INDEX('2_Data_Pelanggan'!$F$5:$F$499,MATCH($B100,'2_Data_Pelanggan'!$O$5:$O$499,0)),2,LEN(INDEX('2_Data_Pelanggan'!$F$5:$F$499,MATCH($B100,'2_Data_Pelanggan'!$O$5:$O$499,0)))-1)&amp;"?text="&amp;SUBSTITUTE(SUBSTITUTE("Selamat "&amp;IF(HOUR(NOW())&lt;11,"Pagi",IF(HOUR(NOW())&lt;15,"Siang",IF(HOUR(NOW())&lt;18,"Sore","Malam")))&amp;" Bapak/Ibu "&amp;E100&amp;","&amp;CHAR(10)&amp;CHAR(10)&amp;"Mohon maaf mengganggu waktunya. Kami dari Tim Teknis ARMEDIA Net mendeteksi jaringan internet di rumah Bapak/Ibu sedang OFFLINE."&amp;CHAR(10)&amp;CHAR(10)&amp;"ID Pelanggan: "&amp;D100&amp;CHAR(10)&amp;CHAR(10)&amp;"Mohon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</row>
    <row r="101" ht="15.0" customHeight="1">
      <c r="A101" s="285">
        <v>81.0</v>
      </c>
      <c r="B101" s="286" t="s">
        <v>839</v>
      </c>
      <c r="C101" s="286" t="s">
        <v>1865</v>
      </c>
      <c r="D101" s="287" t="str">
        <f t="array" ref="D101">IFERROR(INDEX('2_Data_Pelanggan'!$B$5:$B$499,MATCH($B101,'2_Data_Pelanggan'!$O$5:$O$499,0)),"")</f>
        <v>ARM-0083</v>
      </c>
      <c r="E101" s="288" t="str">
        <f t="array" ref="E101">IFERROR(INDEX('2_Data_Pelanggan'!$D$5:$D$499,MATCH($B101,'2_Data_Pelanggan'!$O$5:$O$499,0)),"")</f>
        <v>NASIM-TURYATI</v>
      </c>
      <c r="F101" s="226" t="str">
        <f t="array" ref="F101">IFERROR(INDEX('2_Data_Pelanggan'!$H$5:$H$499,MATCH($B101,'2_Data_Pelanggan'!$O$5:$O$499,0)),"")</f>
        <v>GUMELAR</v>
      </c>
      <c r="G101" s="216" t="str">
        <f t="array" ref="G101">IFERROR(INDEX('2_Data_Pelanggan'!$I$5:$I$499,MATCH($B101,'2_Data_Pelanggan'!$O$5:$O$499,0))&amp;"/"&amp;INDEX('2_Data_Pelanggan'!$J$5:$J$499,MATCH($B101,'2_Data_Pelanggan'!$O$5:$O$499,0)),"")</f>
        <v>9/4</v>
      </c>
      <c r="H101" s="287">
        <f t="array" ref="H101">IFERROR(INDEX('2_Data_Pelanggan'!$M$5:$M$499,MATCH($B101,'2_Data_Pelanggan'!$O$5:$O$499,0)),"")</f>
        <v>20</v>
      </c>
      <c r="I101" s="287" t="str">
        <f t="array" ref="I101">IFERROR(INDEX('2_Data_Pelanggan'!$W$5:$W$499,MATCH($B101,'2_Data_Pelanggan'!$O$5:$O$499,0)),"")</f>
        <v>Aktif</v>
      </c>
      <c r="J101" s="107" t="str">
        <f t="array" ref="J101">IFERROR(IF(INDEX('2_Data_Pelanggan'!$F$5:$F$499,MATCH($B101,'2_Data_Pelanggan'!$O$5:$O$499,0))="","",HYPERLINK("https://wa.me/62"&amp;MID(INDEX('2_Data_Pelanggan'!$F$5:$F$499,MATCH($B101,'2_Data_Pelanggan'!$O$5:$O$499,0)),2,20),"Chat WA")),"")</f>
        <v>Chat WA</v>
      </c>
      <c r="K101" s="107" t="str">
        <f t="array" ref="K101">IFERROR(IF(INDEX('2_Data_Pelanggan'!$F$5:$F$499,MATCH($B101,'2_Data_Pelanggan'!$O$5:$O$499,0))="","",HYPERLINK("https://wa.me/62"&amp;MID(INDEX('2_Data_Pelanggan'!$F$5:$F$499,MATCH($B101,'2_Data_Pelanggan'!$O$5:$O$499,0)),2,LEN(INDEX('2_Data_Pelanggan'!$F$5:$F$499,MATCH($B101,'2_Data_Pelanggan'!$O$5:$O$499,0)))-1)&amp;"?text="&amp;SUBSTITUTE(SUBSTITUTE("Selamat "&amp;IF(HOUR(NOW())&lt;11,"Pagi",IF(HOUR(NOW())&lt;15,"Siang",IF(HOUR(NOW())&lt;18,"Sore","Malam")))&amp;" Bapak/Ibu "&amp;E101&amp;","&amp;CHAR(10)&amp;CHAR(10)&amp;"Mohon maaf mengganggu waktunya. Kami dari Tim Teknis ARMEDIA Net mendeteksi jaringan internet di rumah Bapak/Ibu sedang OFFLINE."&amp;CHAR(10)&amp;CHAR(10)&amp;"ID Pelanggan: "&amp;D101&amp;CHAR(10)&amp;CHAR(10)&amp;"Mohon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</row>
    <row r="102" ht="15.0" customHeight="1">
      <c r="A102" s="285">
        <v>82.0</v>
      </c>
      <c r="B102" s="286" t="s">
        <v>682</v>
      </c>
      <c r="C102" s="286" t="s">
        <v>1865</v>
      </c>
      <c r="D102" s="287" t="str">
        <f t="array" ref="D102">IFERROR(INDEX('2_Data_Pelanggan'!$B$5:$B$499,MATCH($B102,'2_Data_Pelanggan'!$O$5:$O$499,0)),"")</f>
        <v>ARM-0063</v>
      </c>
      <c r="E102" s="288" t="str">
        <f t="array" ref="E102">IFERROR(INDEX('2_Data_Pelanggan'!$D$5:$D$499,MATCH($B102,'2_Data_Pelanggan'!$O$5:$O$499,0)),"")</f>
        <v>TARWONO</v>
      </c>
      <c r="F102" s="226" t="str">
        <f t="array" ref="F102">IFERROR(INDEX('2_Data_Pelanggan'!$H$5:$H$499,MATCH($B102,'2_Data_Pelanggan'!$O$5:$O$499,0)),"")</f>
        <v>GUMELAR</v>
      </c>
      <c r="G102" s="216" t="str">
        <f t="array" ref="G102">IFERROR(INDEX('2_Data_Pelanggan'!$I$5:$I$499,MATCH($B102,'2_Data_Pelanggan'!$O$5:$O$499,0))&amp;"/"&amp;INDEX('2_Data_Pelanggan'!$J$5:$J$499,MATCH($B102,'2_Data_Pelanggan'!$O$5:$O$499,0)),"")</f>
        <v>9/5</v>
      </c>
      <c r="H102" s="287">
        <f t="array" ref="H102">IFERROR(INDEX('2_Data_Pelanggan'!$M$5:$M$499,MATCH($B102,'2_Data_Pelanggan'!$O$5:$O$499,0)),"")</f>
        <v>20</v>
      </c>
      <c r="I102" s="287" t="str">
        <f t="array" ref="I102">IFERROR(INDEX('2_Data_Pelanggan'!$W$5:$W$499,MATCH($B102,'2_Data_Pelanggan'!$O$5:$O$499,0)),"")</f>
        <v>Aktif</v>
      </c>
      <c r="J102" s="107" t="str">
        <f t="array" ref="J102">IFERROR(IF(INDEX('2_Data_Pelanggan'!$F$5:$F$499,MATCH($B102,'2_Data_Pelanggan'!$O$5:$O$499,0))="","",HYPERLINK("https://wa.me/62"&amp;MID(INDEX('2_Data_Pelanggan'!$F$5:$F$499,MATCH($B102,'2_Data_Pelanggan'!$O$5:$O$499,0)),2,20),"Chat WA")),"")</f>
        <v>Chat WA</v>
      </c>
      <c r="K102" s="107" t="str">
        <f t="array" ref="K102">IFERROR(IF(INDEX('2_Data_Pelanggan'!$F$5:$F$499,MATCH($B102,'2_Data_Pelanggan'!$O$5:$O$499,0))="","",HYPERLINK("https://wa.me/62"&amp;MID(INDEX('2_Data_Pelanggan'!$F$5:$F$499,MATCH($B102,'2_Data_Pelanggan'!$O$5:$O$499,0)),2,LEN(INDEX('2_Data_Pelanggan'!$F$5:$F$499,MATCH($B102,'2_Data_Pelanggan'!$O$5:$O$499,0)))-1)&amp;"?text="&amp;SUBSTITUTE(SUBSTITUTE("Selamat "&amp;IF(HOUR(NOW())&lt;11,"Pagi",IF(HOUR(NOW())&lt;15,"Siang",IF(HOUR(NOW())&lt;18,"Sore","Malam")))&amp;" Bapak/Ibu "&amp;E102&amp;","&amp;CHAR(10)&amp;CHAR(10)&amp;"Mohon maaf mengganggu waktunya. Kami dari Tim Teknis ARMEDIA Net mendeteksi jaringan internet di rumah Bapak/Ibu sedang OFFLINE."&amp;CHAR(10)&amp;CHAR(10)&amp;"ID Pelanggan: "&amp;D102&amp;CHAR(10)&amp;CHAR(10)&amp;"Mohon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</row>
    <row r="103" ht="15.0" customHeight="1">
      <c r="A103" s="285">
        <v>83.0</v>
      </c>
      <c r="B103" s="286" t="s">
        <v>722</v>
      </c>
      <c r="C103" s="286" t="s">
        <v>1865</v>
      </c>
      <c r="D103" s="287" t="str">
        <f t="array" ref="D103">IFERROR(INDEX('2_Data_Pelanggan'!$B$5:$B$499,MATCH($B103,'2_Data_Pelanggan'!$O$5:$O$499,0)),"")</f>
        <v>ARM-0068</v>
      </c>
      <c r="E103" s="288" t="str">
        <f t="array" ref="E103">IFERROR(INDEX('2_Data_Pelanggan'!$D$5:$D$499,MATCH($B103,'2_Data_Pelanggan'!$O$5:$O$499,0)),"")</f>
        <v>ALESHA</v>
      </c>
      <c r="F103" s="226" t="str">
        <f t="array" ref="F103">IFERROR(INDEX('2_Data_Pelanggan'!$H$5:$H$499,MATCH($B103,'2_Data_Pelanggan'!$O$5:$O$499,0)),"")</f>
        <v>GUMELAR</v>
      </c>
      <c r="G103" s="216" t="str">
        <f t="array" ref="G103">IFERROR(INDEX('2_Data_Pelanggan'!$I$5:$I$499,MATCH($B103,'2_Data_Pelanggan'!$O$5:$O$499,0))&amp;"/"&amp;INDEX('2_Data_Pelanggan'!$J$5:$J$499,MATCH($B103,'2_Data_Pelanggan'!$O$5:$O$499,0)),"")</f>
        <v>/</v>
      </c>
      <c r="H103" s="287">
        <f t="array" ref="H103">IFERROR(INDEX('2_Data_Pelanggan'!$M$5:$M$499,MATCH($B103,'2_Data_Pelanggan'!$O$5:$O$499,0)),"")</f>
        <v>20</v>
      </c>
      <c r="I103" s="287" t="str">
        <f t="array" ref="I103">IFERROR(INDEX('2_Data_Pelanggan'!$W$5:$W$499,MATCH($B103,'2_Data_Pelanggan'!$O$5:$O$499,0)),"")</f>
        <v>Aktif</v>
      </c>
      <c r="J103" s="107" t="str">
        <f t="array" ref="J103">IFERROR(IF(INDEX('2_Data_Pelanggan'!$F$5:$F$499,MATCH($B103,'2_Data_Pelanggan'!$O$5:$O$499,0))="","",HYPERLINK("https://wa.me/62"&amp;MID(INDEX('2_Data_Pelanggan'!$F$5:$F$499,MATCH($B103,'2_Data_Pelanggan'!$O$5:$O$499,0)),2,20),"Chat WA")),"")</f>
        <v>Chat WA</v>
      </c>
      <c r="K103" s="107" t="str">
        <f t="array" ref="K103">IFERROR(IF(INDEX('2_Data_Pelanggan'!$F$5:$F$499,MATCH($B103,'2_Data_Pelanggan'!$O$5:$O$499,0))="","",HYPERLINK("https://wa.me/62"&amp;MID(INDEX('2_Data_Pelanggan'!$F$5:$F$499,MATCH($B103,'2_Data_Pelanggan'!$O$5:$O$499,0)),2,LEN(INDEX('2_Data_Pelanggan'!$F$5:$F$499,MATCH($B103,'2_Data_Pelanggan'!$O$5:$O$499,0)))-1)&amp;"?text="&amp;SUBSTITUTE(SUBSTITUTE("Selamat "&amp;IF(HOUR(NOW())&lt;11,"Pagi",IF(HOUR(NOW())&lt;15,"Siang",IF(HOUR(NOW())&lt;18,"Sore","Malam")))&amp;" Bapak/Ibu "&amp;E103&amp;","&amp;CHAR(10)&amp;CHAR(10)&amp;"Mohon maaf mengganggu waktunya. Kami dari Tim Teknis ARMEDIA Net mendeteksi jaringan internet di rumah Bapak/Ibu sedang OFFLINE."&amp;CHAR(10)&amp;CHAR(10)&amp;"ID Pelanggan: "&amp;D103&amp;CHAR(10)&amp;CHAR(10)&amp;"Mohon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</row>
    <row r="104" ht="15.0" customHeight="1">
      <c r="A104" s="285">
        <v>84.0</v>
      </c>
      <c r="B104" s="286" t="s">
        <v>714</v>
      </c>
      <c r="C104" s="286" t="s">
        <v>1865</v>
      </c>
      <c r="D104" s="287" t="str">
        <f t="array" ref="D104">IFERROR(INDEX('2_Data_Pelanggan'!$B$5:$B$499,MATCH($B104,'2_Data_Pelanggan'!$O$5:$O$499,0)),"")</f>
        <v>ARM-0067</v>
      </c>
      <c r="E104" s="288" t="str">
        <f t="array" ref="E104">IFERROR(INDEX('2_Data_Pelanggan'!$D$5:$D$499,MATCH($B104,'2_Data_Pelanggan'!$O$5:$O$499,0)),"")</f>
        <v>KUSMANTO</v>
      </c>
      <c r="F104" s="226" t="str">
        <f t="array" ref="F104">IFERROR(INDEX('2_Data_Pelanggan'!$H$5:$H$499,MATCH($B104,'2_Data_Pelanggan'!$O$5:$O$499,0)),"")</f>
        <v>GUMELAR</v>
      </c>
      <c r="G104" s="216" t="str">
        <f t="array" ref="G104">IFERROR(INDEX('2_Data_Pelanggan'!$I$5:$I$499,MATCH($B104,'2_Data_Pelanggan'!$O$5:$O$499,0))&amp;"/"&amp;INDEX('2_Data_Pelanggan'!$J$5:$J$499,MATCH($B104,'2_Data_Pelanggan'!$O$5:$O$499,0)),"")</f>
        <v>9/6</v>
      </c>
      <c r="H104" s="287">
        <f t="array" ref="H104">IFERROR(INDEX('2_Data_Pelanggan'!$M$5:$M$499,MATCH($B104,'2_Data_Pelanggan'!$O$5:$O$499,0)),"")</f>
        <v>20</v>
      </c>
      <c r="I104" s="287" t="str">
        <f t="array" ref="I104">IFERROR(INDEX('2_Data_Pelanggan'!$W$5:$W$499,MATCH($B104,'2_Data_Pelanggan'!$O$5:$O$499,0)),"")</f>
        <v>Aktif</v>
      </c>
      <c r="J104" s="107" t="str">
        <f t="array" ref="J104">IFERROR(IF(INDEX('2_Data_Pelanggan'!$F$5:$F$499,MATCH($B104,'2_Data_Pelanggan'!$O$5:$O$499,0))="","",HYPERLINK("https://wa.me/62"&amp;MID(INDEX('2_Data_Pelanggan'!$F$5:$F$499,MATCH($B104,'2_Data_Pelanggan'!$O$5:$O$499,0)),2,20),"Chat WA")),"")</f>
        <v>Chat WA</v>
      </c>
      <c r="K104" s="107" t="str">
        <f t="array" ref="K104">IFERROR(IF(INDEX('2_Data_Pelanggan'!$F$5:$F$499,MATCH($B104,'2_Data_Pelanggan'!$O$5:$O$499,0))="","",HYPERLINK("https://wa.me/62"&amp;MID(INDEX('2_Data_Pelanggan'!$F$5:$F$499,MATCH($B104,'2_Data_Pelanggan'!$O$5:$O$499,0)),2,LEN(INDEX('2_Data_Pelanggan'!$F$5:$F$499,MATCH($B104,'2_Data_Pelanggan'!$O$5:$O$499,0)))-1)&amp;"?text="&amp;SUBSTITUTE(SUBSTITUTE("Selamat "&amp;IF(HOUR(NOW())&lt;11,"Pagi",IF(HOUR(NOW())&lt;15,"Siang",IF(HOUR(NOW())&lt;18,"Sore","Malam")))&amp;" Bapak/Ibu "&amp;E104&amp;","&amp;CHAR(10)&amp;CHAR(10)&amp;"Mohon maaf mengganggu waktunya. Kami dari Tim Teknis ARMEDIA Net mendeteksi jaringan internet di rumah Bapak/Ibu sedang OFFLINE."&amp;CHAR(10)&amp;CHAR(10)&amp;"ID Pelanggan: "&amp;D104&amp;CHAR(10)&amp;CHAR(10)&amp;"Mohon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</row>
    <row r="105" ht="15.0" customHeight="1">
      <c r="A105" s="285">
        <v>85.0</v>
      </c>
      <c r="B105" s="286" t="s">
        <v>1028</v>
      </c>
      <c r="C105" s="286" t="s">
        <v>1865</v>
      </c>
      <c r="D105" s="287" t="str">
        <f t="array" ref="D105">IFERROR(INDEX('2_Data_Pelanggan'!$B$5:$B$499,MATCH($B105,'2_Data_Pelanggan'!$O$5:$O$499,0)),"")</f>
        <v>ARM-0107</v>
      </c>
      <c r="E105" s="288" t="str">
        <f t="array" ref="E105">IFERROR(INDEX('2_Data_Pelanggan'!$D$5:$D$499,MATCH($B105,'2_Data_Pelanggan'!$O$5:$O$499,0)),"")</f>
        <v>KOMSIFLAH</v>
      </c>
      <c r="F105" s="226" t="str">
        <f t="array" ref="F105">IFERROR(INDEX('2_Data_Pelanggan'!$H$5:$H$499,MATCH($B105,'2_Data_Pelanggan'!$O$5:$O$499,0)),"")</f>
        <v>GUMELAR</v>
      </c>
      <c r="G105" s="216" t="str">
        <f t="array" ref="G105">IFERROR(INDEX('2_Data_Pelanggan'!$I$5:$I$499,MATCH($B105,'2_Data_Pelanggan'!$O$5:$O$499,0))&amp;"/"&amp;INDEX('2_Data_Pelanggan'!$J$5:$J$499,MATCH($B105,'2_Data_Pelanggan'!$O$5:$O$499,0)),"")</f>
        <v>10/1</v>
      </c>
      <c r="H105" s="287">
        <f t="array" ref="H105">IFERROR(INDEX('2_Data_Pelanggan'!$M$5:$M$499,MATCH($B105,'2_Data_Pelanggan'!$O$5:$O$499,0)),"")</f>
        <v>20</v>
      </c>
      <c r="I105" s="287" t="str">
        <f t="array" ref="I105">IFERROR(INDEX('2_Data_Pelanggan'!$W$5:$W$499,MATCH($B105,'2_Data_Pelanggan'!$O$5:$O$499,0)),"")</f>
        <v>Aktif</v>
      </c>
      <c r="J105" s="107" t="str">
        <f t="array" ref="J105">IFERROR(IF(INDEX('2_Data_Pelanggan'!$F$5:$F$499,MATCH($B105,'2_Data_Pelanggan'!$O$5:$O$499,0))="","",HYPERLINK("https://wa.me/62"&amp;MID(INDEX('2_Data_Pelanggan'!$F$5:$F$499,MATCH($B105,'2_Data_Pelanggan'!$O$5:$O$499,0)),2,20),"Chat WA")),"")</f>
        <v>Chat WA</v>
      </c>
      <c r="K105" s="107" t="str">
        <f t="array" ref="K105">IFERROR(IF(INDEX('2_Data_Pelanggan'!$F$5:$F$499,MATCH($B105,'2_Data_Pelanggan'!$O$5:$O$499,0))="","",HYPERLINK("https://wa.me/62"&amp;MID(INDEX('2_Data_Pelanggan'!$F$5:$F$499,MATCH($B105,'2_Data_Pelanggan'!$O$5:$O$499,0)),2,LEN(INDEX('2_Data_Pelanggan'!$F$5:$F$499,MATCH($B105,'2_Data_Pelanggan'!$O$5:$O$499,0)))-1)&amp;"?text="&amp;SUBSTITUTE(SUBSTITUTE("Selamat "&amp;IF(HOUR(NOW())&lt;11,"Pagi",IF(HOUR(NOW())&lt;15,"Siang",IF(HOUR(NOW())&lt;18,"Sore","Malam")))&amp;" Bapak/Ibu "&amp;E105&amp;","&amp;CHAR(10)&amp;CHAR(10)&amp;"Mohon maaf mengganggu waktunya. Kami dari Tim Teknis ARMEDIA Net mendeteksi jaringan internet di rumah Bapak/Ibu sedang OFFLINE."&amp;CHAR(10)&amp;CHAR(10)&amp;"ID Pelanggan: "&amp;D105&amp;CHAR(10)&amp;CHAR(10)&amp;"Mohon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</row>
    <row r="106" ht="15.0" customHeight="1">
      <c r="A106" s="285">
        <v>86.0</v>
      </c>
      <c r="B106" s="286" t="s">
        <v>738</v>
      </c>
      <c r="C106" s="286" t="s">
        <v>1865</v>
      </c>
      <c r="D106" s="287" t="str">
        <f t="array" ref="D106">IFERROR(INDEX('2_Data_Pelanggan'!$B$5:$B$499,MATCH($B106,'2_Data_Pelanggan'!$O$5:$O$499,0)),"")</f>
        <v>ARM-0070</v>
      </c>
      <c r="E106" s="288" t="str">
        <f t="array" ref="E106">IFERROR(INDEX('2_Data_Pelanggan'!$D$5:$D$499,MATCH($B106,'2_Data_Pelanggan'!$O$5:$O$499,0)),"")</f>
        <v>UMI LESTARI</v>
      </c>
      <c r="F106" s="226" t="str">
        <f t="array" ref="F106">IFERROR(INDEX('2_Data_Pelanggan'!$H$5:$H$499,MATCH($B106,'2_Data_Pelanggan'!$O$5:$O$499,0)),"")</f>
        <v>GUMELAR</v>
      </c>
      <c r="G106" s="216" t="str">
        <f t="array" ref="G106">IFERROR(INDEX('2_Data_Pelanggan'!$I$5:$I$499,MATCH($B106,'2_Data_Pelanggan'!$O$5:$O$499,0))&amp;"/"&amp;INDEX('2_Data_Pelanggan'!$J$5:$J$499,MATCH($B106,'2_Data_Pelanggan'!$O$5:$O$499,0)),"")</f>
        <v>5/3</v>
      </c>
      <c r="H106" s="287">
        <f t="array" ref="H106">IFERROR(INDEX('2_Data_Pelanggan'!$M$5:$M$499,MATCH($B106,'2_Data_Pelanggan'!$O$5:$O$499,0)),"")</f>
        <v>20</v>
      </c>
      <c r="I106" s="287" t="str">
        <f t="array" ref="I106">IFERROR(INDEX('2_Data_Pelanggan'!$W$5:$W$499,MATCH($B106,'2_Data_Pelanggan'!$O$5:$O$499,0)),"")</f>
        <v>Aktif</v>
      </c>
      <c r="J106" s="107" t="str">
        <f t="array" ref="J106">IFERROR(IF(INDEX('2_Data_Pelanggan'!$F$5:$F$499,MATCH($B106,'2_Data_Pelanggan'!$O$5:$O$499,0))="","",HYPERLINK("https://wa.me/62"&amp;MID(INDEX('2_Data_Pelanggan'!$F$5:$F$499,MATCH($B106,'2_Data_Pelanggan'!$O$5:$O$499,0)),2,20),"Chat WA")),"")</f>
        <v>Chat WA</v>
      </c>
      <c r="K106" s="107" t="str">
        <f t="array" ref="K106">IFERROR(IF(INDEX('2_Data_Pelanggan'!$F$5:$F$499,MATCH($B106,'2_Data_Pelanggan'!$O$5:$O$499,0))="","",HYPERLINK("https://wa.me/62"&amp;MID(INDEX('2_Data_Pelanggan'!$F$5:$F$499,MATCH($B106,'2_Data_Pelanggan'!$O$5:$O$499,0)),2,LEN(INDEX('2_Data_Pelanggan'!$F$5:$F$499,MATCH($B106,'2_Data_Pelanggan'!$O$5:$O$499,0)))-1)&amp;"?text="&amp;SUBSTITUTE(SUBSTITUTE("Selamat "&amp;IF(HOUR(NOW())&lt;11,"Pagi",IF(HOUR(NOW())&lt;15,"Siang",IF(HOUR(NOW())&lt;18,"Sore","Malam")))&amp;" Bapak/Ibu "&amp;E106&amp;","&amp;CHAR(10)&amp;CHAR(10)&amp;"Mohon maaf mengganggu waktunya. Kami dari Tim Teknis ARMEDIA Net mendeteksi jaringan internet di rumah Bapak/Ibu sedang OFFLINE."&amp;CHAR(10)&amp;CHAR(10)&amp;"ID Pelanggan: "&amp;D106&amp;CHAR(10)&amp;CHAR(10)&amp;"Mohon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</row>
    <row r="107" ht="15.0" customHeight="1">
      <c r="A107" s="285">
        <v>87.0</v>
      </c>
      <c r="B107" s="286" t="s">
        <v>746</v>
      </c>
      <c r="C107" s="286" t="s">
        <v>1865</v>
      </c>
      <c r="D107" s="287" t="str">
        <f t="array" ref="D107">IFERROR(INDEX('2_Data_Pelanggan'!$B$5:$B$499,MATCH($B107,'2_Data_Pelanggan'!$O$5:$O$499,0)),"")</f>
        <v>ARM-0071</v>
      </c>
      <c r="E107" s="288" t="str">
        <f t="array" ref="E107">IFERROR(INDEX('2_Data_Pelanggan'!$D$5:$D$499,MATCH($B107,'2_Data_Pelanggan'!$O$5:$O$499,0)),"")</f>
        <v>TARSUM</v>
      </c>
      <c r="F107" s="226" t="str">
        <f t="array" ref="F107">IFERROR(INDEX('2_Data_Pelanggan'!$H$5:$H$499,MATCH($B107,'2_Data_Pelanggan'!$O$5:$O$499,0)),"")</f>
        <v>CIWARAS</v>
      </c>
      <c r="G107" s="216" t="str">
        <f t="array" ref="G107">IFERROR(INDEX('2_Data_Pelanggan'!$I$5:$I$499,MATCH($B107,'2_Data_Pelanggan'!$O$5:$O$499,0))&amp;"/"&amp;INDEX('2_Data_Pelanggan'!$J$5:$J$499,MATCH($B107,'2_Data_Pelanggan'!$O$5:$O$499,0)),"")</f>
        <v>4/1</v>
      </c>
      <c r="H107" s="287">
        <f t="array" ref="H107">IFERROR(INDEX('2_Data_Pelanggan'!$M$5:$M$499,MATCH($B107,'2_Data_Pelanggan'!$O$5:$O$499,0)),"")</f>
        <v>20</v>
      </c>
      <c r="I107" s="287" t="str">
        <f t="array" ref="I107">IFERROR(INDEX('2_Data_Pelanggan'!$W$5:$W$499,MATCH($B107,'2_Data_Pelanggan'!$O$5:$O$499,0)),"")</f>
        <v>Aktif</v>
      </c>
      <c r="J107" s="107" t="str">
        <f t="array" ref="J107">IFERROR(IF(INDEX('2_Data_Pelanggan'!$F$5:$F$499,MATCH($B107,'2_Data_Pelanggan'!$O$5:$O$499,0))="","",HYPERLINK("https://wa.me/62"&amp;MID(INDEX('2_Data_Pelanggan'!$F$5:$F$499,MATCH($B107,'2_Data_Pelanggan'!$O$5:$O$499,0)),2,20),"Chat WA")),"")</f>
        <v>Chat WA</v>
      </c>
      <c r="K107" s="107" t="str">
        <f t="array" ref="K107">IFERROR(IF(INDEX('2_Data_Pelanggan'!$F$5:$F$499,MATCH($B107,'2_Data_Pelanggan'!$O$5:$O$499,0))="","",HYPERLINK("https://wa.me/62"&amp;MID(INDEX('2_Data_Pelanggan'!$F$5:$F$499,MATCH($B107,'2_Data_Pelanggan'!$O$5:$O$499,0)),2,LEN(INDEX('2_Data_Pelanggan'!$F$5:$F$499,MATCH($B107,'2_Data_Pelanggan'!$O$5:$O$499,0)))-1)&amp;"?text="&amp;SUBSTITUTE(SUBSTITUTE("Selamat "&amp;IF(HOUR(NOW())&lt;11,"Pagi",IF(HOUR(NOW())&lt;15,"Siang",IF(HOUR(NOW())&lt;18,"Sore","Malam")))&amp;" Bapak/Ibu "&amp;E107&amp;","&amp;CHAR(10)&amp;CHAR(10)&amp;"Mohon maaf mengganggu waktunya. Kami dari Tim Teknis ARMEDIA Net mendeteksi jaringan internet di rumah Bapak/Ibu sedang OFFLINE."&amp;CHAR(10)&amp;CHAR(10)&amp;"ID Pelanggan: "&amp;D107&amp;CHAR(10)&amp;CHAR(10)&amp;"Mohon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</row>
    <row r="108" ht="15.0" customHeight="1">
      <c r="A108" s="285">
        <v>88.0</v>
      </c>
      <c r="B108" s="286" t="s">
        <v>754</v>
      </c>
      <c r="C108" s="286" t="s">
        <v>1865</v>
      </c>
      <c r="D108" s="287" t="str">
        <f t="array" ref="D108">IFERROR(INDEX('2_Data_Pelanggan'!$B$5:$B$499,MATCH($B108,'2_Data_Pelanggan'!$O$5:$O$499,0)),"")</f>
        <v>ARM-0072</v>
      </c>
      <c r="E108" s="288" t="str">
        <f t="array" ref="E108">IFERROR(INDEX('2_Data_Pelanggan'!$D$5:$D$499,MATCH($B108,'2_Data_Pelanggan'!$O$5:$O$499,0)),"")</f>
        <v>KARSINEM</v>
      </c>
      <c r="F108" s="226" t="str">
        <f t="array" ref="F108">IFERROR(INDEX('2_Data_Pelanggan'!$H$5:$H$499,MATCH($B108,'2_Data_Pelanggan'!$O$5:$O$499,0)),"")</f>
        <v>GUMELAR</v>
      </c>
      <c r="G108" s="216" t="str">
        <f t="array" ref="G108">IFERROR(INDEX('2_Data_Pelanggan'!$I$5:$I$499,MATCH($B108,'2_Data_Pelanggan'!$O$5:$O$499,0))&amp;"/"&amp;INDEX('2_Data_Pelanggan'!$J$5:$J$499,MATCH($B108,'2_Data_Pelanggan'!$O$5:$O$499,0)),"")</f>
        <v>5/5</v>
      </c>
      <c r="H108" s="287">
        <f t="array" ref="H108">IFERROR(INDEX('2_Data_Pelanggan'!$M$5:$M$499,MATCH($B108,'2_Data_Pelanggan'!$O$5:$O$499,0)),"")</f>
        <v>20</v>
      </c>
      <c r="I108" s="287" t="str">
        <f t="array" ref="I108">IFERROR(INDEX('2_Data_Pelanggan'!$W$5:$W$499,MATCH($B108,'2_Data_Pelanggan'!$O$5:$O$499,0)),"")</f>
        <v>Aktif</v>
      </c>
      <c r="J108" s="107" t="str">
        <f t="array" ref="J108">IFERROR(IF(INDEX('2_Data_Pelanggan'!$F$5:$F$499,MATCH($B108,'2_Data_Pelanggan'!$O$5:$O$499,0))="","",HYPERLINK("https://wa.me/62"&amp;MID(INDEX('2_Data_Pelanggan'!$F$5:$F$499,MATCH($B108,'2_Data_Pelanggan'!$O$5:$O$499,0)),2,20),"Chat WA")),"")</f>
        <v>Chat WA</v>
      </c>
      <c r="K108" s="107" t="str">
        <f t="array" ref="K108">IFERROR(IF(INDEX('2_Data_Pelanggan'!$F$5:$F$499,MATCH($B108,'2_Data_Pelanggan'!$O$5:$O$499,0))="","",HYPERLINK("https://wa.me/62"&amp;MID(INDEX('2_Data_Pelanggan'!$F$5:$F$499,MATCH($B108,'2_Data_Pelanggan'!$O$5:$O$499,0)),2,LEN(INDEX('2_Data_Pelanggan'!$F$5:$F$499,MATCH($B108,'2_Data_Pelanggan'!$O$5:$O$499,0)))-1)&amp;"?text="&amp;SUBSTITUTE(SUBSTITUTE("Selamat "&amp;IF(HOUR(NOW())&lt;11,"Pagi",IF(HOUR(NOW())&lt;15,"Siang",IF(HOUR(NOW())&lt;18,"Sore","Malam")))&amp;" Bapak/Ibu "&amp;E108&amp;","&amp;CHAR(10)&amp;CHAR(10)&amp;"Mohon maaf mengganggu waktunya. Kami dari Tim Teknis ARMEDIA Net mendeteksi jaringan internet di rumah Bapak/Ibu sedang OFFLINE."&amp;CHAR(10)&amp;CHAR(10)&amp;"ID Pelanggan: "&amp;D108&amp;CHAR(10)&amp;CHAR(10)&amp;"Mohon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</row>
    <row r="109" ht="15.0" customHeight="1">
      <c r="A109" s="285">
        <v>89.0</v>
      </c>
      <c r="B109" s="286" t="s">
        <v>777</v>
      </c>
      <c r="C109" s="286" t="s">
        <v>1865</v>
      </c>
      <c r="D109" s="287" t="str">
        <f t="array" ref="D109">IFERROR(INDEX('2_Data_Pelanggan'!$B$5:$B$499,MATCH($B109,'2_Data_Pelanggan'!$O$5:$O$499,0)),"")</f>
        <v>ARM-0075</v>
      </c>
      <c r="E109" s="288" t="str">
        <f t="array" ref="E109">IFERROR(INDEX('2_Data_Pelanggan'!$D$5:$D$499,MATCH($B109,'2_Data_Pelanggan'!$O$5:$O$499,0)),"")</f>
        <v>MEI EKOWATI</v>
      </c>
      <c r="F109" s="226" t="str">
        <f t="array" ref="F109">IFERROR(INDEX('2_Data_Pelanggan'!$H$5:$H$499,MATCH($B109,'2_Data_Pelanggan'!$O$5:$O$499,0)),"")</f>
        <v>CIHONJE </v>
      </c>
      <c r="G109" s="216" t="str">
        <f t="array" ref="G109">IFERROR(INDEX('2_Data_Pelanggan'!$I$5:$I$499,MATCH($B109,'2_Data_Pelanggan'!$O$5:$O$499,0))&amp;"/"&amp;INDEX('2_Data_Pelanggan'!$J$5:$J$499,MATCH($B109,'2_Data_Pelanggan'!$O$5:$O$499,0)),"")</f>
        <v>6/1</v>
      </c>
      <c r="H109" s="287">
        <f t="array" ref="H109">IFERROR(INDEX('2_Data_Pelanggan'!$M$5:$M$499,MATCH($B109,'2_Data_Pelanggan'!$O$5:$O$499,0)),"")</f>
        <v>20</v>
      </c>
      <c r="I109" s="287" t="str">
        <f t="array" ref="I109">IFERROR(INDEX('2_Data_Pelanggan'!$W$5:$W$499,MATCH($B109,'2_Data_Pelanggan'!$O$5:$O$499,0)),"")</f>
        <v>Aktif</v>
      </c>
      <c r="J109" s="107" t="str">
        <f t="array" ref="J109">IFERROR(IF(INDEX('2_Data_Pelanggan'!$F$5:$F$499,MATCH($B109,'2_Data_Pelanggan'!$O$5:$O$499,0))="","",HYPERLINK("https://wa.me/62"&amp;MID(INDEX('2_Data_Pelanggan'!$F$5:$F$499,MATCH($B109,'2_Data_Pelanggan'!$O$5:$O$499,0)),2,20),"Chat WA")),"")</f>
        <v>Chat WA</v>
      </c>
      <c r="K109" s="107" t="str">
        <f t="array" ref="K109">IFERROR(IF(INDEX('2_Data_Pelanggan'!$F$5:$F$499,MATCH($B109,'2_Data_Pelanggan'!$O$5:$O$499,0))="","",HYPERLINK("https://wa.me/62"&amp;MID(INDEX('2_Data_Pelanggan'!$F$5:$F$499,MATCH($B109,'2_Data_Pelanggan'!$O$5:$O$499,0)),2,LEN(INDEX('2_Data_Pelanggan'!$F$5:$F$499,MATCH($B109,'2_Data_Pelanggan'!$O$5:$O$499,0)))-1)&amp;"?text="&amp;SUBSTITUTE(SUBSTITUTE("Selamat "&amp;IF(HOUR(NOW())&lt;11,"Pagi",IF(HOUR(NOW())&lt;15,"Siang",IF(HOUR(NOW())&lt;18,"Sore","Malam")))&amp;" Bapak/Ibu "&amp;E109&amp;","&amp;CHAR(10)&amp;CHAR(10)&amp;"Mohon maaf mengganggu waktunya. Kami dari Tim Teknis ARMEDIA Net mendeteksi jaringan internet di rumah Bapak/Ibu sedang OFFLINE."&amp;CHAR(10)&amp;CHAR(10)&amp;"ID Pelanggan: "&amp;D109&amp;CHAR(10)&amp;CHAR(10)&amp;"Mohon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</row>
    <row r="110" ht="15.0" customHeight="1">
      <c r="A110" s="285">
        <v>90.0</v>
      </c>
      <c r="B110" s="286" t="s">
        <v>1870</v>
      </c>
      <c r="C110" s="286" t="s">
        <v>1865</v>
      </c>
      <c r="D110" s="287" t="str">
        <f t="array" ref="D110">IFERROR(INDEX('2_Data_Pelanggan'!$B$5:$B$499,MATCH($B110,'2_Data_Pelanggan'!$O$5:$O$499,0)),"")</f>
        <v/>
      </c>
      <c r="E110" s="288" t="str">
        <f t="array" ref="E110">IFERROR(INDEX('2_Data_Pelanggan'!$D$5:$D$499,MATCH($B110,'2_Data_Pelanggan'!$O$5:$O$499,0)),"")</f>
        <v/>
      </c>
      <c r="F110" s="226" t="str">
        <f t="array" ref="F110">IFERROR(INDEX('2_Data_Pelanggan'!$H$5:$H$499,MATCH($B110,'2_Data_Pelanggan'!$O$5:$O$499,0)),"")</f>
        <v/>
      </c>
      <c r="G110" s="216" t="str">
        <f t="array" ref="G110">IFERROR(INDEX('2_Data_Pelanggan'!$I$5:$I$499,MATCH($B110,'2_Data_Pelanggan'!$O$5:$O$499,0))&amp;"/"&amp;INDEX('2_Data_Pelanggan'!$J$5:$J$499,MATCH($B110,'2_Data_Pelanggan'!$O$5:$O$499,0)),"")</f>
        <v/>
      </c>
      <c r="H110" s="287" t="str">
        <f t="array" ref="H110">IFERROR(INDEX('2_Data_Pelanggan'!$M$5:$M$499,MATCH($B110,'2_Data_Pelanggan'!$O$5:$O$499,0)),"")</f>
        <v/>
      </c>
      <c r="I110" s="287" t="str">
        <f t="array" ref="I110">IFERROR(INDEX('2_Data_Pelanggan'!$W$5:$W$499,MATCH($B110,'2_Data_Pelanggan'!$O$5:$O$499,0)),"")</f>
        <v/>
      </c>
      <c r="J110" s="107" t="str">
        <f t="array" ref="J110">IFERROR(IF(INDEX('2_Data_Pelanggan'!$F$5:$F$499,MATCH($B110,'2_Data_Pelanggan'!$O$5:$O$499,0))="","",HYPERLINK("https://wa.me/62"&amp;MID(INDEX('2_Data_Pelanggan'!$F$5:$F$499,MATCH($B110,'2_Data_Pelanggan'!$O$5:$O$499,0)),2,20),"Chat WA")),"")</f>
        <v/>
      </c>
      <c r="K110" s="107" t="str">
        <f t="array" ref="K110">IFERROR(IF(INDEX('2_Data_Pelanggan'!$F$5:$F$499,MATCH($B110,'2_Data_Pelanggan'!$O$5:$O$499,0))="","",HYPERLINK("https://wa.me/62"&amp;MID(INDEX('2_Data_Pelanggan'!$F$5:$F$499,MATCH($B110,'2_Data_Pelanggan'!$O$5:$O$499,0)),2,LEN(INDEX('2_Data_Pelanggan'!$F$5:$F$499,MATCH($B110,'2_Data_Pelanggan'!$O$5:$O$499,0)))-1)&amp;"?text="&amp;SUBSTITUTE(SUBSTITUTE("Selamat "&amp;IF(HOUR(NOW())&lt;11,"Pagi",IF(HOUR(NOW())&lt;15,"Siang",IF(HOUR(NOW())&lt;18,"Sore","Malam")))&amp;" Bapak/Ibu "&amp;E110&amp;","&amp;CHAR(10)&amp;CHAR(10)&amp;"Mohon maaf mengganggu waktunya. Kami dari Tim Teknis ARMEDIA Net mendeteksi jaringan internet di rumah Bapak/Ibu sedang OFFLINE."&amp;CHAR(10)&amp;CHAR(10)&amp;"ID Pelanggan: "&amp;D110&amp;CHAR(10)&amp;CHAR(10)&amp;"Mohon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</row>
    <row r="111" ht="15.0" customHeight="1">
      <c r="A111" s="285">
        <v>91.0</v>
      </c>
      <c r="B111" s="286" t="s">
        <v>801</v>
      </c>
      <c r="C111" s="286" t="s">
        <v>1865</v>
      </c>
      <c r="D111" s="287" t="str">
        <f t="array" ref="D111">IFERROR(INDEX('2_Data_Pelanggan'!$B$5:$B$499,MATCH($B111,'2_Data_Pelanggan'!$O$5:$O$499,0)),"")</f>
        <v>ARM-0078</v>
      </c>
      <c r="E111" s="288" t="str">
        <f t="array" ref="E111">IFERROR(INDEX('2_Data_Pelanggan'!$D$5:$D$499,MATCH($B111,'2_Data_Pelanggan'!$O$5:$O$499,0)),"")</f>
        <v>RUMBINI</v>
      </c>
      <c r="F111" s="226" t="str">
        <f t="array" ref="F111">IFERROR(INDEX('2_Data_Pelanggan'!$H$5:$H$499,MATCH($B111,'2_Data_Pelanggan'!$O$5:$O$499,0)),"")</f>
        <v>CIWARAS</v>
      </c>
      <c r="G111" s="216" t="str">
        <f t="array" ref="G111">IFERROR(INDEX('2_Data_Pelanggan'!$I$5:$I$499,MATCH($B111,'2_Data_Pelanggan'!$O$5:$O$499,0))&amp;"/"&amp;INDEX('2_Data_Pelanggan'!$J$5:$J$499,MATCH($B111,'2_Data_Pelanggan'!$O$5:$O$499,0)),"")</f>
        <v>3/1</v>
      </c>
      <c r="H111" s="287">
        <f t="array" ref="H111">IFERROR(INDEX('2_Data_Pelanggan'!$M$5:$M$499,MATCH($B111,'2_Data_Pelanggan'!$O$5:$O$499,0)),"")</f>
        <v>20</v>
      </c>
      <c r="I111" s="287" t="str">
        <f t="array" ref="I111">IFERROR(INDEX('2_Data_Pelanggan'!$W$5:$W$499,MATCH($B111,'2_Data_Pelanggan'!$O$5:$O$499,0)),"")</f>
        <v>Aktif</v>
      </c>
      <c r="J111" s="107" t="str">
        <f t="array" ref="J111">IFERROR(IF(INDEX('2_Data_Pelanggan'!$F$5:$F$499,MATCH($B111,'2_Data_Pelanggan'!$O$5:$O$499,0))="","",HYPERLINK("https://wa.me/62"&amp;MID(INDEX('2_Data_Pelanggan'!$F$5:$F$499,MATCH($B111,'2_Data_Pelanggan'!$O$5:$O$499,0)),2,20),"Chat WA")),"")</f>
        <v>Chat WA</v>
      </c>
      <c r="K111" s="107" t="str">
        <f t="array" ref="K111">IFERROR(IF(INDEX('2_Data_Pelanggan'!$F$5:$F$499,MATCH($B111,'2_Data_Pelanggan'!$O$5:$O$499,0))="","",HYPERLINK("https://wa.me/62"&amp;MID(INDEX('2_Data_Pelanggan'!$F$5:$F$499,MATCH($B111,'2_Data_Pelanggan'!$O$5:$O$499,0)),2,LEN(INDEX('2_Data_Pelanggan'!$F$5:$F$499,MATCH($B111,'2_Data_Pelanggan'!$O$5:$O$499,0)))-1)&amp;"?text="&amp;SUBSTITUTE(SUBSTITUTE("Selamat "&amp;IF(HOUR(NOW())&lt;11,"Pagi",IF(HOUR(NOW())&lt;15,"Siang",IF(HOUR(NOW())&lt;18,"Sore","Malam")))&amp;" Bapak/Ibu "&amp;E111&amp;","&amp;CHAR(10)&amp;CHAR(10)&amp;"Mohon maaf mengganggu waktunya. Kami dari Tim Teknis ARMEDIA Net mendeteksi jaringan internet di rumah Bapak/Ibu sedang OFFLINE."&amp;CHAR(10)&amp;CHAR(10)&amp;"ID Pelanggan: "&amp;D111&amp;CHAR(10)&amp;CHAR(10)&amp;"Mohon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</row>
    <row r="112" ht="15.0" customHeight="1">
      <c r="A112" s="285">
        <v>92.0</v>
      </c>
      <c r="B112" s="286" t="s">
        <v>823</v>
      </c>
      <c r="C112" s="286" t="s">
        <v>1865</v>
      </c>
      <c r="D112" s="287" t="str">
        <f t="array" ref="D112">IFERROR(INDEX('2_Data_Pelanggan'!$B$5:$B$499,MATCH($B112,'2_Data_Pelanggan'!$O$5:$O$499,0)),"")</f>
        <v>ARM-0081</v>
      </c>
      <c r="E112" s="288" t="str">
        <f t="array" ref="E112">IFERROR(INDEX('2_Data_Pelanggan'!$D$5:$D$499,MATCH($B112,'2_Data_Pelanggan'!$O$5:$O$499,0)),"")</f>
        <v>SRI MARTINI - IMAM ST</v>
      </c>
      <c r="F112" s="226" t="str">
        <f t="array" ref="F112">IFERROR(INDEX('2_Data_Pelanggan'!$H$5:$H$499,MATCH($B112,'2_Data_Pelanggan'!$O$5:$O$499,0)),"")</f>
        <v>GUMELAR</v>
      </c>
      <c r="G112" s="216" t="str">
        <f t="array" ref="G112">IFERROR(INDEX('2_Data_Pelanggan'!$I$5:$I$499,MATCH($B112,'2_Data_Pelanggan'!$O$5:$O$499,0))&amp;"/"&amp;INDEX('2_Data_Pelanggan'!$J$5:$J$499,MATCH($B112,'2_Data_Pelanggan'!$O$5:$O$499,0)),"")</f>
        <v>1/8</v>
      </c>
      <c r="H112" s="287">
        <f t="array" ref="H112">IFERROR(INDEX('2_Data_Pelanggan'!$M$5:$M$499,MATCH($B112,'2_Data_Pelanggan'!$O$5:$O$499,0)),"")</f>
        <v>20</v>
      </c>
      <c r="I112" s="287" t="str">
        <f t="array" ref="I112">IFERROR(INDEX('2_Data_Pelanggan'!$W$5:$W$499,MATCH($B112,'2_Data_Pelanggan'!$O$5:$O$499,0)),"")</f>
        <v>Aktif</v>
      </c>
      <c r="J112" s="107" t="str">
        <f t="array" ref="J112">IFERROR(IF(INDEX('2_Data_Pelanggan'!$F$5:$F$499,MATCH($B112,'2_Data_Pelanggan'!$O$5:$O$499,0))="","",HYPERLINK("https://wa.me/62"&amp;MID(INDEX('2_Data_Pelanggan'!$F$5:$F$499,MATCH($B112,'2_Data_Pelanggan'!$O$5:$O$499,0)),2,20),"Chat WA")),"")</f>
        <v>Chat WA</v>
      </c>
      <c r="K112" s="107" t="str">
        <f t="array" ref="K112">IFERROR(IF(INDEX('2_Data_Pelanggan'!$F$5:$F$499,MATCH($B112,'2_Data_Pelanggan'!$O$5:$O$499,0))="","",HYPERLINK("https://wa.me/62"&amp;MID(INDEX('2_Data_Pelanggan'!$F$5:$F$499,MATCH($B112,'2_Data_Pelanggan'!$O$5:$O$499,0)),2,LEN(INDEX('2_Data_Pelanggan'!$F$5:$F$499,MATCH($B112,'2_Data_Pelanggan'!$O$5:$O$499,0)))-1)&amp;"?text="&amp;SUBSTITUTE(SUBSTITUTE("Selamat "&amp;IF(HOUR(NOW())&lt;11,"Pagi",IF(HOUR(NOW())&lt;15,"Siang",IF(HOUR(NOW())&lt;18,"Sore","Malam")))&amp;" Bapak/Ibu "&amp;E112&amp;","&amp;CHAR(10)&amp;CHAR(10)&amp;"Mohon maaf mengganggu waktunya. Kami dari Tim Teknis ARMEDIA Net mendeteksi jaringan internet di rumah Bapak/Ibu sedang OFFLINE."&amp;CHAR(10)&amp;CHAR(10)&amp;"ID Pelanggan: "&amp;D112&amp;CHAR(10)&amp;CHAR(10)&amp;"Mohon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</row>
    <row r="113" ht="15.0" customHeight="1">
      <c r="A113" s="285">
        <v>93.0</v>
      </c>
      <c r="B113" s="286" t="s">
        <v>816</v>
      </c>
      <c r="C113" s="286" t="s">
        <v>1865</v>
      </c>
      <c r="D113" s="287" t="str">
        <f t="array" ref="D113">IFERROR(INDEX('2_Data_Pelanggan'!$B$5:$B$499,MATCH($B113,'2_Data_Pelanggan'!$O$5:$O$499,0)),"")</f>
        <v>ARM-0080</v>
      </c>
      <c r="E113" s="288" t="str">
        <f t="array" ref="E113">IFERROR(INDEX('2_Data_Pelanggan'!$D$5:$D$499,MATCH($B113,'2_Data_Pelanggan'!$O$5:$O$499,0)),"")</f>
        <v>IMAM SULISTIYO</v>
      </c>
      <c r="F113" s="226" t="str">
        <f t="array" ref="F113">IFERROR(INDEX('2_Data_Pelanggan'!$H$5:$H$499,MATCH($B113,'2_Data_Pelanggan'!$O$5:$O$499,0)),"")</f>
        <v>GUMELAR</v>
      </c>
      <c r="G113" s="216" t="str">
        <f t="array" ref="G113">IFERROR(INDEX('2_Data_Pelanggan'!$I$5:$I$499,MATCH($B113,'2_Data_Pelanggan'!$O$5:$O$499,0))&amp;"/"&amp;INDEX('2_Data_Pelanggan'!$J$5:$J$499,MATCH($B113,'2_Data_Pelanggan'!$O$5:$O$499,0)),"")</f>
        <v>1/8</v>
      </c>
      <c r="H113" s="287">
        <f t="array" ref="H113">IFERROR(INDEX('2_Data_Pelanggan'!$M$5:$M$499,MATCH($B113,'2_Data_Pelanggan'!$O$5:$O$499,0)),"")</f>
        <v>20</v>
      </c>
      <c r="I113" s="287" t="str">
        <f t="array" ref="I113">IFERROR(INDEX('2_Data_Pelanggan'!$W$5:$W$499,MATCH($B113,'2_Data_Pelanggan'!$O$5:$O$499,0)),"")</f>
        <v>Aktif</v>
      </c>
      <c r="J113" s="107" t="str">
        <f t="array" ref="J113">IFERROR(IF(INDEX('2_Data_Pelanggan'!$F$5:$F$499,MATCH($B113,'2_Data_Pelanggan'!$O$5:$O$499,0))="","",HYPERLINK("https://wa.me/62"&amp;MID(INDEX('2_Data_Pelanggan'!$F$5:$F$499,MATCH($B113,'2_Data_Pelanggan'!$O$5:$O$499,0)),2,20),"Chat WA")),"")</f>
        <v>Chat WA</v>
      </c>
      <c r="K113" s="107" t="str">
        <f t="array" ref="K113">IFERROR(IF(INDEX('2_Data_Pelanggan'!$F$5:$F$499,MATCH($B113,'2_Data_Pelanggan'!$O$5:$O$499,0))="","",HYPERLINK("https://wa.me/62"&amp;MID(INDEX('2_Data_Pelanggan'!$F$5:$F$499,MATCH($B113,'2_Data_Pelanggan'!$O$5:$O$499,0)),2,LEN(INDEX('2_Data_Pelanggan'!$F$5:$F$499,MATCH($B113,'2_Data_Pelanggan'!$O$5:$O$499,0)))-1)&amp;"?text="&amp;SUBSTITUTE(SUBSTITUTE("Selamat "&amp;IF(HOUR(NOW())&lt;11,"Pagi",IF(HOUR(NOW())&lt;15,"Siang",IF(HOUR(NOW())&lt;18,"Sore","Malam")))&amp;" Bapak/Ibu "&amp;E113&amp;","&amp;CHAR(10)&amp;CHAR(10)&amp;"Mohon maaf mengganggu waktunya. Kami dari Tim Teknis ARMEDIA Net mendeteksi jaringan internet di rumah Bapak/Ibu sedang OFFLINE."&amp;CHAR(10)&amp;CHAR(10)&amp;"ID Pelanggan: "&amp;D113&amp;CHAR(10)&amp;CHAR(10)&amp;"Mohon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</row>
    <row r="114" ht="15.0" customHeight="1">
      <c r="A114" s="285">
        <v>94.0</v>
      </c>
      <c r="B114" s="286" t="s">
        <v>894</v>
      </c>
      <c r="C114" s="286" t="s">
        <v>1865</v>
      </c>
      <c r="D114" s="287" t="str">
        <f t="array" ref="D114">IFERROR(INDEX('2_Data_Pelanggan'!$B$5:$B$499,MATCH($B114,'2_Data_Pelanggan'!$O$5:$O$499,0)),"")</f>
        <v>ARM-0090</v>
      </c>
      <c r="E114" s="288" t="str">
        <f t="array" ref="E114">IFERROR(INDEX('2_Data_Pelanggan'!$D$5:$D$499,MATCH($B114,'2_Data_Pelanggan'!$O$5:$O$499,0)),"")</f>
        <v>TARSIMAN</v>
      </c>
      <c r="F114" s="226" t="str">
        <f t="array" ref="F114">IFERROR(INDEX('2_Data_Pelanggan'!$H$5:$H$499,MATCH($B114,'2_Data_Pelanggan'!$O$5:$O$499,0)),"")</f>
        <v>GUMELAR</v>
      </c>
      <c r="G114" s="216" t="str">
        <f t="array" ref="G114">IFERROR(INDEX('2_Data_Pelanggan'!$I$5:$I$499,MATCH($B114,'2_Data_Pelanggan'!$O$5:$O$499,0))&amp;"/"&amp;INDEX('2_Data_Pelanggan'!$J$5:$J$499,MATCH($B114,'2_Data_Pelanggan'!$O$5:$O$499,0)),"")</f>
        <v>9/2</v>
      </c>
      <c r="H114" s="287">
        <f t="array" ref="H114">IFERROR(INDEX('2_Data_Pelanggan'!$M$5:$M$499,MATCH($B114,'2_Data_Pelanggan'!$O$5:$O$499,0)),"")</f>
        <v>20</v>
      </c>
      <c r="I114" s="287" t="str">
        <f t="array" ref="I114">IFERROR(INDEX('2_Data_Pelanggan'!$W$5:$W$499,MATCH($B114,'2_Data_Pelanggan'!$O$5:$O$499,0)),"")</f>
        <v>Aktif</v>
      </c>
      <c r="J114" s="107" t="str">
        <f t="array" ref="J114">IFERROR(IF(INDEX('2_Data_Pelanggan'!$F$5:$F$499,MATCH($B114,'2_Data_Pelanggan'!$O$5:$O$499,0))="","",HYPERLINK("https://wa.me/62"&amp;MID(INDEX('2_Data_Pelanggan'!$F$5:$F$499,MATCH($B114,'2_Data_Pelanggan'!$O$5:$O$499,0)),2,20),"Chat WA")),"")</f>
        <v>Chat WA</v>
      </c>
      <c r="K114" s="107" t="str">
        <f t="array" ref="K114">IFERROR(IF(INDEX('2_Data_Pelanggan'!$F$5:$F$499,MATCH($B114,'2_Data_Pelanggan'!$O$5:$O$499,0))="","",HYPERLINK("https://wa.me/62"&amp;MID(INDEX('2_Data_Pelanggan'!$F$5:$F$499,MATCH($B114,'2_Data_Pelanggan'!$O$5:$O$499,0)),2,LEN(INDEX('2_Data_Pelanggan'!$F$5:$F$499,MATCH($B114,'2_Data_Pelanggan'!$O$5:$O$499,0)))-1)&amp;"?text="&amp;SUBSTITUTE(SUBSTITUTE("Selamat "&amp;IF(HOUR(NOW())&lt;11,"Pagi",IF(HOUR(NOW())&lt;15,"Siang",IF(HOUR(NOW())&lt;18,"Sore","Malam")))&amp;" Bapak/Ibu "&amp;E114&amp;","&amp;CHAR(10)&amp;CHAR(10)&amp;"Mohon maaf mengganggu waktunya. Kami dari Tim Teknis ARMEDIA Net mendeteksi jaringan internet di rumah Bapak/Ibu sedang OFFLINE."&amp;CHAR(10)&amp;CHAR(10)&amp;"ID Pelanggan: "&amp;D114&amp;CHAR(10)&amp;CHAR(10)&amp;"Mohon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</row>
    <row r="115" ht="15.0" customHeight="1">
      <c r="A115" s="285">
        <v>95.0</v>
      </c>
      <c r="B115" s="286" t="s">
        <v>879</v>
      </c>
      <c r="C115" s="286" t="s">
        <v>1865</v>
      </c>
      <c r="D115" s="287" t="str">
        <f t="array" ref="D115">IFERROR(INDEX('2_Data_Pelanggan'!$B$5:$B$499,MATCH($B115,'2_Data_Pelanggan'!$O$5:$O$499,0)),"")</f>
        <v>ARM-0088</v>
      </c>
      <c r="E115" s="288" t="str">
        <f t="array" ref="E115">IFERROR(INDEX('2_Data_Pelanggan'!$D$5:$D$499,MATCH($B115,'2_Data_Pelanggan'!$O$5:$O$499,0)),"")</f>
        <v>NEDJMA FELAMAYA</v>
      </c>
      <c r="F115" s="226" t="str">
        <f t="array" ref="F115">IFERROR(INDEX('2_Data_Pelanggan'!$H$5:$H$499,MATCH($B115,'2_Data_Pelanggan'!$O$5:$O$499,0)),"")</f>
        <v>GUMELAR</v>
      </c>
      <c r="G115" s="216" t="str">
        <f t="array" ref="G115">IFERROR(INDEX('2_Data_Pelanggan'!$I$5:$I$499,MATCH($B115,'2_Data_Pelanggan'!$O$5:$O$499,0))&amp;"/"&amp;INDEX('2_Data_Pelanggan'!$J$5:$J$499,MATCH($B115,'2_Data_Pelanggan'!$O$5:$O$499,0)),"")</f>
        <v>1/3</v>
      </c>
      <c r="H115" s="287">
        <f t="array" ref="H115">IFERROR(INDEX('2_Data_Pelanggan'!$M$5:$M$499,MATCH($B115,'2_Data_Pelanggan'!$O$5:$O$499,0)),"")</f>
        <v>20</v>
      </c>
      <c r="I115" s="287" t="str">
        <f t="array" ref="I115">IFERROR(INDEX('2_Data_Pelanggan'!$W$5:$W$499,MATCH($B115,'2_Data_Pelanggan'!$O$5:$O$499,0)),"")</f>
        <v>Aktif</v>
      </c>
      <c r="J115" s="107" t="str">
        <f t="array" ref="J115">IFERROR(IF(INDEX('2_Data_Pelanggan'!$F$5:$F$499,MATCH($B115,'2_Data_Pelanggan'!$O$5:$O$499,0))="","",HYPERLINK("https://wa.me/62"&amp;MID(INDEX('2_Data_Pelanggan'!$F$5:$F$499,MATCH($B115,'2_Data_Pelanggan'!$O$5:$O$499,0)),2,20),"Chat WA")),"")</f>
        <v>Chat WA</v>
      </c>
      <c r="K115" s="107" t="str">
        <f t="array" ref="K115">IFERROR(IF(INDEX('2_Data_Pelanggan'!$F$5:$F$499,MATCH($B115,'2_Data_Pelanggan'!$O$5:$O$499,0))="","",HYPERLINK("https://wa.me/62"&amp;MID(INDEX('2_Data_Pelanggan'!$F$5:$F$499,MATCH($B115,'2_Data_Pelanggan'!$O$5:$O$499,0)),2,LEN(INDEX('2_Data_Pelanggan'!$F$5:$F$499,MATCH($B115,'2_Data_Pelanggan'!$O$5:$O$499,0)))-1)&amp;"?text="&amp;SUBSTITUTE(SUBSTITUTE("Selamat "&amp;IF(HOUR(NOW())&lt;11,"Pagi",IF(HOUR(NOW())&lt;15,"Siang",IF(HOUR(NOW())&lt;18,"Sore","Malam")))&amp;" Bapak/Ibu "&amp;E115&amp;","&amp;CHAR(10)&amp;CHAR(10)&amp;"Mohon maaf mengganggu waktunya. Kami dari Tim Teknis ARMEDIA Net mendeteksi jaringan internet di rumah Bapak/Ibu sedang OFFLINE."&amp;CHAR(10)&amp;CHAR(10)&amp;"ID Pelanggan: "&amp;D115&amp;CHAR(10)&amp;CHAR(10)&amp;"Mohon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</row>
    <row r="116" ht="15.0" customHeight="1">
      <c r="A116" s="285">
        <v>96.0</v>
      </c>
      <c r="B116" s="286" t="s">
        <v>871</v>
      </c>
      <c r="C116" s="286" t="s">
        <v>1865</v>
      </c>
      <c r="D116" s="287" t="str">
        <f t="array" ref="D116">IFERROR(INDEX('2_Data_Pelanggan'!$B$5:$B$499,MATCH($B116,'2_Data_Pelanggan'!$O$5:$O$499,0)),"")</f>
        <v>ARM-0087</v>
      </c>
      <c r="E116" s="288" t="str">
        <f t="array" ref="E116">IFERROR(INDEX('2_Data_Pelanggan'!$D$5:$D$499,MATCH($B116,'2_Data_Pelanggan'!$O$5:$O$499,0)),"")</f>
        <v>WHELLY WALUYO</v>
      </c>
      <c r="F116" s="226" t="str">
        <f t="array" ref="F116">IFERROR(INDEX('2_Data_Pelanggan'!$H$5:$H$499,MATCH($B116,'2_Data_Pelanggan'!$O$5:$O$499,0)),"")</f>
        <v>GUMELAR</v>
      </c>
      <c r="G116" s="216" t="str">
        <f t="array" ref="G116">IFERROR(INDEX('2_Data_Pelanggan'!$I$5:$I$499,MATCH($B116,'2_Data_Pelanggan'!$O$5:$O$499,0))&amp;"/"&amp;INDEX('2_Data_Pelanggan'!$J$5:$J$499,MATCH($B116,'2_Data_Pelanggan'!$O$5:$O$499,0)),"")</f>
        <v>1/2</v>
      </c>
      <c r="H116" s="287">
        <f t="array" ref="H116">IFERROR(INDEX('2_Data_Pelanggan'!$M$5:$M$499,MATCH($B116,'2_Data_Pelanggan'!$O$5:$O$499,0)),"")</f>
        <v>20</v>
      </c>
      <c r="I116" s="287" t="str">
        <f t="array" ref="I116">IFERROR(INDEX('2_Data_Pelanggan'!$W$5:$W$499,MATCH($B116,'2_Data_Pelanggan'!$O$5:$O$499,0)),"")</f>
        <v>Aktif</v>
      </c>
      <c r="J116" s="107" t="str">
        <f t="array" ref="J116">IFERROR(IF(INDEX('2_Data_Pelanggan'!$F$5:$F$499,MATCH($B116,'2_Data_Pelanggan'!$O$5:$O$499,0))="","",HYPERLINK("https://wa.me/62"&amp;MID(INDEX('2_Data_Pelanggan'!$F$5:$F$499,MATCH($B116,'2_Data_Pelanggan'!$O$5:$O$499,0)),2,20),"Chat WA")),"")</f>
        <v>Chat WA</v>
      </c>
      <c r="K116" s="107" t="str">
        <f t="array" ref="K116">IFERROR(IF(INDEX('2_Data_Pelanggan'!$F$5:$F$499,MATCH($B116,'2_Data_Pelanggan'!$O$5:$O$499,0))="","",HYPERLINK("https://wa.me/62"&amp;MID(INDEX('2_Data_Pelanggan'!$F$5:$F$499,MATCH($B116,'2_Data_Pelanggan'!$O$5:$O$499,0)),2,LEN(INDEX('2_Data_Pelanggan'!$F$5:$F$499,MATCH($B116,'2_Data_Pelanggan'!$O$5:$O$499,0)))-1)&amp;"?text="&amp;SUBSTITUTE(SUBSTITUTE("Selamat "&amp;IF(HOUR(NOW())&lt;11,"Pagi",IF(HOUR(NOW())&lt;15,"Siang",IF(HOUR(NOW())&lt;18,"Sore","Malam")))&amp;" Bapak/Ibu "&amp;E116&amp;","&amp;CHAR(10)&amp;CHAR(10)&amp;"Mohon maaf mengganggu waktunya. Kami dari Tim Teknis ARMEDIA Net mendeteksi jaringan internet di rumah Bapak/Ibu sedang OFFLINE."&amp;CHAR(10)&amp;CHAR(10)&amp;"ID Pelanggan: "&amp;D116&amp;CHAR(10)&amp;CHAR(10)&amp;"Mohon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</row>
    <row r="117" ht="15.0" customHeight="1">
      <c r="A117" s="285">
        <v>97.0</v>
      </c>
      <c r="B117" s="286" t="s">
        <v>887</v>
      </c>
      <c r="C117" s="286" t="s">
        <v>1865</v>
      </c>
      <c r="D117" s="287" t="str">
        <f t="array" ref="D117">IFERROR(INDEX('2_Data_Pelanggan'!$B$5:$B$499,MATCH($B117,'2_Data_Pelanggan'!$O$5:$O$499,0)),"")</f>
        <v>ARM-0089</v>
      </c>
      <c r="E117" s="288" t="str">
        <f t="array" ref="E117">IFERROR(INDEX('2_Data_Pelanggan'!$D$5:$D$499,MATCH($B117,'2_Data_Pelanggan'!$O$5:$O$499,0)),"")</f>
        <v>DARYONO</v>
      </c>
      <c r="F117" s="226" t="str">
        <f t="array" ref="F117">IFERROR(INDEX('2_Data_Pelanggan'!$H$5:$H$499,MATCH($B117,'2_Data_Pelanggan'!$O$5:$O$499,0)),"")</f>
        <v>GUMELAR</v>
      </c>
      <c r="G117" s="216" t="str">
        <f t="array" ref="G117">IFERROR(INDEX('2_Data_Pelanggan'!$I$5:$I$499,MATCH($B117,'2_Data_Pelanggan'!$O$5:$O$499,0))&amp;"/"&amp;INDEX('2_Data_Pelanggan'!$J$5:$J$499,MATCH($B117,'2_Data_Pelanggan'!$O$5:$O$499,0)),"")</f>
        <v>1/4</v>
      </c>
      <c r="H117" s="287">
        <f t="array" ref="H117">IFERROR(INDEX('2_Data_Pelanggan'!$M$5:$M$499,MATCH($B117,'2_Data_Pelanggan'!$O$5:$O$499,0)),"")</f>
        <v>20</v>
      </c>
      <c r="I117" s="287" t="str">
        <f t="array" ref="I117">IFERROR(INDEX('2_Data_Pelanggan'!$W$5:$W$499,MATCH($B117,'2_Data_Pelanggan'!$O$5:$O$499,0)),"")</f>
        <v>Aktif</v>
      </c>
      <c r="J117" s="107" t="str">
        <f t="array" ref="J117">IFERROR(IF(INDEX('2_Data_Pelanggan'!$F$5:$F$499,MATCH($B117,'2_Data_Pelanggan'!$O$5:$O$499,0))="","",HYPERLINK("https://wa.me/62"&amp;MID(INDEX('2_Data_Pelanggan'!$F$5:$F$499,MATCH($B117,'2_Data_Pelanggan'!$O$5:$O$499,0)),2,20),"Chat WA")),"")</f>
        <v>Chat WA</v>
      </c>
      <c r="K117" s="107" t="str">
        <f t="array" ref="K117">IFERROR(IF(INDEX('2_Data_Pelanggan'!$F$5:$F$499,MATCH($B117,'2_Data_Pelanggan'!$O$5:$O$499,0))="","",HYPERLINK("https://wa.me/62"&amp;MID(INDEX('2_Data_Pelanggan'!$F$5:$F$499,MATCH($B117,'2_Data_Pelanggan'!$O$5:$O$499,0)),2,LEN(INDEX('2_Data_Pelanggan'!$F$5:$F$499,MATCH($B117,'2_Data_Pelanggan'!$O$5:$O$499,0)))-1)&amp;"?text="&amp;SUBSTITUTE(SUBSTITUTE("Selamat "&amp;IF(HOUR(NOW())&lt;11,"Pagi",IF(HOUR(NOW())&lt;15,"Siang",IF(HOUR(NOW())&lt;18,"Sore","Malam")))&amp;" Bapak/Ibu "&amp;E117&amp;","&amp;CHAR(10)&amp;CHAR(10)&amp;"Mohon maaf mengganggu waktunya. Kami dari Tim Teknis ARMEDIA Net mendeteksi jaringan internet di rumah Bapak/Ibu sedang OFFLINE."&amp;CHAR(10)&amp;CHAR(10)&amp;"ID Pelanggan: "&amp;D117&amp;CHAR(10)&amp;CHAR(10)&amp;"Mohon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</row>
    <row r="118" ht="15.0" customHeight="1">
      <c r="A118" s="285">
        <v>98.0</v>
      </c>
      <c r="B118" s="286" t="s">
        <v>730</v>
      </c>
      <c r="C118" s="286" t="s">
        <v>1865</v>
      </c>
      <c r="D118" s="287" t="str">
        <f t="array" ref="D118">IFERROR(INDEX('2_Data_Pelanggan'!$B$5:$B$499,MATCH($B118,'2_Data_Pelanggan'!$O$5:$O$499,0)),"")</f>
        <v>ARM-0069</v>
      </c>
      <c r="E118" s="288" t="str">
        <f t="array" ref="E118">IFERROR(INDEX('2_Data_Pelanggan'!$D$5:$D$499,MATCH($B118,'2_Data_Pelanggan'!$O$5:$O$499,0)),"")</f>
        <v>GAYUH MUTIARA NISA</v>
      </c>
      <c r="F118" s="226" t="str">
        <f t="array" ref="F118">IFERROR(INDEX('2_Data_Pelanggan'!$H$5:$H$499,MATCH($B118,'2_Data_Pelanggan'!$O$5:$O$499,0)),"")</f>
        <v>GUMELAR</v>
      </c>
      <c r="G118" s="216" t="str">
        <f t="array" ref="G118">IFERROR(INDEX('2_Data_Pelanggan'!$I$5:$I$499,MATCH($B118,'2_Data_Pelanggan'!$O$5:$O$499,0))&amp;"/"&amp;INDEX('2_Data_Pelanggan'!$J$5:$J$499,MATCH($B118,'2_Data_Pelanggan'!$O$5:$O$499,0)),"")</f>
        <v>5/3</v>
      </c>
      <c r="H118" s="287">
        <f t="array" ref="H118">IFERROR(INDEX('2_Data_Pelanggan'!$M$5:$M$499,MATCH($B118,'2_Data_Pelanggan'!$O$5:$O$499,0)),"")</f>
        <v>20</v>
      </c>
      <c r="I118" s="287" t="str">
        <f t="array" ref="I118">IFERROR(INDEX('2_Data_Pelanggan'!$W$5:$W$499,MATCH($B118,'2_Data_Pelanggan'!$O$5:$O$499,0)),"")</f>
        <v>Aktif</v>
      </c>
      <c r="J118" s="107" t="str">
        <f t="array" ref="J118">IFERROR(IF(INDEX('2_Data_Pelanggan'!$F$5:$F$499,MATCH($B118,'2_Data_Pelanggan'!$O$5:$O$499,0))="","",HYPERLINK("https://wa.me/62"&amp;MID(INDEX('2_Data_Pelanggan'!$F$5:$F$499,MATCH($B118,'2_Data_Pelanggan'!$O$5:$O$499,0)),2,20),"Chat WA")),"")</f>
        <v>Chat WA</v>
      </c>
      <c r="K118" s="107" t="str">
        <f t="array" ref="K118">IFERROR(IF(INDEX('2_Data_Pelanggan'!$F$5:$F$499,MATCH($B118,'2_Data_Pelanggan'!$O$5:$O$499,0))="","",HYPERLINK("https://wa.me/62"&amp;MID(INDEX('2_Data_Pelanggan'!$F$5:$F$499,MATCH($B118,'2_Data_Pelanggan'!$O$5:$O$499,0)),2,LEN(INDEX('2_Data_Pelanggan'!$F$5:$F$499,MATCH($B118,'2_Data_Pelanggan'!$O$5:$O$499,0)))-1)&amp;"?text="&amp;SUBSTITUTE(SUBSTITUTE("Selamat "&amp;IF(HOUR(NOW())&lt;11,"Pagi",IF(HOUR(NOW())&lt;15,"Siang",IF(HOUR(NOW())&lt;18,"Sore","Malam")))&amp;" Bapak/Ibu "&amp;E118&amp;","&amp;CHAR(10)&amp;CHAR(10)&amp;"Mohon maaf mengganggu waktunya. Kami dari Tim Teknis ARMEDIA Net mendeteksi jaringan internet di rumah Bapak/Ibu sedang OFFLINE."&amp;CHAR(10)&amp;CHAR(10)&amp;"ID Pelanggan: "&amp;D118&amp;CHAR(10)&amp;CHAR(10)&amp;"Mohon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</row>
    <row r="119" ht="15.0" customHeight="1">
      <c r="A119" s="285">
        <v>99.0</v>
      </c>
      <c r="B119" s="286" t="s">
        <v>926</v>
      </c>
      <c r="C119" s="286" t="s">
        <v>1865</v>
      </c>
      <c r="D119" s="287" t="str">
        <f t="array" ref="D119">IFERROR(INDEX('2_Data_Pelanggan'!$B$5:$B$499,MATCH($B119,'2_Data_Pelanggan'!$O$5:$O$499,0)),"")</f>
        <v>ARM-0094</v>
      </c>
      <c r="E119" s="288" t="str">
        <f t="array" ref="E119">IFERROR(INDEX('2_Data_Pelanggan'!$D$5:$D$499,MATCH($B119,'2_Data_Pelanggan'!$O$5:$O$499,0)),"")</f>
        <v>KAMSU</v>
      </c>
      <c r="F119" s="226" t="str">
        <f t="array" ref="F119">IFERROR(INDEX('2_Data_Pelanggan'!$H$5:$H$499,MATCH($B119,'2_Data_Pelanggan'!$O$5:$O$499,0)),"")</f>
        <v>GUMELAR</v>
      </c>
      <c r="G119" s="216" t="str">
        <f t="array" ref="G119">IFERROR(INDEX('2_Data_Pelanggan'!$I$5:$I$499,MATCH($B119,'2_Data_Pelanggan'!$O$5:$O$499,0))&amp;"/"&amp;INDEX('2_Data_Pelanggan'!$J$5:$J$499,MATCH($B119,'2_Data_Pelanggan'!$O$5:$O$499,0)),"")</f>
        <v>2/1</v>
      </c>
      <c r="H119" s="287">
        <f t="array" ref="H119">IFERROR(INDEX('2_Data_Pelanggan'!$M$5:$M$499,MATCH($B119,'2_Data_Pelanggan'!$O$5:$O$499,0)),"")</f>
        <v>20</v>
      </c>
      <c r="I119" s="287" t="str">
        <f t="array" ref="I119">IFERROR(INDEX('2_Data_Pelanggan'!$W$5:$W$499,MATCH($B119,'2_Data_Pelanggan'!$O$5:$O$499,0)),"")</f>
        <v>Aktif</v>
      </c>
      <c r="J119" s="107" t="str">
        <f t="array" ref="J119">IFERROR(IF(INDEX('2_Data_Pelanggan'!$F$5:$F$499,MATCH($B119,'2_Data_Pelanggan'!$O$5:$O$499,0))="","",HYPERLINK("https://wa.me/62"&amp;MID(INDEX('2_Data_Pelanggan'!$F$5:$F$499,MATCH($B119,'2_Data_Pelanggan'!$O$5:$O$499,0)),2,20),"Chat WA")),"")</f>
        <v>Chat WA</v>
      </c>
      <c r="K119" s="107" t="str">
        <f t="array" ref="K119">IFERROR(IF(INDEX('2_Data_Pelanggan'!$F$5:$F$499,MATCH($B119,'2_Data_Pelanggan'!$O$5:$O$499,0))="","",HYPERLINK("https://wa.me/62"&amp;MID(INDEX('2_Data_Pelanggan'!$F$5:$F$499,MATCH($B119,'2_Data_Pelanggan'!$O$5:$O$499,0)),2,LEN(INDEX('2_Data_Pelanggan'!$F$5:$F$499,MATCH($B119,'2_Data_Pelanggan'!$O$5:$O$499,0)))-1)&amp;"?text="&amp;SUBSTITUTE(SUBSTITUTE("Selamat "&amp;IF(HOUR(NOW())&lt;11,"Pagi",IF(HOUR(NOW())&lt;15,"Siang",IF(HOUR(NOW())&lt;18,"Sore","Malam")))&amp;" Bapak/Ibu "&amp;E119&amp;","&amp;CHAR(10)&amp;CHAR(10)&amp;"Mohon maaf mengganggu waktunya. Kami dari Tim Teknis ARMEDIA Net mendeteksi jaringan internet di rumah Bapak/Ibu sedang OFFLINE."&amp;CHAR(10)&amp;CHAR(10)&amp;"ID Pelanggan: "&amp;D119&amp;CHAR(10)&amp;CHAR(10)&amp;"Mohon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</row>
    <row r="120" ht="15.0" customHeight="1">
      <c r="A120" s="285">
        <v>100.0</v>
      </c>
      <c r="B120" s="286" t="s">
        <v>933</v>
      </c>
      <c r="C120" s="286" t="s">
        <v>1865</v>
      </c>
      <c r="D120" s="287" t="str">
        <f t="array" ref="D120">IFERROR(INDEX('2_Data_Pelanggan'!$B$5:$B$499,MATCH($B120,'2_Data_Pelanggan'!$O$5:$O$499,0)),"")</f>
        <v>ARM-0095</v>
      </c>
      <c r="E120" s="288" t="str">
        <f t="array" ref="E120">IFERROR(INDEX('2_Data_Pelanggan'!$D$5:$D$499,MATCH($B120,'2_Data_Pelanggan'!$O$5:$O$499,0)),"")</f>
        <v>SLAMET WALUYO</v>
      </c>
      <c r="F120" s="226" t="str">
        <f t="array" ref="F120">IFERROR(INDEX('2_Data_Pelanggan'!$H$5:$H$499,MATCH($B120,'2_Data_Pelanggan'!$O$5:$O$499,0)),"")</f>
        <v>GUMELAR</v>
      </c>
      <c r="G120" s="216" t="str">
        <f t="array" ref="G120">IFERROR(INDEX('2_Data_Pelanggan'!$I$5:$I$499,MATCH($B120,'2_Data_Pelanggan'!$O$5:$O$499,0))&amp;"/"&amp;INDEX('2_Data_Pelanggan'!$J$5:$J$499,MATCH($B120,'2_Data_Pelanggan'!$O$5:$O$499,0)),"")</f>
        <v>3/5</v>
      </c>
      <c r="H120" s="287">
        <f t="array" ref="H120">IFERROR(INDEX('2_Data_Pelanggan'!$M$5:$M$499,MATCH($B120,'2_Data_Pelanggan'!$O$5:$O$499,0)),"")</f>
        <v>20</v>
      </c>
      <c r="I120" s="287" t="str">
        <f t="array" ref="I120">IFERROR(INDEX('2_Data_Pelanggan'!$W$5:$W$499,MATCH($B120,'2_Data_Pelanggan'!$O$5:$O$499,0)),"")</f>
        <v>Aktif</v>
      </c>
      <c r="J120" s="107" t="str">
        <f t="array" ref="J120">IFERROR(IF(INDEX('2_Data_Pelanggan'!$F$5:$F$499,MATCH($B120,'2_Data_Pelanggan'!$O$5:$O$499,0))="","",HYPERLINK("https://wa.me/62"&amp;MID(INDEX('2_Data_Pelanggan'!$F$5:$F$499,MATCH($B120,'2_Data_Pelanggan'!$O$5:$O$499,0)),2,20),"Chat WA")),"")</f>
        <v>Chat WA</v>
      </c>
      <c r="K120" s="107" t="str">
        <f t="array" ref="K120">IFERROR(IF(INDEX('2_Data_Pelanggan'!$F$5:$F$499,MATCH($B120,'2_Data_Pelanggan'!$O$5:$O$499,0))="","",HYPERLINK("https://wa.me/62"&amp;MID(INDEX('2_Data_Pelanggan'!$F$5:$F$499,MATCH($B120,'2_Data_Pelanggan'!$O$5:$O$499,0)),2,LEN(INDEX('2_Data_Pelanggan'!$F$5:$F$499,MATCH($B120,'2_Data_Pelanggan'!$O$5:$O$499,0)))-1)&amp;"?text="&amp;SUBSTITUTE(SUBSTITUTE("Selamat "&amp;IF(HOUR(NOW())&lt;11,"Pagi",IF(HOUR(NOW())&lt;15,"Siang",IF(HOUR(NOW())&lt;18,"Sore","Malam")))&amp;" Bapak/Ibu "&amp;E120&amp;","&amp;CHAR(10)&amp;CHAR(10)&amp;"Mohon maaf mengganggu waktunya. Kami dari Tim Teknis ARMEDIA Net mendeteksi jaringan internet di rumah Bapak/Ibu sedang OFFLINE."&amp;CHAR(10)&amp;CHAR(10)&amp;"ID Pelanggan: "&amp;D120&amp;CHAR(10)&amp;CHAR(10)&amp;"Mohon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</row>
    <row r="121" ht="15.0" customHeight="1">
      <c r="A121" s="285">
        <v>101.0</v>
      </c>
      <c r="B121" s="286" t="s">
        <v>941</v>
      </c>
      <c r="C121" s="286" t="s">
        <v>1865</v>
      </c>
      <c r="D121" s="287" t="str">
        <f t="array" ref="D121">IFERROR(INDEX('2_Data_Pelanggan'!$B$5:$B$499,MATCH($B121,'2_Data_Pelanggan'!$O$5:$O$499,0)),"")</f>
        <v>ARM-0096</v>
      </c>
      <c r="E121" s="288" t="str">
        <f t="array" ref="E121">IFERROR(INDEX('2_Data_Pelanggan'!$D$5:$D$499,MATCH($B121,'2_Data_Pelanggan'!$O$5:$O$499,0)),"")</f>
        <v>NENI PONCOWATI</v>
      </c>
      <c r="F121" s="226" t="str">
        <f t="array" ref="F121">IFERROR(INDEX('2_Data_Pelanggan'!$H$5:$H$499,MATCH($B121,'2_Data_Pelanggan'!$O$5:$O$499,0)),"")</f>
        <v>GUMELAR</v>
      </c>
      <c r="G121" s="216" t="str">
        <f t="array" ref="G121">IFERROR(INDEX('2_Data_Pelanggan'!$I$5:$I$499,MATCH($B121,'2_Data_Pelanggan'!$O$5:$O$499,0))&amp;"/"&amp;INDEX('2_Data_Pelanggan'!$J$5:$J$499,MATCH($B121,'2_Data_Pelanggan'!$O$5:$O$499,0)),"")</f>
        <v>2/3</v>
      </c>
      <c r="H121" s="287">
        <f t="array" ref="H121">IFERROR(INDEX('2_Data_Pelanggan'!$M$5:$M$499,MATCH($B121,'2_Data_Pelanggan'!$O$5:$O$499,0)),"")</f>
        <v>20</v>
      </c>
      <c r="I121" s="287" t="str">
        <f t="array" ref="I121">IFERROR(INDEX('2_Data_Pelanggan'!$W$5:$W$499,MATCH($B121,'2_Data_Pelanggan'!$O$5:$O$499,0)),"")</f>
        <v>Aktif</v>
      </c>
      <c r="J121" s="107" t="str">
        <f t="array" ref="J121">IFERROR(IF(INDEX('2_Data_Pelanggan'!$F$5:$F$499,MATCH($B121,'2_Data_Pelanggan'!$O$5:$O$499,0))="","",HYPERLINK("https://wa.me/62"&amp;MID(INDEX('2_Data_Pelanggan'!$F$5:$F$499,MATCH($B121,'2_Data_Pelanggan'!$O$5:$O$499,0)),2,20),"Chat WA")),"")</f>
        <v>Chat WA</v>
      </c>
      <c r="K121" s="107" t="str">
        <f t="array" ref="K121">IFERROR(IF(INDEX('2_Data_Pelanggan'!$F$5:$F$499,MATCH($B121,'2_Data_Pelanggan'!$O$5:$O$499,0))="","",HYPERLINK("https://wa.me/62"&amp;MID(INDEX('2_Data_Pelanggan'!$F$5:$F$499,MATCH($B121,'2_Data_Pelanggan'!$O$5:$O$499,0)),2,LEN(INDEX('2_Data_Pelanggan'!$F$5:$F$499,MATCH($B121,'2_Data_Pelanggan'!$O$5:$O$499,0)))-1)&amp;"?text="&amp;SUBSTITUTE(SUBSTITUTE("Selamat "&amp;IF(HOUR(NOW())&lt;11,"Pagi",IF(HOUR(NOW())&lt;15,"Siang",IF(HOUR(NOW())&lt;18,"Sore","Malam")))&amp;" Bapak/Ibu "&amp;E121&amp;","&amp;CHAR(10)&amp;CHAR(10)&amp;"Mohon maaf mengganggu waktunya. Kami dari Tim Teknis ARMEDIA Net mendeteksi jaringan internet di rumah Bapak/Ibu sedang OFFLINE."&amp;CHAR(10)&amp;CHAR(10)&amp;"ID Pelanggan: "&amp;D121&amp;CHAR(10)&amp;CHAR(10)&amp;"Mohon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</row>
    <row r="122" ht="15.0" customHeight="1">
      <c r="A122" s="285">
        <v>102.0</v>
      </c>
      <c r="B122" s="286" t="s">
        <v>972</v>
      </c>
      <c r="C122" s="286" t="s">
        <v>1865</v>
      </c>
      <c r="D122" s="287" t="str">
        <f t="array" ref="D122">IFERROR(INDEX('2_Data_Pelanggan'!$B$5:$B$499,MATCH($B122,'2_Data_Pelanggan'!$O$5:$O$499,0)),"")</f>
        <v>ARM-0100</v>
      </c>
      <c r="E122" s="288" t="str">
        <f t="array" ref="E122">IFERROR(INDEX('2_Data_Pelanggan'!$D$5:$D$499,MATCH($B122,'2_Data_Pelanggan'!$O$5:$O$499,0)),"")</f>
        <v>MUHAMMAD ABDUR</v>
      </c>
      <c r="F122" s="226" t="str">
        <f t="array" ref="F122">IFERROR(INDEX('2_Data_Pelanggan'!$H$5:$H$499,MATCH($B122,'2_Data_Pelanggan'!$O$5:$O$499,0)),"")</f>
        <v>GUMELAR</v>
      </c>
      <c r="G122" s="216" t="str">
        <f t="array" ref="G122">IFERROR(INDEX('2_Data_Pelanggan'!$I$5:$I$499,MATCH($B122,'2_Data_Pelanggan'!$O$5:$O$499,0))&amp;"/"&amp;INDEX('2_Data_Pelanggan'!$J$5:$J$499,MATCH($B122,'2_Data_Pelanggan'!$O$5:$O$499,0)),"")</f>
        <v>1/4</v>
      </c>
      <c r="H122" s="287">
        <f t="array" ref="H122">IFERROR(INDEX('2_Data_Pelanggan'!$M$5:$M$499,MATCH($B122,'2_Data_Pelanggan'!$O$5:$O$499,0)),"")</f>
        <v>20</v>
      </c>
      <c r="I122" s="287" t="str">
        <f t="array" ref="I122">IFERROR(INDEX('2_Data_Pelanggan'!$W$5:$W$499,MATCH($B122,'2_Data_Pelanggan'!$O$5:$O$499,0)),"")</f>
        <v>Aktif</v>
      </c>
      <c r="J122" s="107" t="str">
        <f t="array" ref="J122">IFERROR(IF(INDEX('2_Data_Pelanggan'!$F$5:$F$499,MATCH($B122,'2_Data_Pelanggan'!$O$5:$O$499,0))="","",HYPERLINK("https://wa.me/62"&amp;MID(INDEX('2_Data_Pelanggan'!$F$5:$F$499,MATCH($B122,'2_Data_Pelanggan'!$O$5:$O$499,0)),2,20),"Chat WA")),"")</f>
        <v>Chat WA</v>
      </c>
      <c r="K122" s="107" t="str">
        <f t="array" ref="K122">IFERROR(IF(INDEX('2_Data_Pelanggan'!$F$5:$F$499,MATCH($B122,'2_Data_Pelanggan'!$O$5:$O$499,0))="","",HYPERLINK("https://wa.me/62"&amp;MID(INDEX('2_Data_Pelanggan'!$F$5:$F$499,MATCH($B122,'2_Data_Pelanggan'!$O$5:$O$499,0)),2,LEN(INDEX('2_Data_Pelanggan'!$F$5:$F$499,MATCH($B122,'2_Data_Pelanggan'!$O$5:$O$499,0)))-1)&amp;"?text="&amp;SUBSTITUTE(SUBSTITUTE("Selamat "&amp;IF(HOUR(NOW())&lt;11,"Pagi",IF(HOUR(NOW())&lt;15,"Siang",IF(HOUR(NOW())&lt;18,"Sore","Malam")))&amp;" Bapak/Ibu "&amp;E122&amp;","&amp;CHAR(10)&amp;CHAR(10)&amp;"Mohon maaf mengganggu waktunya. Kami dari Tim Teknis ARMEDIA Net mendeteksi jaringan internet di rumah Bapak/Ibu sedang OFFLINE."&amp;CHAR(10)&amp;CHAR(10)&amp;"ID Pelanggan: "&amp;D122&amp;CHAR(10)&amp;CHAR(10)&amp;"Mohon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</row>
    <row r="123" ht="15.0" customHeight="1">
      <c r="A123" s="285">
        <v>103.0</v>
      </c>
      <c r="B123" s="286" t="s">
        <v>980</v>
      </c>
      <c r="C123" s="286" t="s">
        <v>1865</v>
      </c>
      <c r="D123" s="287" t="str">
        <f t="array" ref="D123">IFERROR(INDEX('2_Data_Pelanggan'!$B$5:$B$499,MATCH($B123,'2_Data_Pelanggan'!$O$5:$O$499,0)),"")</f>
        <v>ARM-0101</v>
      </c>
      <c r="E123" s="288" t="str">
        <f t="array" ref="E123">IFERROR(INDEX('2_Data_Pelanggan'!$D$5:$D$499,MATCH($B123,'2_Data_Pelanggan'!$O$5:$O$499,0)),"")</f>
        <v>DURYATI</v>
      </c>
      <c r="F123" s="226" t="str">
        <f t="array" ref="F123">IFERROR(INDEX('2_Data_Pelanggan'!$H$5:$H$499,MATCH($B123,'2_Data_Pelanggan'!$O$5:$O$499,0)),"")</f>
        <v>GUMELAR</v>
      </c>
      <c r="G123" s="216" t="str">
        <f t="array" ref="G123">IFERROR(INDEX('2_Data_Pelanggan'!$I$5:$I$499,MATCH($B123,'2_Data_Pelanggan'!$O$5:$O$499,0))&amp;"/"&amp;INDEX('2_Data_Pelanggan'!$J$5:$J$499,MATCH($B123,'2_Data_Pelanggan'!$O$5:$O$499,0)),"")</f>
        <v>11/3</v>
      </c>
      <c r="H123" s="287">
        <f t="array" ref="H123">IFERROR(INDEX('2_Data_Pelanggan'!$M$5:$M$499,MATCH($B123,'2_Data_Pelanggan'!$O$5:$O$499,0)),"")</f>
        <v>20</v>
      </c>
      <c r="I123" s="287" t="str">
        <f t="array" ref="I123">IFERROR(INDEX('2_Data_Pelanggan'!$W$5:$W$499,MATCH($B123,'2_Data_Pelanggan'!$O$5:$O$499,0)),"")</f>
        <v>Aktif</v>
      </c>
      <c r="J123" s="107" t="str">
        <f t="array" ref="J123">IFERROR(IF(INDEX('2_Data_Pelanggan'!$F$5:$F$499,MATCH($B123,'2_Data_Pelanggan'!$O$5:$O$499,0))="","",HYPERLINK("https://wa.me/62"&amp;MID(INDEX('2_Data_Pelanggan'!$F$5:$F$499,MATCH($B123,'2_Data_Pelanggan'!$O$5:$O$499,0)),2,20),"Chat WA")),"")</f>
        <v>Chat WA</v>
      </c>
      <c r="K123" s="107" t="str">
        <f t="array" ref="K123">IFERROR(IF(INDEX('2_Data_Pelanggan'!$F$5:$F$499,MATCH($B123,'2_Data_Pelanggan'!$O$5:$O$499,0))="","",HYPERLINK("https://wa.me/62"&amp;MID(INDEX('2_Data_Pelanggan'!$F$5:$F$499,MATCH($B123,'2_Data_Pelanggan'!$O$5:$O$499,0)),2,LEN(INDEX('2_Data_Pelanggan'!$F$5:$F$499,MATCH($B123,'2_Data_Pelanggan'!$O$5:$O$499,0)))-1)&amp;"?text="&amp;SUBSTITUTE(SUBSTITUTE("Selamat "&amp;IF(HOUR(NOW())&lt;11,"Pagi",IF(HOUR(NOW())&lt;15,"Siang",IF(HOUR(NOW())&lt;18,"Sore","Malam")))&amp;" Bapak/Ibu "&amp;E123&amp;","&amp;CHAR(10)&amp;CHAR(10)&amp;"Mohon maaf mengganggu waktunya. Kami dari Tim Teknis ARMEDIA Net mendeteksi jaringan internet di rumah Bapak/Ibu sedang OFFLINE."&amp;CHAR(10)&amp;CHAR(10)&amp;"ID Pelanggan: "&amp;D123&amp;CHAR(10)&amp;CHAR(10)&amp;"Mohon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</row>
    <row r="124" ht="15.0" customHeight="1">
      <c r="A124" s="285">
        <v>104.0</v>
      </c>
      <c r="B124" s="286" t="s">
        <v>988</v>
      </c>
      <c r="C124" s="286" t="s">
        <v>1865</v>
      </c>
      <c r="D124" s="287" t="str">
        <f t="array" ref="D124">IFERROR(INDEX('2_Data_Pelanggan'!$B$5:$B$499,MATCH($B124,'2_Data_Pelanggan'!$O$5:$O$499,0)),"")</f>
        <v>ARM-0102</v>
      </c>
      <c r="E124" s="288" t="str">
        <f t="array" ref="E124">IFERROR(INDEX('2_Data_Pelanggan'!$D$5:$D$499,MATCH($B124,'2_Data_Pelanggan'!$O$5:$O$499,0)),"")</f>
        <v>SITI MARDIYAH</v>
      </c>
      <c r="F124" s="226" t="str">
        <f t="array" ref="F124">IFERROR(INDEX('2_Data_Pelanggan'!$H$5:$H$499,MATCH($B124,'2_Data_Pelanggan'!$O$5:$O$499,0)),"")</f>
        <v>GUMELAR</v>
      </c>
      <c r="G124" s="216" t="str">
        <f t="array" ref="G124">IFERROR(INDEX('2_Data_Pelanggan'!$I$5:$I$499,MATCH($B124,'2_Data_Pelanggan'!$O$5:$O$499,0))&amp;"/"&amp;INDEX('2_Data_Pelanggan'!$J$5:$J$499,MATCH($B124,'2_Data_Pelanggan'!$O$5:$O$499,0)),"")</f>
        <v>1/2</v>
      </c>
      <c r="H124" s="287">
        <f t="array" ref="H124">IFERROR(INDEX('2_Data_Pelanggan'!$M$5:$M$499,MATCH($B124,'2_Data_Pelanggan'!$O$5:$O$499,0)),"")</f>
        <v>30</v>
      </c>
      <c r="I124" s="287" t="str">
        <f t="array" ref="I124">IFERROR(INDEX('2_Data_Pelanggan'!$W$5:$W$499,MATCH($B124,'2_Data_Pelanggan'!$O$5:$O$499,0)),"")</f>
        <v>Aktif</v>
      </c>
      <c r="J124" s="107" t="str">
        <f t="array" ref="J124">IFERROR(IF(INDEX('2_Data_Pelanggan'!$F$5:$F$499,MATCH($B124,'2_Data_Pelanggan'!$O$5:$O$499,0))="","",HYPERLINK("https://wa.me/62"&amp;MID(INDEX('2_Data_Pelanggan'!$F$5:$F$499,MATCH($B124,'2_Data_Pelanggan'!$O$5:$O$499,0)),2,20),"Chat WA")),"")</f>
        <v>Chat WA</v>
      </c>
      <c r="K124" s="107" t="str">
        <f t="array" ref="K124">IFERROR(IF(INDEX('2_Data_Pelanggan'!$F$5:$F$499,MATCH($B124,'2_Data_Pelanggan'!$O$5:$O$499,0))="","",HYPERLINK("https://wa.me/62"&amp;MID(INDEX('2_Data_Pelanggan'!$F$5:$F$499,MATCH($B124,'2_Data_Pelanggan'!$O$5:$O$499,0)),2,LEN(INDEX('2_Data_Pelanggan'!$F$5:$F$499,MATCH($B124,'2_Data_Pelanggan'!$O$5:$O$499,0)))-1)&amp;"?text="&amp;SUBSTITUTE(SUBSTITUTE("Selamat "&amp;IF(HOUR(NOW())&lt;11,"Pagi",IF(HOUR(NOW())&lt;15,"Siang",IF(HOUR(NOW())&lt;18,"Sore","Malam")))&amp;" Bapak/Ibu "&amp;E124&amp;","&amp;CHAR(10)&amp;CHAR(10)&amp;"Mohon maaf mengganggu waktunya. Kami dari Tim Teknis ARMEDIA Net mendeteksi jaringan internet di rumah Bapak/Ibu sedang OFFLINE."&amp;CHAR(10)&amp;CHAR(10)&amp;"ID Pelanggan: "&amp;D124&amp;CHAR(10)&amp;CHAR(10)&amp;"Mohon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</row>
    <row r="125" ht="15.0" customHeight="1">
      <c r="A125" s="285">
        <v>105.0</v>
      </c>
      <c r="B125" s="286" t="s">
        <v>996</v>
      </c>
      <c r="C125" s="286" t="s">
        <v>1865</v>
      </c>
      <c r="D125" s="287" t="str">
        <f t="array" ref="D125">IFERROR(INDEX('2_Data_Pelanggan'!$B$5:$B$499,MATCH($B125,'2_Data_Pelanggan'!$O$5:$O$499,0)),"")</f>
        <v>ARM-0103</v>
      </c>
      <c r="E125" s="288" t="str">
        <f t="array" ref="E125">IFERROR(INDEX('2_Data_Pelanggan'!$D$5:$D$499,MATCH($B125,'2_Data_Pelanggan'!$O$5:$O$499,0)),"")</f>
        <v>KUSNIATI</v>
      </c>
      <c r="F125" s="226" t="str">
        <f t="array" ref="F125">IFERROR(INDEX('2_Data_Pelanggan'!$H$5:$H$499,MATCH($B125,'2_Data_Pelanggan'!$O$5:$O$499,0)),"")</f>
        <v>GUMELAR</v>
      </c>
      <c r="G125" s="216" t="str">
        <f t="array" ref="G125">IFERROR(INDEX('2_Data_Pelanggan'!$I$5:$I$499,MATCH($B125,'2_Data_Pelanggan'!$O$5:$O$499,0))&amp;"/"&amp;INDEX('2_Data_Pelanggan'!$J$5:$J$499,MATCH($B125,'2_Data_Pelanggan'!$O$5:$O$499,0)),"")</f>
        <v>10/4</v>
      </c>
      <c r="H125" s="287">
        <f t="array" ref="H125">IFERROR(INDEX('2_Data_Pelanggan'!$M$5:$M$499,MATCH($B125,'2_Data_Pelanggan'!$O$5:$O$499,0)),"")</f>
        <v>20</v>
      </c>
      <c r="I125" s="287" t="str">
        <f t="array" ref="I125">IFERROR(INDEX('2_Data_Pelanggan'!$W$5:$W$499,MATCH($B125,'2_Data_Pelanggan'!$O$5:$O$499,0)),"")</f>
        <v>Aktif</v>
      </c>
      <c r="J125" s="107" t="str">
        <f t="array" ref="J125">IFERROR(IF(INDEX('2_Data_Pelanggan'!$F$5:$F$499,MATCH($B125,'2_Data_Pelanggan'!$O$5:$O$499,0))="","",HYPERLINK("https://wa.me/62"&amp;MID(INDEX('2_Data_Pelanggan'!$F$5:$F$499,MATCH($B125,'2_Data_Pelanggan'!$O$5:$O$499,0)),2,20),"Chat WA")),"")</f>
        <v>Chat WA</v>
      </c>
      <c r="K125" s="107" t="str">
        <f t="array" ref="K125">IFERROR(IF(INDEX('2_Data_Pelanggan'!$F$5:$F$499,MATCH($B125,'2_Data_Pelanggan'!$O$5:$O$499,0))="","",HYPERLINK("https://wa.me/62"&amp;MID(INDEX('2_Data_Pelanggan'!$F$5:$F$499,MATCH($B125,'2_Data_Pelanggan'!$O$5:$O$499,0)),2,LEN(INDEX('2_Data_Pelanggan'!$F$5:$F$499,MATCH($B125,'2_Data_Pelanggan'!$O$5:$O$499,0)))-1)&amp;"?text="&amp;SUBSTITUTE(SUBSTITUTE("Selamat "&amp;IF(HOUR(NOW())&lt;11,"Pagi",IF(HOUR(NOW())&lt;15,"Siang",IF(HOUR(NOW())&lt;18,"Sore","Malam")))&amp;" Bapak/Ibu "&amp;E125&amp;","&amp;CHAR(10)&amp;CHAR(10)&amp;"Mohon maaf mengganggu waktunya. Kami dari Tim Teknis ARMEDIA Net mendeteksi jaringan internet di rumah Bapak/Ibu sedang OFFLINE."&amp;CHAR(10)&amp;CHAR(10)&amp;"ID Pelanggan: "&amp;D125&amp;CHAR(10)&amp;CHAR(10)&amp;"Mohon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</row>
    <row r="126" ht="15.0" customHeight="1">
      <c r="A126" s="285">
        <v>106.0</v>
      </c>
      <c r="B126" s="286" t="s">
        <v>1004</v>
      </c>
      <c r="C126" s="286" t="s">
        <v>1865</v>
      </c>
      <c r="D126" s="287" t="str">
        <f t="array" ref="D126">IFERROR(INDEX('2_Data_Pelanggan'!$B$5:$B$499,MATCH($B126,'2_Data_Pelanggan'!$O$5:$O$499,0)),"")</f>
        <v>ARM-0104</v>
      </c>
      <c r="E126" s="288" t="str">
        <f t="array" ref="E126">IFERROR(INDEX('2_Data_Pelanggan'!$D$5:$D$499,MATCH($B126,'2_Data_Pelanggan'!$O$5:$O$499,0)),"")</f>
        <v>WAHYUDI</v>
      </c>
      <c r="F126" s="226" t="str">
        <f t="array" ref="F126">IFERROR(INDEX('2_Data_Pelanggan'!$H$5:$H$499,MATCH($B126,'2_Data_Pelanggan'!$O$5:$O$499,0)),"")</f>
        <v>GUMELAR</v>
      </c>
      <c r="G126" s="216" t="str">
        <f t="array" ref="G126">IFERROR(INDEX('2_Data_Pelanggan'!$I$5:$I$499,MATCH($B126,'2_Data_Pelanggan'!$O$5:$O$499,0))&amp;"/"&amp;INDEX('2_Data_Pelanggan'!$J$5:$J$499,MATCH($B126,'2_Data_Pelanggan'!$O$5:$O$499,0)),"")</f>
        <v>10/4</v>
      </c>
      <c r="H126" s="287">
        <f t="array" ref="H126">IFERROR(INDEX('2_Data_Pelanggan'!$M$5:$M$499,MATCH($B126,'2_Data_Pelanggan'!$O$5:$O$499,0)),"")</f>
        <v>30</v>
      </c>
      <c r="I126" s="287" t="str">
        <f t="array" ref="I126">IFERROR(INDEX('2_Data_Pelanggan'!$W$5:$W$499,MATCH($B126,'2_Data_Pelanggan'!$O$5:$O$499,0)),"")</f>
        <v>Aktif</v>
      </c>
      <c r="J126" s="107" t="str">
        <f t="array" ref="J126">IFERROR(IF(INDEX('2_Data_Pelanggan'!$F$5:$F$499,MATCH($B126,'2_Data_Pelanggan'!$O$5:$O$499,0))="","",HYPERLINK("https://wa.me/62"&amp;MID(INDEX('2_Data_Pelanggan'!$F$5:$F$499,MATCH($B126,'2_Data_Pelanggan'!$O$5:$O$499,0)),2,20),"Chat WA")),"")</f>
        <v>Chat WA</v>
      </c>
      <c r="K126" s="107" t="str">
        <f t="array" ref="K126">IFERROR(IF(INDEX('2_Data_Pelanggan'!$F$5:$F$499,MATCH($B126,'2_Data_Pelanggan'!$O$5:$O$499,0))="","",HYPERLINK("https://wa.me/62"&amp;MID(INDEX('2_Data_Pelanggan'!$F$5:$F$499,MATCH($B126,'2_Data_Pelanggan'!$O$5:$O$499,0)),2,LEN(INDEX('2_Data_Pelanggan'!$F$5:$F$499,MATCH($B126,'2_Data_Pelanggan'!$O$5:$O$499,0)))-1)&amp;"?text="&amp;SUBSTITUTE(SUBSTITUTE("Selamat "&amp;IF(HOUR(NOW())&lt;11,"Pagi",IF(HOUR(NOW())&lt;15,"Siang",IF(HOUR(NOW())&lt;18,"Sore","Malam")))&amp;" Bapak/Ibu "&amp;E126&amp;","&amp;CHAR(10)&amp;CHAR(10)&amp;"Mohon maaf mengganggu waktunya. Kami dari Tim Teknis ARMEDIA Net mendeteksi jaringan internet di rumah Bapak/Ibu sedang OFFLINE."&amp;CHAR(10)&amp;CHAR(10)&amp;"ID Pelanggan: "&amp;D126&amp;CHAR(10)&amp;CHAR(10)&amp;"Mohon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</row>
    <row r="127" ht="15.0" customHeight="1">
      <c r="A127" s="285">
        <v>107.0</v>
      </c>
      <c r="B127" s="286" t="s">
        <v>1012</v>
      </c>
      <c r="C127" s="286" t="s">
        <v>1865</v>
      </c>
      <c r="D127" s="287" t="str">
        <f t="array" ref="D127">IFERROR(INDEX('2_Data_Pelanggan'!$B$5:$B$499,MATCH($B127,'2_Data_Pelanggan'!$O$5:$O$499,0)),"")</f>
        <v>ARM-0105</v>
      </c>
      <c r="E127" s="288" t="str">
        <f t="array" ref="E127">IFERROR(INDEX('2_Data_Pelanggan'!$D$5:$D$499,MATCH($B127,'2_Data_Pelanggan'!$O$5:$O$499,0)),"")</f>
        <v>WATIEM</v>
      </c>
      <c r="F127" s="226" t="str">
        <f t="array" ref="F127">IFERROR(INDEX('2_Data_Pelanggan'!$H$5:$H$499,MATCH($B127,'2_Data_Pelanggan'!$O$5:$O$499,0)),"")</f>
        <v>GUMELAR</v>
      </c>
      <c r="G127" s="216" t="str">
        <f t="array" ref="G127">IFERROR(INDEX('2_Data_Pelanggan'!$I$5:$I$499,MATCH($B127,'2_Data_Pelanggan'!$O$5:$O$499,0))&amp;"/"&amp;INDEX('2_Data_Pelanggan'!$J$5:$J$499,MATCH($B127,'2_Data_Pelanggan'!$O$5:$O$499,0)),"")</f>
        <v>10/4</v>
      </c>
      <c r="H127" s="287">
        <f t="array" ref="H127">IFERROR(INDEX('2_Data_Pelanggan'!$M$5:$M$499,MATCH($B127,'2_Data_Pelanggan'!$O$5:$O$499,0)),"")</f>
        <v>50</v>
      </c>
      <c r="I127" s="287" t="str">
        <f t="array" ref="I127">IFERROR(INDEX('2_Data_Pelanggan'!$W$5:$W$499,MATCH($B127,'2_Data_Pelanggan'!$O$5:$O$499,0)),"")</f>
        <v>Aktif</v>
      </c>
      <c r="J127" s="107" t="str">
        <f t="array" ref="J127">IFERROR(IF(INDEX('2_Data_Pelanggan'!$F$5:$F$499,MATCH($B127,'2_Data_Pelanggan'!$O$5:$O$499,0))="","",HYPERLINK("https://wa.me/62"&amp;MID(INDEX('2_Data_Pelanggan'!$F$5:$F$499,MATCH($B127,'2_Data_Pelanggan'!$O$5:$O$499,0)),2,20),"Chat WA")),"")</f>
        <v>Chat WA</v>
      </c>
      <c r="K127" s="107" t="str">
        <f t="array" ref="K127">IFERROR(IF(INDEX('2_Data_Pelanggan'!$F$5:$F$499,MATCH($B127,'2_Data_Pelanggan'!$O$5:$O$499,0))="","",HYPERLINK("https://wa.me/62"&amp;MID(INDEX('2_Data_Pelanggan'!$F$5:$F$499,MATCH($B127,'2_Data_Pelanggan'!$O$5:$O$499,0)),2,LEN(INDEX('2_Data_Pelanggan'!$F$5:$F$499,MATCH($B127,'2_Data_Pelanggan'!$O$5:$O$499,0)))-1)&amp;"?text="&amp;SUBSTITUTE(SUBSTITUTE("Selamat "&amp;IF(HOUR(NOW())&lt;11,"Pagi",IF(HOUR(NOW())&lt;15,"Siang",IF(HOUR(NOW())&lt;18,"Sore","Malam")))&amp;" Bapak/Ibu "&amp;E127&amp;","&amp;CHAR(10)&amp;CHAR(10)&amp;"Mohon maaf mengganggu waktunya. Kami dari Tim Teknis ARMEDIA Net mendeteksi jaringan internet di rumah Bapak/Ibu sedang OFFLINE."&amp;CHAR(10)&amp;CHAR(10)&amp;"ID Pelanggan: "&amp;D127&amp;CHAR(10)&amp;CHAR(10)&amp;"Mohon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</row>
    <row r="128" ht="15.0" customHeight="1">
      <c r="A128" s="285">
        <v>108.0</v>
      </c>
      <c r="B128" s="286" t="s">
        <v>1036</v>
      </c>
      <c r="C128" s="286" t="s">
        <v>1865</v>
      </c>
      <c r="D128" s="287" t="str">
        <f t="array" ref="D128">IFERROR(INDEX('2_Data_Pelanggan'!$B$5:$B$499,MATCH($B128,'2_Data_Pelanggan'!$O$5:$O$499,0)),"")</f>
        <v>ARM-0108</v>
      </c>
      <c r="E128" s="288" t="str">
        <f t="array" ref="E128">IFERROR(INDEX('2_Data_Pelanggan'!$D$5:$D$499,MATCH($B128,'2_Data_Pelanggan'!$O$5:$O$499,0)),"")</f>
        <v>DURYATMI</v>
      </c>
      <c r="F128" s="226" t="str">
        <f t="array" ref="F128">IFERROR(INDEX('2_Data_Pelanggan'!$H$5:$H$499,MATCH($B128,'2_Data_Pelanggan'!$O$5:$O$499,0)),"")</f>
        <v>GUMELAR</v>
      </c>
      <c r="G128" s="216" t="str">
        <f t="array" ref="G128">IFERROR(INDEX('2_Data_Pelanggan'!$I$5:$I$499,MATCH($B128,'2_Data_Pelanggan'!$O$5:$O$499,0))&amp;"/"&amp;INDEX('2_Data_Pelanggan'!$J$5:$J$499,MATCH($B128,'2_Data_Pelanggan'!$O$5:$O$499,0)),"")</f>
        <v>9/3</v>
      </c>
      <c r="H128" s="287">
        <f t="array" ref="H128">IFERROR(INDEX('2_Data_Pelanggan'!$M$5:$M$499,MATCH($B128,'2_Data_Pelanggan'!$O$5:$O$499,0)),"")</f>
        <v>20</v>
      </c>
      <c r="I128" s="287" t="str">
        <f t="array" ref="I128">IFERROR(INDEX('2_Data_Pelanggan'!$W$5:$W$499,MATCH($B128,'2_Data_Pelanggan'!$O$5:$O$499,0)),"")</f>
        <v>Aktif</v>
      </c>
      <c r="J128" s="107" t="str">
        <f t="array" ref="J128">IFERROR(IF(INDEX('2_Data_Pelanggan'!$F$5:$F$499,MATCH($B128,'2_Data_Pelanggan'!$O$5:$O$499,0))="","",HYPERLINK("https://wa.me/62"&amp;MID(INDEX('2_Data_Pelanggan'!$F$5:$F$499,MATCH($B128,'2_Data_Pelanggan'!$O$5:$O$499,0)),2,20),"Chat WA")),"")</f>
        <v>Chat WA</v>
      </c>
      <c r="K128" s="107" t="str">
        <f t="array" ref="K128">IFERROR(IF(INDEX('2_Data_Pelanggan'!$F$5:$F$499,MATCH($B128,'2_Data_Pelanggan'!$O$5:$O$499,0))="","",HYPERLINK("https://wa.me/62"&amp;MID(INDEX('2_Data_Pelanggan'!$F$5:$F$499,MATCH($B128,'2_Data_Pelanggan'!$O$5:$O$499,0)),2,LEN(INDEX('2_Data_Pelanggan'!$F$5:$F$499,MATCH($B128,'2_Data_Pelanggan'!$O$5:$O$499,0)))-1)&amp;"?text="&amp;SUBSTITUTE(SUBSTITUTE("Selamat "&amp;IF(HOUR(NOW())&lt;11,"Pagi",IF(HOUR(NOW())&lt;15,"Siang",IF(HOUR(NOW())&lt;18,"Sore","Malam")))&amp;" Bapak/Ibu "&amp;E128&amp;","&amp;CHAR(10)&amp;CHAR(10)&amp;"Mohon maaf mengganggu waktunya. Kami dari Tim Teknis ARMEDIA Net mendeteksi jaringan internet di rumah Bapak/Ibu sedang OFFLINE."&amp;CHAR(10)&amp;CHAR(10)&amp;"ID Pelanggan: "&amp;D128&amp;CHAR(10)&amp;CHAR(10)&amp;"Mohon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</row>
    <row r="129" ht="15.0" customHeight="1">
      <c r="A129" s="285">
        <v>109.0</v>
      </c>
      <c r="B129" s="286" t="s">
        <v>1044</v>
      </c>
      <c r="C129" s="286" t="s">
        <v>1865</v>
      </c>
      <c r="D129" s="287" t="str">
        <f t="array" ref="D129">IFERROR(INDEX('2_Data_Pelanggan'!$B$5:$B$499,MATCH($B129,'2_Data_Pelanggan'!$O$5:$O$499,0)),"")</f>
        <v>ARM-0109</v>
      </c>
      <c r="E129" s="288" t="str">
        <f t="array" ref="E129">IFERROR(INDEX('2_Data_Pelanggan'!$D$5:$D$499,MATCH($B129,'2_Data_Pelanggan'!$O$5:$O$499,0)),"")</f>
        <v>AHMAD SOFIE</v>
      </c>
      <c r="F129" s="226" t="str">
        <f t="array" ref="F129">IFERROR(INDEX('2_Data_Pelanggan'!$H$5:$H$499,MATCH($B129,'2_Data_Pelanggan'!$O$5:$O$499,0)),"")</f>
        <v>GUMELAR</v>
      </c>
      <c r="G129" s="216" t="str">
        <f t="array" ref="G129">IFERROR(INDEX('2_Data_Pelanggan'!$I$5:$I$499,MATCH($B129,'2_Data_Pelanggan'!$O$5:$O$499,0))&amp;"/"&amp;INDEX('2_Data_Pelanggan'!$J$5:$J$499,MATCH($B129,'2_Data_Pelanggan'!$O$5:$O$499,0)),"")</f>
        <v>9/3</v>
      </c>
      <c r="H129" s="287">
        <f t="array" ref="H129">IFERROR(INDEX('2_Data_Pelanggan'!$M$5:$M$499,MATCH($B129,'2_Data_Pelanggan'!$O$5:$O$499,0)),"")</f>
        <v>20</v>
      </c>
      <c r="I129" s="287" t="str">
        <f t="array" ref="I129">IFERROR(INDEX('2_Data_Pelanggan'!$W$5:$W$499,MATCH($B129,'2_Data_Pelanggan'!$O$5:$O$499,0)),"")</f>
        <v>Aktif</v>
      </c>
      <c r="J129" s="107" t="str">
        <f t="array" ref="J129">IFERROR(IF(INDEX('2_Data_Pelanggan'!$F$5:$F$499,MATCH($B129,'2_Data_Pelanggan'!$O$5:$O$499,0))="","",HYPERLINK("https://wa.me/62"&amp;MID(INDEX('2_Data_Pelanggan'!$F$5:$F$499,MATCH($B129,'2_Data_Pelanggan'!$O$5:$O$499,0)),2,20),"Chat WA")),"")</f>
        <v>Chat WA</v>
      </c>
      <c r="K129" s="107" t="str">
        <f t="array" ref="K129">IFERROR(IF(INDEX('2_Data_Pelanggan'!$F$5:$F$499,MATCH($B129,'2_Data_Pelanggan'!$O$5:$O$499,0))="","",HYPERLINK("https://wa.me/62"&amp;MID(INDEX('2_Data_Pelanggan'!$F$5:$F$499,MATCH($B129,'2_Data_Pelanggan'!$O$5:$O$499,0)),2,LEN(INDEX('2_Data_Pelanggan'!$F$5:$F$499,MATCH($B129,'2_Data_Pelanggan'!$O$5:$O$499,0)))-1)&amp;"?text="&amp;SUBSTITUTE(SUBSTITUTE("Selamat "&amp;IF(HOUR(NOW())&lt;11,"Pagi",IF(HOUR(NOW())&lt;15,"Siang",IF(HOUR(NOW())&lt;18,"Sore","Malam")))&amp;" Bapak/Ibu "&amp;E129&amp;","&amp;CHAR(10)&amp;CHAR(10)&amp;"Mohon maaf mengganggu waktunya. Kami dari Tim Teknis ARMEDIA Net mendeteksi jaringan internet di rumah Bapak/Ibu sedang OFFLINE."&amp;CHAR(10)&amp;CHAR(10)&amp;"ID Pelanggan: "&amp;D129&amp;CHAR(10)&amp;CHAR(10)&amp;"Mohon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</row>
    <row r="130" ht="15.0" customHeight="1">
      <c r="A130" s="285">
        <v>110.0</v>
      </c>
      <c r="B130" s="286" t="s">
        <v>1050</v>
      </c>
      <c r="C130" s="286" t="s">
        <v>1865</v>
      </c>
      <c r="D130" s="287" t="str">
        <f t="array" ref="D130">IFERROR(INDEX('2_Data_Pelanggan'!$B$5:$B$499,MATCH($B130,'2_Data_Pelanggan'!$O$5:$O$499,0)),"")</f>
        <v>ARM-0110</v>
      </c>
      <c r="E130" s="288" t="str">
        <f t="array" ref="E130">IFERROR(INDEX('2_Data_Pelanggan'!$D$5:$D$499,MATCH($B130,'2_Data_Pelanggan'!$O$5:$O$499,0)),"")</f>
        <v>TRIONO</v>
      </c>
      <c r="F130" s="226" t="str">
        <f t="array" ref="F130">IFERROR(INDEX('2_Data_Pelanggan'!$H$5:$H$499,MATCH($B130,'2_Data_Pelanggan'!$O$5:$O$499,0)),"")</f>
        <v>GUMELAR</v>
      </c>
      <c r="G130" s="216" t="str">
        <f t="array" ref="G130">IFERROR(INDEX('2_Data_Pelanggan'!$I$5:$I$499,MATCH($B130,'2_Data_Pelanggan'!$O$5:$O$499,0))&amp;"/"&amp;INDEX('2_Data_Pelanggan'!$J$5:$J$499,MATCH($B130,'2_Data_Pelanggan'!$O$5:$O$499,0)),"")</f>
        <v>4/2</v>
      </c>
      <c r="H130" s="287">
        <f t="array" ref="H130">IFERROR(INDEX('2_Data_Pelanggan'!$M$5:$M$499,MATCH($B130,'2_Data_Pelanggan'!$O$5:$O$499,0)),"")</f>
        <v>30</v>
      </c>
      <c r="I130" s="287" t="str">
        <f t="array" ref="I130">IFERROR(INDEX('2_Data_Pelanggan'!$W$5:$W$499,MATCH($B130,'2_Data_Pelanggan'!$O$5:$O$499,0)),"")</f>
        <v>Aktif</v>
      </c>
      <c r="J130" s="107" t="str">
        <f t="array" ref="J130">IFERROR(IF(INDEX('2_Data_Pelanggan'!$F$5:$F$499,MATCH($B130,'2_Data_Pelanggan'!$O$5:$O$499,0))="","",HYPERLINK("https://wa.me/62"&amp;MID(INDEX('2_Data_Pelanggan'!$F$5:$F$499,MATCH($B130,'2_Data_Pelanggan'!$O$5:$O$499,0)),2,20),"Chat WA")),"")</f>
        <v>Chat WA</v>
      </c>
      <c r="K130" s="107" t="str">
        <f t="array" ref="K130">IFERROR(IF(INDEX('2_Data_Pelanggan'!$F$5:$F$499,MATCH($B130,'2_Data_Pelanggan'!$O$5:$O$499,0))="","",HYPERLINK("https://wa.me/62"&amp;MID(INDEX('2_Data_Pelanggan'!$F$5:$F$499,MATCH($B130,'2_Data_Pelanggan'!$O$5:$O$499,0)),2,LEN(INDEX('2_Data_Pelanggan'!$F$5:$F$499,MATCH($B130,'2_Data_Pelanggan'!$O$5:$O$499,0)))-1)&amp;"?text="&amp;SUBSTITUTE(SUBSTITUTE("Selamat "&amp;IF(HOUR(NOW())&lt;11,"Pagi",IF(HOUR(NOW())&lt;15,"Siang",IF(HOUR(NOW())&lt;18,"Sore","Malam")))&amp;" Bapak/Ibu "&amp;E130&amp;","&amp;CHAR(10)&amp;CHAR(10)&amp;"Mohon maaf mengganggu waktunya. Kami dari Tim Teknis ARMEDIA Net mendeteksi jaringan internet di rumah Bapak/Ibu sedang OFFLINE."&amp;CHAR(10)&amp;CHAR(10)&amp;"ID Pelanggan: "&amp;D130&amp;CHAR(10)&amp;CHAR(10)&amp;"Mohon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</row>
    <row r="131" ht="15.0" customHeight="1">
      <c r="A131" s="285">
        <v>111.0</v>
      </c>
      <c r="B131" s="286" t="s">
        <v>1065</v>
      </c>
      <c r="C131" s="286" t="s">
        <v>1865</v>
      </c>
      <c r="D131" s="287" t="str">
        <f t="array" ref="D131">IFERROR(INDEX('2_Data_Pelanggan'!$B$5:$B$499,MATCH($B131,'2_Data_Pelanggan'!$O$5:$O$499,0)),"")</f>
        <v>ARM-0112</v>
      </c>
      <c r="E131" s="288" t="str">
        <f t="array" ref="E131">IFERROR(INDEX('2_Data_Pelanggan'!$D$5:$D$499,MATCH($B131,'2_Data_Pelanggan'!$O$5:$O$499,0)),"")</f>
        <v>VIDI PRASETYO</v>
      </c>
      <c r="F131" s="226" t="str">
        <f t="array" ref="F131">IFERROR(INDEX('2_Data_Pelanggan'!$H$5:$H$499,MATCH($B131,'2_Data_Pelanggan'!$O$5:$O$499,0)),"")</f>
        <v>GUMELAR</v>
      </c>
      <c r="G131" s="216" t="str">
        <f t="array" ref="G131">IFERROR(INDEX('2_Data_Pelanggan'!$I$5:$I$499,MATCH($B131,'2_Data_Pelanggan'!$O$5:$O$499,0))&amp;"/"&amp;INDEX('2_Data_Pelanggan'!$J$5:$J$499,MATCH($B131,'2_Data_Pelanggan'!$O$5:$O$499,0)),"")</f>
        <v>2/3</v>
      </c>
      <c r="H131" s="287">
        <f t="array" ref="H131">IFERROR(INDEX('2_Data_Pelanggan'!$M$5:$M$499,MATCH($B131,'2_Data_Pelanggan'!$O$5:$O$499,0)),"")</f>
        <v>20</v>
      </c>
      <c r="I131" s="287" t="str">
        <f t="array" ref="I131">IFERROR(INDEX('2_Data_Pelanggan'!$W$5:$W$499,MATCH($B131,'2_Data_Pelanggan'!$O$5:$O$499,0)),"")</f>
        <v>Aktif</v>
      </c>
      <c r="J131" s="107" t="str">
        <f t="array" ref="J131">IFERROR(IF(INDEX('2_Data_Pelanggan'!$F$5:$F$499,MATCH($B131,'2_Data_Pelanggan'!$O$5:$O$499,0))="","",HYPERLINK("https://wa.me/62"&amp;MID(INDEX('2_Data_Pelanggan'!$F$5:$F$499,MATCH($B131,'2_Data_Pelanggan'!$O$5:$O$499,0)),2,20),"Chat WA")),"")</f>
        <v>Chat WA</v>
      </c>
      <c r="K131" s="107" t="str">
        <f t="array" ref="K131">IFERROR(IF(INDEX('2_Data_Pelanggan'!$F$5:$F$499,MATCH($B131,'2_Data_Pelanggan'!$O$5:$O$499,0))="","",HYPERLINK("https://wa.me/62"&amp;MID(INDEX('2_Data_Pelanggan'!$F$5:$F$499,MATCH($B131,'2_Data_Pelanggan'!$O$5:$O$499,0)),2,LEN(INDEX('2_Data_Pelanggan'!$F$5:$F$499,MATCH($B131,'2_Data_Pelanggan'!$O$5:$O$499,0)))-1)&amp;"?text="&amp;SUBSTITUTE(SUBSTITUTE("Selamat "&amp;IF(HOUR(NOW())&lt;11,"Pagi",IF(HOUR(NOW())&lt;15,"Siang",IF(HOUR(NOW())&lt;18,"Sore","Malam")))&amp;" Bapak/Ibu "&amp;E131&amp;","&amp;CHAR(10)&amp;CHAR(10)&amp;"Mohon maaf mengganggu waktunya. Kami dari Tim Teknis ARMEDIA Net mendeteksi jaringan internet di rumah Bapak/Ibu sedang OFFLINE."&amp;CHAR(10)&amp;CHAR(10)&amp;"ID Pelanggan: "&amp;D131&amp;CHAR(10)&amp;CHAR(10)&amp;"Mohon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</row>
    <row r="132" ht="15.0" customHeight="1">
      <c r="A132" s="285">
        <v>112.0</v>
      </c>
      <c r="B132" s="286" t="s">
        <v>1073</v>
      </c>
      <c r="C132" s="286" t="s">
        <v>1865</v>
      </c>
      <c r="D132" s="287" t="str">
        <f t="array" ref="D132">IFERROR(INDEX('2_Data_Pelanggan'!$B$5:$B$499,MATCH($B132,'2_Data_Pelanggan'!$O$5:$O$499,0)),"")</f>
        <v>ARM-0113</v>
      </c>
      <c r="E132" s="288" t="str">
        <f t="array" ref="E132">IFERROR(INDEX('2_Data_Pelanggan'!$D$5:$D$499,MATCH($B132,'2_Data_Pelanggan'!$O$5:$O$499,0)),"")</f>
        <v>MARGONO</v>
      </c>
      <c r="F132" s="226" t="str">
        <f t="array" ref="F132">IFERROR(INDEX('2_Data_Pelanggan'!$H$5:$H$499,MATCH($B132,'2_Data_Pelanggan'!$O$5:$O$499,0)),"")</f>
        <v>GUMELAR</v>
      </c>
      <c r="G132" s="216" t="str">
        <f t="array" ref="G132">IFERROR(INDEX('2_Data_Pelanggan'!$I$5:$I$499,MATCH($B132,'2_Data_Pelanggan'!$O$5:$O$499,0))&amp;"/"&amp;INDEX('2_Data_Pelanggan'!$J$5:$J$499,MATCH($B132,'2_Data_Pelanggan'!$O$5:$O$499,0)),"")</f>
        <v>5/4</v>
      </c>
      <c r="H132" s="287">
        <f t="array" ref="H132">IFERROR(INDEX('2_Data_Pelanggan'!$M$5:$M$499,MATCH($B132,'2_Data_Pelanggan'!$O$5:$O$499,0)),"")</f>
        <v>20</v>
      </c>
      <c r="I132" s="287" t="str">
        <f t="array" ref="I132">IFERROR(INDEX('2_Data_Pelanggan'!$W$5:$W$499,MATCH($B132,'2_Data_Pelanggan'!$O$5:$O$499,0)),"")</f>
        <v>Aktif</v>
      </c>
      <c r="J132" s="107" t="str">
        <f t="array" ref="J132">IFERROR(IF(INDEX('2_Data_Pelanggan'!$F$5:$F$499,MATCH($B132,'2_Data_Pelanggan'!$O$5:$O$499,0))="","",HYPERLINK("https://wa.me/62"&amp;MID(INDEX('2_Data_Pelanggan'!$F$5:$F$499,MATCH($B132,'2_Data_Pelanggan'!$O$5:$O$499,0)),2,20),"Chat WA")),"")</f>
        <v>Chat WA</v>
      </c>
      <c r="K132" s="107" t="str">
        <f t="array" ref="K132">IFERROR(IF(INDEX('2_Data_Pelanggan'!$F$5:$F$499,MATCH($B132,'2_Data_Pelanggan'!$O$5:$O$499,0))="","",HYPERLINK("https://wa.me/62"&amp;MID(INDEX('2_Data_Pelanggan'!$F$5:$F$499,MATCH($B132,'2_Data_Pelanggan'!$O$5:$O$499,0)),2,LEN(INDEX('2_Data_Pelanggan'!$F$5:$F$499,MATCH($B132,'2_Data_Pelanggan'!$O$5:$O$499,0)))-1)&amp;"?text="&amp;SUBSTITUTE(SUBSTITUTE("Selamat "&amp;IF(HOUR(NOW())&lt;11,"Pagi",IF(HOUR(NOW())&lt;15,"Siang",IF(HOUR(NOW())&lt;18,"Sore","Malam")))&amp;" Bapak/Ibu "&amp;E132&amp;","&amp;CHAR(10)&amp;CHAR(10)&amp;"Mohon maaf mengganggu waktunya. Kami dari Tim Teknis ARMEDIA Net mendeteksi jaringan internet di rumah Bapak/Ibu sedang OFFLINE."&amp;CHAR(10)&amp;CHAR(10)&amp;"ID Pelanggan: "&amp;D132&amp;CHAR(10)&amp;CHAR(10)&amp;"Mohon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</row>
    <row r="133" ht="15.0" customHeight="1">
      <c r="A133" s="285">
        <v>113.0</v>
      </c>
      <c r="B133" s="286" t="s">
        <v>1080</v>
      </c>
      <c r="C133" s="286" t="s">
        <v>1865</v>
      </c>
      <c r="D133" s="287" t="str">
        <f t="array" ref="D133">IFERROR(INDEX('2_Data_Pelanggan'!$B$5:$B$499,MATCH($B133,'2_Data_Pelanggan'!$O$5:$O$499,0)),"")</f>
        <v>ARM-0114</v>
      </c>
      <c r="E133" s="288" t="str">
        <f t="array" ref="E133">IFERROR(INDEX('2_Data_Pelanggan'!$D$5:$D$499,MATCH($B133,'2_Data_Pelanggan'!$O$5:$O$499,0)),"")</f>
        <v>WIKI TRIONO</v>
      </c>
      <c r="F133" s="226" t="str">
        <f t="array" ref="F133">IFERROR(INDEX('2_Data_Pelanggan'!$H$5:$H$499,MATCH($B133,'2_Data_Pelanggan'!$O$5:$O$499,0)),"")</f>
        <v>GUMELAR</v>
      </c>
      <c r="G133" s="216" t="str">
        <f t="array" ref="G133">IFERROR(INDEX('2_Data_Pelanggan'!$I$5:$I$499,MATCH($B133,'2_Data_Pelanggan'!$O$5:$O$499,0))&amp;"/"&amp;INDEX('2_Data_Pelanggan'!$J$5:$J$499,MATCH($B133,'2_Data_Pelanggan'!$O$5:$O$499,0)),"")</f>
        <v>9/5</v>
      </c>
      <c r="H133" s="287">
        <f t="array" ref="H133">IFERROR(INDEX('2_Data_Pelanggan'!$M$5:$M$499,MATCH($B133,'2_Data_Pelanggan'!$O$5:$O$499,0)),"")</f>
        <v>20</v>
      </c>
      <c r="I133" s="287" t="str">
        <f t="array" ref="I133">IFERROR(INDEX('2_Data_Pelanggan'!$W$5:$W$499,MATCH($B133,'2_Data_Pelanggan'!$O$5:$O$499,0)),"")</f>
        <v>Aktif</v>
      </c>
      <c r="J133" s="107" t="str">
        <f t="array" ref="J133">IFERROR(IF(INDEX('2_Data_Pelanggan'!$F$5:$F$499,MATCH($B133,'2_Data_Pelanggan'!$O$5:$O$499,0))="","",HYPERLINK("https://wa.me/62"&amp;MID(INDEX('2_Data_Pelanggan'!$F$5:$F$499,MATCH($B133,'2_Data_Pelanggan'!$O$5:$O$499,0)),2,20),"Chat WA")),"")</f>
        <v>Chat WA</v>
      </c>
      <c r="K133" s="107" t="str">
        <f t="array" ref="K133">IFERROR(IF(INDEX('2_Data_Pelanggan'!$F$5:$F$499,MATCH($B133,'2_Data_Pelanggan'!$O$5:$O$499,0))="","",HYPERLINK("https://wa.me/62"&amp;MID(INDEX('2_Data_Pelanggan'!$F$5:$F$499,MATCH($B133,'2_Data_Pelanggan'!$O$5:$O$499,0)),2,LEN(INDEX('2_Data_Pelanggan'!$F$5:$F$499,MATCH($B133,'2_Data_Pelanggan'!$O$5:$O$499,0)))-1)&amp;"?text="&amp;SUBSTITUTE(SUBSTITUTE("Selamat "&amp;IF(HOUR(NOW())&lt;11,"Pagi",IF(HOUR(NOW())&lt;15,"Siang",IF(HOUR(NOW())&lt;18,"Sore","Malam")))&amp;" Bapak/Ibu "&amp;E133&amp;","&amp;CHAR(10)&amp;CHAR(10)&amp;"Mohon maaf mengganggu waktunya. Kami dari Tim Teknis ARMEDIA Net mendeteksi jaringan internet di rumah Bapak/Ibu sedang OFFLINE."&amp;CHAR(10)&amp;CHAR(10)&amp;"ID Pelanggan: "&amp;D133&amp;CHAR(10)&amp;CHAR(10)&amp;"Mohon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</row>
    <row r="134" ht="15.0" customHeight="1">
      <c r="A134" s="285">
        <v>114.0</v>
      </c>
      <c r="B134" s="286" t="s">
        <v>1088</v>
      </c>
      <c r="C134" s="286" t="s">
        <v>1865</v>
      </c>
      <c r="D134" s="287" t="str">
        <f t="array" ref="D134">IFERROR(INDEX('2_Data_Pelanggan'!$B$5:$B$499,MATCH($B134,'2_Data_Pelanggan'!$O$5:$O$499,0)),"")</f>
        <v>ARM-0115</v>
      </c>
      <c r="E134" s="288" t="str">
        <f t="array" ref="E134">IFERROR(INDEX('2_Data_Pelanggan'!$D$5:$D$499,MATCH($B134,'2_Data_Pelanggan'!$O$5:$O$499,0)),"")</f>
        <v>TURSIMAN</v>
      </c>
      <c r="F134" s="226" t="str">
        <f t="array" ref="F134">IFERROR(INDEX('2_Data_Pelanggan'!$H$5:$H$499,MATCH($B134,'2_Data_Pelanggan'!$O$5:$O$499,0)),"")</f>
        <v>GUMELAR</v>
      </c>
      <c r="G134" s="216" t="str">
        <f t="array" ref="G134">IFERROR(INDEX('2_Data_Pelanggan'!$I$5:$I$499,MATCH($B134,'2_Data_Pelanggan'!$O$5:$O$499,0))&amp;"/"&amp;INDEX('2_Data_Pelanggan'!$J$5:$J$499,MATCH($B134,'2_Data_Pelanggan'!$O$5:$O$499,0)),"")</f>
        <v>4/2</v>
      </c>
      <c r="H134" s="287">
        <f t="array" ref="H134">IFERROR(INDEX('2_Data_Pelanggan'!$M$5:$M$499,MATCH($B134,'2_Data_Pelanggan'!$O$5:$O$499,0)),"")</f>
        <v>20</v>
      </c>
      <c r="I134" s="287" t="str">
        <f t="array" ref="I134">IFERROR(INDEX('2_Data_Pelanggan'!$W$5:$W$499,MATCH($B134,'2_Data_Pelanggan'!$O$5:$O$499,0)),"")</f>
        <v>Aktif</v>
      </c>
      <c r="J134" s="107" t="str">
        <f t="array" ref="J134">IFERROR(IF(INDEX('2_Data_Pelanggan'!$F$5:$F$499,MATCH($B134,'2_Data_Pelanggan'!$O$5:$O$499,0))="","",HYPERLINK("https://wa.me/62"&amp;MID(INDEX('2_Data_Pelanggan'!$F$5:$F$499,MATCH($B134,'2_Data_Pelanggan'!$O$5:$O$499,0)),2,20),"Chat WA")),"")</f>
        <v>Chat WA</v>
      </c>
      <c r="K134" s="107" t="str">
        <f t="array" ref="K134">IFERROR(IF(INDEX('2_Data_Pelanggan'!$F$5:$F$499,MATCH($B134,'2_Data_Pelanggan'!$O$5:$O$499,0))="","",HYPERLINK("https://wa.me/62"&amp;MID(INDEX('2_Data_Pelanggan'!$F$5:$F$499,MATCH($B134,'2_Data_Pelanggan'!$O$5:$O$499,0)),2,LEN(INDEX('2_Data_Pelanggan'!$F$5:$F$499,MATCH($B134,'2_Data_Pelanggan'!$O$5:$O$499,0)))-1)&amp;"?text="&amp;SUBSTITUTE(SUBSTITUTE("Selamat "&amp;IF(HOUR(NOW())&lt;11,"Pagi",IF(HOUR(NOW())&lt;15,"Siang",IF(HOUR(NOW())&lt;18,"Sore","Malam")))&amp;" Bapak/Ibu "&amp;E134&amp;","&amp;CHAR(10)&amp;CHAR(10)&amp;"Mohon maaf mengganggu waktunya. Kami dari Tim Teknis ARMEDIA Net mendeteksi jaringan internet di rumah Bapak/Ibu sedang OFFLINE."&amp;CHAR(10)&amp;CHAR(10)&amp;"ID Pelanggan: "&amp;D134&amp;CHAR(10)&amp;CHAR(10)&amp;"Mohon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</row>
    <row r="135" ht="15.0" customHeight="1">
      <c r="A135" s="285">
        <v>115.0</v>
      </c>
      <c r="B135" s="286" t="s">
        <v>1105</v>
      </c>
      <c r="C135" s="286" t="s">
        <v>1865</v>
      </c>
      <c r="D135" s="287" t="str">
        <f t="array" ref="D135">IFERROR(INDEX('2_Data_Pelanggan'!$B$5:$B$499,MATCH($B135,'2_Data_Pelanggan'!$O$5:$O$499,0)),"")</f>
        <v>ARM-0117</v>
      </c>
      <c r="E135" s="288" t="str">
        <f t="array" ref="E135">IFERROR(INDEX('2_Data_Pelanggan'!$D$5:$D$499,MATCH($B135,'2_Data_Pelanggan'!$O$5:$O$499,0)),"")</f>
        <v>TANTI</v>
      </c>
      <c r="F135" s="226" t="str">
        <f t="array" ref="F135">IFERROR(INDEX('2_Data_Pelanggan'!$H$5:$H$499,MATCH($B135,'2_Data_Pelanggan'!$O$5:$O$499,0)),"")</f>
        <v>TLAGA</v>
      </c>
      <c r="G135" s="216" t="str">
        <f t="array" ref="G135">IFERROR(INDEX('2_Data_Pelanggan'!$I$5:$I$499,MATCH($B135,'2_Data_Pelanggan'!$O$5:$O$499,0))&amp;"/"&amp;INDEX('2_Data_Pelanggan'!$J$5:$J$499,MATCH($B135,'2_Data_Pelanggan'!$O$5:$O$499,0)),"")</f>
        <v>4/1</v>
      </c>
      <c r="H135" s="287">
        <f t="array" ref="H135">IFERROR(INDEX('2_Data_Pelanggan'!$M$5:$M$499,MATCH($B135,'2_Data_Pelanggan'!$O$5:$O$499,0)),"")</f>
        <v>20</v>
      </c>
      <c r="I135" s="287" t="str">
        <f t="array" ref="I135">IFERROR(INDEX('2_Data_Pelanggan'!$W$5:$W$499,MATCH($B135,'2_Data_Pelanggan'!$O$5:$O$499,0)),"")</f>
        <v>Aktif</v>
      </c>
      <c r="J135" s="107" t="str">
        <f t="array" ref="J135">IFERROR(IF(INDEX('2_Data_Pelanggan'!$F$5:$F$499,MATCH($B135,'2_Data_Pelanggan'!$O$5:$O$499,0))="","",HYPERLINK("https://wa.me/62"&amp;MID(INDEX('2_Data_Pelanggan'!$F$5:$F$499,MATCH($B135,'2_Data_Pelanggan'!$O$5:$O$499,0)),2,20),"Chat WA")),"")</f>
        <v>Chat WA</v>
      </c>
      <c r="K135" s="107" t="str">
        <f t="array" ref="K135">IFERROR(IF(INDEX('2_Data_Pelanggan'!$F$5:$F$499,MATCH($B135,'2_Data_Pelanggan'!$O$5:$O$499,0))="","",HYPERLINK("https://wa.me/62"&amp;MID(INDEX('2_Data_Pelanggan'!$F$5:$F$499,MATCH($B135,'2_Data_Pelanggan'!$O$5:$O$499,0)),2,LEN(INDEX('2_Data_Pelanggan'!$F$5:$F$499,MATCH($B135,'2_Data_Pelanggan'!$O$5:$O$499,0)))-1)&amp;"?text="&amp;SUBSTITUTE(SUBSTITUTE("Selamat "&amp;IF(HOUR(NOW())&lt;11,"Pagi",IF(HOUR(NOW())&lt;15,"Siang",IF(HOUR(NOW())&lt;18,"Sore","Malam")))&amp;" Bapak/Ibu "&amp;E135&amp;","&amp;CHAR(10)&amp;CHAR(10)&amp;"Mohon maaf mengganggu waktunya. Kami dari Tim Teknis ARMEDIA Net mendeteksi jaringan internet di rumah Bapak/Ibu sedang OFFLINE."&amp;CHAR(10)&amp;CHAR(10)&amp;"ID Pelanggan: "&amp;D135&amp;CHAR(10)&amp;CHAR(10)&amp;"Mohon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</row>
    <row r="136" ht="15.0" customHeight="1">
      <c r="A136" s="285">
        <v>116.0</v>
      </c>
      <c r="B136" s="286" t="s">
        <v>1096</v>
      </c>
      <c r="C136" s="286" t="s">
        <v>1865</v>
      </c>
      <c r="D136" s="287" t="str">
        <f t="array" ref="D136">IFERROR(INDEX('2_Data_Pelanggan'!$B$5:$B$499,MATCH($B136,'2_Data_Pelanggan'!$O$5:$O$499,0)),"")</f>
        <v>ARM-0116</v>
      </c>
      <c r="E136" s="288" t="str">
        <f t="array" ref="E136">IFERROR(INDEX('2_Data_Pelanggan'!$D$5:$D$499,MATCH($B136,'2_Data_Pelanggan'!$O$5:$O$499,0)),"")</f>
        <v>SUTRISNO</v>
      </c>
      <c r="F136" s="226" t="str">
        <f t="array" ref="F136">IFERROR(INDEX('2_Data_Pelanggan'!$H$5:$H$499,MATCH($B136,'2_Data_Pelanggan'!$O$5:$O$499,0)),"")</f>
        <v>GUMELAR</v>
      </c>
      <c r="G136" s="216" t="str">
        <f t="array" ref="G136">IFERROR(INDEX('2_Data_Pelanggan'!$I$5:$I$499,MATCH($B136,'2_Data_Pelanggan'!$O$5:$O$499,0))&amp;"/"&amp;INDEX('2_Data_Pelanggan'!$J$5:$J$499,MATCH($B136,'2_Data_Pelanggan'!$O$5:$O$499,0)),"")</f>
        <v>4/2</v>
      </c>
      <c r="H136" s="287">
        <f t="array" ref="H136">IFERROR(INDEX('2_Data_Pelanggan'!$M$5:$M$499,MATCH($B136,'2_Data_Pelanggan'!$O$5:$O$499,0)),"")</f>
        <v>20</v>
      </c>
      <c r="I136" s="287" t="str">
        <f t="array" ref="I136">IFERROR(INDEX('2_Data_Pelanggan'!$W$5:$W$499,MATCH($B136,'2_Data_Pelanggan'!$O$5:$O$499,0)),"")</f>
        <v>Aktif</v>
      </c>
      <c r="J136" s="107" t="str">
        <f t="array" ref="J136">IFERROR(IF(INDEX('2_Data_Pelanggan'!$F$5:$F$499,MATCH($B136,'2_Data_Pelanggan'!$O$5:$O$499,0))="","",HYPERLINK("https://wa.me/62"&amp;MID(INDEX('2_Data_Pelanggan'!$F$5:$F$499,MATCH($B136,'2_Data_Pelanggan'!$O$5:$O$499,0)),2,20),"Chat WA")),"")</f>
        <v>Chat WA</v>
      </c>
      <c r="K136" s="107" t="str">
        <f t="array" ref="K136">IFERROR(IF(INDEX('2_Data_Pelanggan'!$F$5:$F$499,MATCH($B136,'2_Data_Pelanggan'!$O$5:$O$499,0))="","",HYPERLINK("https://wa.me/62"&amp;MID(INDEX('2_Data_Pelanggan'!$F$5:$F$499,MATCH($B136,'2_Data_Pelanggan'!$O$5:$O$499,0)),2,LEN(INDEX('2_Data_Pelanggan'!$F$5:$F$499,MATCH($B136,'2_Data_Pelanggan'!$O$5:$O$499,0)))-1)&amp;"?text="&amp;SUBSTITUTE(SUBSTITUTE("Selamat "&amp;IF(HOUR(NOW())&lt;11,"Pagi",IF(HOUR(NOW())&lt;15,"Siang",IF(HOUR(NOW())&lt;18,"Sore","Malam")))&amp;" Bapak/Ibu "&amp;E136&amp;","&amp;CHAR(10)&amp;CHAR(10)&amp;"Mohon maaf mengganggu waktunya. Kami dari Tim Teknis ARMEDIA Net mendeteksi jaringan internet di rumah Bapak/Ibu sedang OFFLINE."&amp;CHAR(10)&amp;CHAR(10)&amp;"ID Pelanggan: "&amp;D136&amp;CHAR(10)&amp;CHAR(10)&amp;"Mohon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</row>
    <row r="137" ht="15.0" customHeight="1">
      <c r="A137" s="285">
        <v>117.0</v>
      </c>
      <c r="B137" s="286" t="s">
        <v>1113</v>
      </c>
      <c r="C137" s="286" t="s">
        <v>1865</v>
      </c>
      <c r="D137" s="287" t="str">
        <f t="array" ref="D137">IFERROR(INDEX('2_Data_Pelanggan'!$B$5:$B$499,MATCH($B137,'2_Data_Pelanggan'!$O$5:$O$499,0)),"")</f>
        <v>ARM-0118</v>
      </c>
      <c r="E137" s="288" t="str">
        <f t="array" ref="E137">IFERROR(INDEX('2_Data_Pelanggan'!$D$5:$D$499,MATCH($B137,'2_Data_Pelanggan'!$O$5:$O$499,0)),"")</f>
        <v>DARYANTO</v>
      </c>
      <c r="F137" s="226" t="str">
        <f t="array" ref="F137">IFERROR(INDEX('2_Data_Pelanggan'!$H$5:$H$499,MATCH($B137,'2_Data_Pelanggan'!$O$5:$O$499,0)),"")</f>
        <v>GUMELAR</v>
      </c>
      <c r="G137" s="216" t="str">
        <f t="array" ref="G137">IFERROR(INDEX('2_Data_Pelanggan'!$I$5:$I$499,MATCH($B137,'2_Data_Pelanggan'!$O$5:$O$499,0))&amp;"/"&amp;INDEX('2_Data_Pelanggan'!$J$5:$J$499,MATCH($B137,'2_Data_Pelanggan'!$O$5:$O$499,0)),"")</f>
        <v>9/1</v>
      </c>
      <c r="H137" s="287">
        <f t="array" ref="H137">IFERROR(INDEX('2_Data_Pelanggan'!$M$5:$M$499,MATCH($B137,'2_Data_Pelanggan'!$O$5:$O$499,0)),"")</f>
        <v>75</v>
      </c>
      <c r="I137" s="287" t="str">
        <f t="array" ref="I137">IFERROR(INDEX('2_Data_Pelanggan'!$W$5:$W$499,MATCH($B137,'2_Data_Pelanggan'!$O$5:$O$499,0)),"")</f>
        <v>Aktif</v>
      </c>
      <c r="J137" s="107" t="str">
        <f t="array" ref="J137">IFERROR(IF(INDEX('2_Data_Pelanggan'!$F$5:$F$499,MATCH($B137,'2_Data_Pelanggan'!$O$5:$O$499,0))="","",HYPERLINK("https://wa.me/62"&amp;MID(INDEX('2_Data_Pelanggan'!$F$5:$F$499,MATCH($B137,'2_Data_Pelanggan'!$O$5:$O$499,0)),2,20),"Chat WA")),"")</f>
        <v>Chat WA</v>
      </c>
      <c r="K137" s="107" t="str">
        <f t="array" ref="K137">IFERROR(IF(INDEX('2_Data_Pelanggan'!$F$5:$F$499,MATCH($B137,'2_Data_Pelanggan'!$O$5:$O$499,0))="","",HYPERLINK("https://wa.me/62"&amp;MID(INDEX('2_Data_Pelanggan'!$F$5:$F$499,MATCH($B137,'2_Data_Pelanggan'!$O$5:$O$499,0)),2,LEN(INDEX('2_Data_Pelanggan'!$F$5:$F$499,MATCH($B137,'2_Data_Pelanggan'!$O$5:$O$499,0)))-1)&amp;"?text="&amp;SUBSTITUTE(SUBSTITUTE("Selamat "&amp;IF(HOUR(NOW())&lt;11,"Pagi",IF(HOUR(NOW())&lt;15,"Siang",IF(HOUR(NOW())&lt;18,"Sore","Malam")))&amp;" Bapak/Ibu "&amp;E137&amp;","&amp;CHAR(10)&amp;CHAR(10)&amp;"Mohon maaf mengganggu waktunya. Kami dari Tim Teknis ARMEDIA Net mendeteksi jaringan internet di rumah Bapak/Ibu sedang OFFLINE."&amp;CHAR(10)&amp;CHAR(10)&amp;"ID Pelanggan: "&amp;D137&amp;CHAR(10)&amp;CHAR(10)&amp;"Mohon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</row>
    <row r="138" ht="15.0" customHeight="1">
      <c r="A138" s="285">
        <v>118.0</v>
      </c>
      <c r="B138" s="286" t="s">
        <v>1193</v>
      </c>
      <c r="C138" s="286" t="s">
        <v>1865</v>
      </c>
      <c r="D138" s="287" t="str">
        <f t="array" ref="D138">IFERROR(INDEX('2_Data_Pelanggan'!$B$5:$B$499,MATCH($B138,'2_Data_Pelanggan'!$O$5:$O$499,0)),"")</f>
        <v>ARM-0128</v>
      </c>
      <c r="E138" s="288" t="str">
        <f t="array" ref="E138">IFERROR(INDEX('2_Data_Pelanggan'!$D$5:$D$499,MATCH($B138,'2_Data_Pelanggan'!$O$5:$O$499,0)),"")</f>
        <v>NURIANTI</v>
      </c>
      <c r="F138" s="226" t="str">
        <f t="array" ref="F138">IFERROR(INDEX('2_Data_Pelanggan'!$H$5:$H$499,MATCH($B138,'2_Data_Pelanggan'!$O$5:$O$499,0)),"")</f>
        <v>CIHONJE</v>
      </c>
      <c r="G138" s="216" t="str">
        <f t="array" ref="G138">IFERROR(INDEX('2_Data_Pelanggan'!$I$5:$I$499,MATCH($B138,'2_Data_Pelanggan'!$O$5:$O$499,0))&amp;"/"&amp;INDEX('2_Data_Pelanggan'!$J$5:$J$499,MATCH($B138,'2_Data_Pelanggan'!$O$5:$O$499,0)),"")</f>
        <v>5/1</v>
      </c>
      <c r="H138" s="287">
        <f t="array" ref="H138">IFERROR(INDEX('2_Data_Pelanggan'!$M$5:$M$499,MATCH($B138,'2_Data_Pelanggan'!$O$5:$O$499,0)),"")</f>
        <v>30</v>
      </c>
      <c r="I138" s="287" t="str">
        <f t="array" ref="I138">IFERROR(INDEX('2_Data_Pelanggan'!$W$5:$W$499,MATCH($B138,'2_Data_Pelanggan'!$O$5:$O$499,0)),"")</f>
        <v>Aktif</v>
      </c>
      <c r="J138" s="107" t="str">
        <f t="array" ref="J138">IFERROR(IF(INDEX('2_Data_Pelanggan'!$F$5:$F$499,MATCH($B138,'2_Data_Pelanggan'!$O$5:$O$499,0))="","",HYPERLINK("https://wa.me/62"&amp;MID(INDEX('2_Data_Pelanggan'!$F$5:$F$499,MATCH($B138,'2_Data_Pelanggan'!$O$5:$O$499,0)),2,20),"Chat WA")),"")</f>
        <v>Chat WA</v>
      </c>
      <c r="K138" s="107" t="str">
        <f t="array" ref="K138">IFERROR(IF(INDEX('2_Data_Pelanggan'!$F$5:$F$499,MATCH($B138,'2_Data_Pelanggan'!$O$5:$O$499,0))="","",HYPERLINK("https://wa.me/62"&amp;MID(INDEX('2_Data_Pelanggan'!$F$5:$F$499,MATCH($B138,'2_Data_Pelanggan'!$O$5:$O$499,0)),2,LEN(INDEX('2_Data_Pelanggan'!$F$5:$F$499,MATCH($B138,'2_Data_Pelanggan'!$O$5:$O$499,0)))-1)&amp;"?text="&amp;SUBSTITUTE(SUBSTITUTE("Selamat "&amp;IF(HOUR(NOW())&lt;11,"Pagi",IF(HOUR(NOW())&lt;15,"Siang",IF(HOUR(NOW())&lt;18,"Sore","Malam")))&amp;" Bapak/Ibu "&amp;E138&amp;","&amp;CHAR(10)&amp;CHAR(10)&amp;"Mohon maaf mengganggu waktunya. Kami dari Tim Teknis ARMEDIA Net mendeteksi jaringan internet di rumah Bapak/Ibu sedang OFFLINE."&amp;CHAR(10)&amp;CHAR(10)&amp;"ID Pelanggan: "&amp;D138&amp;CHAR(10)&amp;CHAR(10)&amp;"Mohon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</row>
    <row r="139" ht="15.0" customHeight="1">
      <c r="A139" s="285">
        <v>119.0</v>
      </c>
      <c r="B139" s="286" t="s">
        <v>1129</v>
      </c>
      <c r="C139" s="286" t="s">
        <v>1865</v>
      </c>
      <c r="D139" s="287" t="str">
        <f t="array" ref="D139">IFERROR(INDEX('2_Data_Pelanggan'!$B$5:$B$499,MATCH($B139,'2_Data_Pelanggan'!$O$5:$O$499,0)),"")</f>
        <v>ARM-0120</v>
      </c>
      <c r="E139" s="288" t="str">
        <f t="array" ref="E139">IFERROR(INDEX('2_Data_Pelanggan'!$D$5:$D$499,MATCH($B139,'2_Data_Pelanggan'!$O$5:$O$499,0)),"")</f>
        <v>SIGIT ARYANTO</v>
      </c>
      <c r="F139" s="226" t="str">
        <f t="array" ref="F139">IFERROR(INDEX('2_Data_Pelanggan'!$H$5:$H$499,MATCH($B139,'2_Data_Pelanggan'!$O$5:$O$499,0)),"")</f>
        <v>GUMELAR</v>
      </c>
      <c r="G139" s="216" t="str">
        <f t="array" ref="G139">IFERROR(INDEX('2_Data_Pelanggan'!$I$5:$I$499,MATCH($B139,'2_Data_Pelanggan'!$O$5:$O$499,0))&amp;"/"&amp;INDEX('2_Data_Pelanggan'!$J$5:$J$499,MATCH($B139,'2_Data_Pelanggan'!$O$5:$O$499,0)),"")</f>
        <v>10/3</v>
      </c>
      <c r="H139" s="287">
        <f t="array" ref="H139">IFERROR(INDEX('2_Data_Pelanggan'!$M$5:$M$499,MATCH($B139,'2_Data_Pelanggan'!$O$5:$O$499,0)),"")</f>
        <v>20</v>
      </c>
      <c r="I139" s="287" t="str">
        <f t="array" ref="I139">IFERROR(INDEX('2_Data_Pelanggan'!$W$5:$W$499,MATCH($B139,'2_Data_Pelanggan'!$O$5:$O$499,0)),"")</f>
        <v>Aktif</v>
      </c>
      <c r="J139" s="107" t="str">
        <f t="array" ref="J139">IFERROR(IF(INDEX('2_Data_Pelanggan'!$F$5:$F$499,MATCH($B139,'2_Data_Pelanggan'!$O$5:$O$499,0))="","",HYPERLINK("https://wa.me/62"&amp;MID(INDEX('2_Data_Pelanggan'!$F$5:$F$499,MATCH($B139,'2_Data_Pelanggan'!$O$5:$O$499,0)),2,20),"Chat WA")),"")</f>
        <v>Chat WA</v>
      </c>
      <c r="K139" s="107" t="str">
        <f t="array" ref="K139">IFERROR(IF(INDEX('2_Data_Pelanggan'!$F$5:$F$499,MATCH($B139,'2_Data_Pelanggan'!$O$5:$O$499,0))="","",HYPERLINK("https://wa.me/62"&amp;MID(INDEX('2_Data_Pelanggan'!$F$5:$F$499,MATCH($B139,'2_Data_Pelanggan'!$O$5:$O$499,0)),2,LEN(INDEX('2_Data_Pelanggan'!$F$5:$F$499,MATCH($B139,'2_Data_Pelanggan'!$O$5:$O$499,0)))-1)&amp;"?text="&amp;SUBSTITUTE(SUBSTITUTE("Selamat "&amp;IF(HOUR(NOW())&lt;11,"Pagi",IF(HOUR(NOW())&lt;15,"Siang",IF(HOUR(NOW())&lt;18,"Sore","Malam")))&amp;" Bapak/Ibu "&amp;E139&amp;","&amp;CHAR(10)&amp;CHAR(10)&amp;"Mohon maaf mengganggu waktunya. Kami dari Tim Teknis ARMEDIA Net mendeteksi jaringan internet di rumah Bapak/Ibu sedang OFFLINE."&amp;CHAR(10)&amp;CHAR(10)&amp;"ID Pelanggan: "&amp;D139&amp;CHAR(10)&amp;CHAR(10)&amp;"Mohon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</row>
    <row r="140" ht="15.0" customHeight="1">
      <c r="A140" s="285">
        <v>120.0</v>
      </c>
      <c r="B140" s="286" t="s">
        <v>1137</v>
      </c>
      <c r="C140" s="286" t="s">
        <v>1865</v>
      </c>
      <c r="D140" s="287" t="str">
        <f t="array" ref="D140">IFERROR(INDEX('2_Data_Pelanggan'!$B$5:$B$499,MATCH($B140,'2_Data_Pelanggan'!$O$5:$O$499,0)),"")</f>
        <v>ARM-0121</v>
      </c>
      <c r="E140" s="288" t="str">
        <f t="array" ref="E140">IFERROR(INDEX('2_Data_Pelanggan'!$D$5:$D$499,MATCH($B140,'2_Data_Pelanggan'!$O$5:$O$499,0)),"")</f>
        <v>OKI GUNAWAN</v>
      </c>
      <c r="F140" s="226" t="str">
        <f t="array" ref="F140">IFERROR(INDEX('2_Data_Pelanggan'!$H$5:$H$499,MATCH($B140,'2_Data_Pelanggan'!$O$5:$O$499,0)),"")</f>
        <v>GUMELAR</v>
      </c>
      <c r="G140" s="216" t="str">
        <f t="array" ref="G140">IFERROR(INDEX('2_Data_Pelanggan'!$I$5:$I$499,MATCH($B140,'2_Data_Pelanggan'!$O$5:$O$499,0))&amp;"/"&amp;INDEX('2_Data_Pelanggan'!$J$5:$J$499,MATCH($B140,'2_Data_Pelanggan'!$O$5:$O$499,0)),"")</f>
        <v>10/3</v>
      </c>
      <c r="H140" s="287">
        <f t="array" ref="H140">IFERROR(INDEX('2_Data_Pelanggan'!$M$5:$M$499,MATCH($B140,'2_Data_Pelanggan'!$O$5:$O$499,0)),"")</f>
        <v>20</v>
      </c>
      <c r="I140" s="287" t="str">
        <f t="array" ref="I140">IFERROR(INDEX('2_Data_Pelanggan'!$W$5:$W$499,MATCH($B140,'2_Data_Pelanggan'!$O$5:$O$499,0)),"")</f>
        <v>Aktif</v>
      </c>
      <c r="J140" s="107" t="str">
        <f t="array" ref="J140">IFERROR(IF(INDEX('2_Data_Pelanggan'!$F$5:$F$499,MATCH($B140,'2_Data_Pelanggan'!$O$5:$O$499,0))="","",HYPERLINK("https://wa.me/62"&amp;MID(INDEX('2_Data_Pelanggan'!$F$5:$F$499,MATCH($B140,'2_Data_Pelanggan'!$O$5:$O$499,0)),2,20),"Chat WA")),"")</f>
        <v>Chat WA</v>
      </c>
      <c r="K140" s="107" t="str">
        <f t="array" ref="K140">IFERROR(IF(INDEX('2_Data_Pelanggan'!$F$5:$F$499,MATCH($B140,'2_Data_Pelanggan'!$O$5:$O$499,0))="","",HYPERLINK("https://wa.me/62"&amp;MID(INDEX('2_Data_Pelanggan'!$F$5:$F$499,MATCH($B140,'2_Data_Pelanggan'!$O$5:$O$499,0)),2,LEN(INDEX('2_Data_Pelanggan'!$F$5:$F$499,MATCH($B140,'2_Data_Pelanggan'!$O$5:$O$499,0)))-1)&amp;"?text="&amp;SUBSTITUTE(SUBSTITUTE("Selamat "&amp;IF(HOUR(NOW())&lt;11,"Pagi",IF(HOUR(NOW())&lt;15,"Siang",IF(HOUR(NOW())&lt;18,"Sore","Malam")))&amp;" Bapak/Ibu "&amp;E140&amp;","&amp;CHAR(10)&amp;CHAR(10)&amp;"Mohon maaf mengganggu waktunya. Kami dari Tim Teknis ARMEDIA Net mendeteksi jaringan internet di rumah Bapak/Ibu sedang OFFLINE."&amp;CHAR(10)&amp;CHAR(10)&amp;"ID Pelanggan: "&amp;D140&amp;CHAR(10)&amp;CHAR(10)&amp;"Mohon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</row>
    <row r="141" ht="15.0" customHeight="1">
      <c r="A141" s="285">
        <v>121.0</v>
      </c>
      <c r="B141" s="286" t="s">
        <v>1145</v>
      </c>
      <c r="C141" s="286" t="s">
        <v>1865</v>
      </c>
      <c r="D141" s="287" t="str">
        <f t="array" ref="D141">IFERROR(INDEX('2_Data_Pelanggan'!$B$5:$B$499,MATCH($B141,'2_Data_Pelanggan'!$O$5:$O$499,0)),"")</f>
        <v>ARM-0122</v>
      </c>
      <c r="E141" s="288" t="str">
        <f t="array" ref="E141">IFERROR(INDEX('2_Data_Pelanggan'!$D$5:$D$499,MATCH($B141,'2_Data_Pelanggan'!$O$5:$O$499,0)),"")</f>
        <v>ANGGRES PERMANA</v>
      </c>
      <c r="F141" s="226" t="str">
        <f t="array" ref="F141">IFERROR(INDEX('2_Data_Pelanggan'!$H$5:$H$499,MATCH($B141,'2_Data_Pelanggan'!$O$5:$O$499,0)),"")</f>
        <v>GUMELAR</v>
      </c>
      <c r="G141" s="216" t="str">
        <f t="array" ref="G141">IFERROR(INDEX('2_Data_Pelanggan'!$I$5:$I$499,MATCH($B141,'2_Data_Pelanggan'!$O$5:$O$499,0))&amp;"/"&amp;INDEX('2_Data_Pelanggan'!$J$5:$J$499,MATCH($B141,'2_Data_Pelanggan'!$O$5:$O$499,0)),"")</f>
        <v>2/2</v>
      </c>
      <c r="H141" s="287">
        <f t="array" ref="H141">IFERROR(INDEX('2_Data_Pelanggan'!$M$5:$M$499,MATCH($B141,'2_Data_Pelanggan'!$O$5:$O$499,0)),"")</f>
        <v>20</v>
      </c>
      <c r="I141" s="287" t="str">
        <f t="array" ref="I141">IFERROR(INDEX('2_Data_Pelanggan'!$W$5:$W$499,MATCH($B141,'2_Data_Pelanggan'!$O$5:$O$499,0)),"")</f>
        <v>Aktif</v>
      </c>
      <c r="J141" s="107" t="str">
        <f t="array" ref="J141">IFERROR(IF(INDEX('2_Data_Pelanggan'!$F$5:$F$499,MATCH($B141,'2_Data_Pelanggan'!$O$5:$O$499,0))="","",HYPERLINK("https://wa.me/62"&amp;MID(INDEX('2_Data_Pelanggan'!$F$5:$F$499,MATCH($B141,'2_Data_Pelanggan'!$O$5:$O$499,0)),2,20),"Chat WA")),"")</f>
        <v>Chat WA</v>
      </c>
      <c r="K141" s="107" t="str">
        <f t="array" ref="K141">IFERROR(IF(INDEX('2_Data_Pelanggan'!$F$5:$F$499,MATCH($B141,'2_Data_Pelanggan'!$O$5:$O$499,0))="","",HYPERLINK("https://wa.me/62"&amp;MID(INDEX('2_Data_Pelanggan'!$F$5:$F$499,MATCH($B141,'2_Data_Pelanggan'!$O$5:$O$499,0)),2,LEN(INDEX('2_Data_Pelanggan'!$F$5:$F$499,MATCH($B141,'2_Data_Pelanggan'!$O$5:$O$499,0)))-1)&amp;"?text="&amp;SUBSTITUTE(SUBSTITUTE("Selamat "&amp;IF(HOUR(NOW())&lt;11,"Pagi",IF(HOUR(NOW())&lt;15,"Siang",IF(HOUR(NOW())&lt;18,"Sore","Malam")))&amp;" Bapak/Ibu "&amp;E141&amp;","&amp;CHAR(10)&amp;CHAR(10)&amp;"Mohon maaf mengganggu waktunya. Kami dari Tim Teknis ARMEDIA Net mendeteksi jaringan internet di rumah Bapak/Ibu sedang OFFLINE."&amp;CHAR(10)&amp;CHAR(10)&amp;"ID Pelanggan: "&amp;D141&amp;CHAR(10)&amp;CHAR(10)&amp;"Mohon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</row>
    <row r="142" ht="15.0" customHeight="1">
      <c r="A142" s="285">
        <v>122.0</v>
      </c>
      <c r="B142" s="286" t="s">
        <v>1153</v>
      </c>
      <c r="C142" s="286" t="s">
        <v>1865</v>
      </c>
      <c r="D142" s="287" t="str">
        <f t="array" ref="D142">IFERROR(INDEX('2_Data_Pelanggan'!$B$5:$B$499,MATCH($B142,'2_Data_Pelanggan'!$O$5:$O$499,0)),"")</f>
        <v>ARM-0123</v>
      </c>
      <c r="E142" s="288" t="str">
        <f t="array" ref="E142">IFERROR(INDEX('2_Data_Pelanggan'!$D$5:$D$499,MATCH($B142,'2_Data_Pelanggan'!$O$5:$O$499,0)),"")</f>
        <v>DASLIM</v>
      </c>
      <c r="F142" s="226" t="str">
        <f t="array" ref="F142">IFERROR(INDEX('2_Data_Pelanggan'!$H$5:$H$499,MATCH($B142,'2_Data_Pelanggan'!$O$5:$O$499,0)),"")</f>
        <v>GUMELAR</v>
      </c>
      <c r="G142" s="216" t="str">
        <f t="array" ref="G142">IFERROR(INDEX('2_Data_Pelanggan'!$I$5:$I$499,MATCH($B142,'2_Data_Pelanggan'!$O$5:$O$499,0))&amp;"/"&amp;INDEX('2_Data_Pelanggan'!$J$5:$J$499,MATCH($B142,'2_Data_Pelanggan'!$O$5:$O$499,0)),"")</f>
        <v>9/5</v>
      </c>
      <c r="H142" s="287">
        <f t="array" ref="H142">IFERROR(INDEX('2_Data_Pelanggan'!$M$5:$M$499,MATCH($B142,'2_Data_Pelanggan'!$O$5:$O$499,0)),"")</f>
        <v>20</v>
      </c>
      <c r="I142" s="287" t="str">
        <f t="array" ref="I142">IFERROR(INDEX('2_Data_Pelanggan'!$W$5:$W$499,MATCH($B142,'2_Data_Pelanggan'!$O$5:$O$499,0)),"")</f>
        <v>Aktif</v>
      </c>
      <c r="J142" s="107" t="str">
        <f t="array" ref="J142">IFERROR(IF(INDEX('2_Data_Pelanggan'!$F$5:$F$499,MATCH($B142,'2_Data_Pelanggan'!$O$5:$O$499,0))="","",HYPERLINK("https://wa.me/62"&amp;MID(INDEX('2_Data_Pelanggan'!$F$5:$F$499,MATCH($B142,'2_Data_Pelanggan'!$O$5:$O$499,0)),2,20),"Chat WA")),"")</f>
        <v>Chat WA</v>
      </c>
      <c r="K142" s="107" t="str">
        <f t="array" ref="K142">IFERROR(IF(INDEX('2_Data_Pelanggan'!$F$5:$F$499,MATCH($B142,'2_Data_Pelanggan'!$O$5:$O$499,0))="","",HYPERLINK("https://wa.me/62"&amp;MID(INDEX('2_Data_Pelanggan'!$F$5:$F$499,MATCH($B142,'2_Data_Pelanggan'!$O$5:$O$499,0)),2,LEN(INDEX('2_Data_Pelanggan'!$F$5:$F$499,MATCH($B142,'2_Data_Pelanggan'!$O$5:$O$499,0)))-1)&amp;"?text="&amp;SUBSTITUTE(SUBSTITUTE("Selamat "&amp;IF(HOUR(NOW())&lt;11,"Pagi",IF(HOUR(NOW())&lt;15,"Siang",IF(HOUR(NOW())&lt;18,"Sore","Malam")))&amp;" Bapak/Ibu "&amp;E142&amp;","&amp;CHAR(10)&amp;CHAR(10)&amp;"Mohon maaf mengganggu waktunya. Kami dari Tim Teknis ARMEDIA Net mendeteksi jaringan internet di rumah Bapak/Ibu sedang OFFLINE."&amp;CHAR(10)&amp;CHAR(10)&amp;"ID Pelanggan: "&amp;D142&amp;CHAR(10)&amp;CHAR(10)&amp;"Mohon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</row>
    <row r="143" ht="15.0" customHeight="1">
      <c r="A143" s="285">
        <v>123.0</v>
      </c>
      <c r="B143" s="286" t="s">
        <v>1160</v>
      </c>
      <c r="C143" s="286" t="s">
        <v>1865</v>
      </c>
      <c r="D143" s="287" t="str">
        <f t="array" ref="D143">IFERROR(INDEX('2_Data_Pelanggan'!$B$5:$B$499,MATCH($B143,'2_Data_Pelanggan'!$O$5:$O$499,0)),"")</f>
        <v>ARM-0124</v>
      </c>
      <c r="E143" s="288" t="str">
        <f t="array" ref="E143">IFERROR(INDEX('2_Data_Pelanggan'!$D$5:$D$499,MATCH($B143,'2_Data_Pelanggan'!$O$5:$O$499,0)),"")</f>
        <v>HERWATI</v>
      </c>
      <c r="F143" s="226" t="str">
        <f t="array" ref="F143">IFERROR(INDEX('2_Data_Pelanggan'!$H$5:$H$499,MATCH($B143,'2_Data_Pelanggan'!$O$5:$O$499,0)),"")</f>
        <v>GUMELAR</v>
      </c>
      <c r="G143" s="216" t="str">
        <f t="array" ref="G143">IFERROR(INDEX('2_Data_Pelanggan'!$I$5:$I$499,MATCH($B143,'2_Data_Pelanggan'!$O$5:$O$499,0))&amp;"/"&amp;INDEX('2_Data_Pelanggan'!$J$5:$J$499,MATCH($B143,'2_Data_Pelanggan'!$O$5:$O$499,0)),"")</f>
        <v>1/2</v>
      </c>
      <c r="H143" s="287">
        <f t="array" ref="H143">IFERROR(INDEX('2_Data_Pelanggan'!$M$5:$M$499,MATCH($B143,'2_Data_Pelanggan'!$O$5:$O$499,0)),"")</f>
        <v>20</v>
      </c>
      <c r="I143" s="287" t="str">
        <f t="array" ref="I143">IFERROR(INDEX('2_Data_Pelanggan'!$W$5:$W$499,MATCH($B143,'2_Data_Pelanggan'!$O$5:$O$499,0)),"")</f>
        <v>Aktif</v>
      </c>
      <c r="J143" s="107" t="str">
        <f t="array" ref="J143">IFERROR(IF(INDEX('2_Data_Pelanggan'!$F$5:$F$499,MATCH($B143,'2_Data_Pelanggan'!$O$5:$O$499,0))="","",HYPERLINK("https://wa.me/62"&amp;MID(INDEX('2_Data_Pelanggan'!$F$5:$F$499,MATCH($B143,'2_Data_Pelanggan'!$O$5:$O$499,0)),2,20),"Chat WA")),"")</f>
        <v>Chat WA</v>
      </c>
      <c r="K143" s="107" t="str">
        <f t="array" ref="K143">IFERROR(IF(INDEX('2_Data_Pelanggan'!$F$5:$F$499,MATCH($B143,'2_Data_Pelanggan'!$O$5:$O$499,0))="","",HYPERLINK("https://wa.me/62"&amp;MID(INDEX('2_Data_Pelanggan'!$F$5:$F$499,MATCH($B143,'2_Data_Pelanggan'!$O$5:$O$499,0)),2,LEN(INDEX('2_Data_Pelanggan'!$F$5:$F$499,MATCH($B143,'2_Data_Pelanggan'!$O$5:$O$499,0)))-1)&amp;"?text="&amp;SUBSTITUTE(SUBSTITUTE("Selamat "&amp;IF(HOUR(NOW())&lt;11,"Pagi",IF(HOUR(NOW())&lt;15,"Siang",IF(HOUR(NOW())&lt;18,"Sore","Malam")))&amp;" Bapak/Ibu "&amp;E143&amp;","&amp;CHAR(10)&amp;CHAR(10)&amp;"Mohon maaf mengganggu waktunya. Kami dari Tim Teknis ARMEDIA Net mendeteksi jaringan internet di rumah Bapak/Ibu sedang OFFLINE."&amp;CHAR(10)&amp;CHAR(10)&amp;"ID Pelanggan: "&amp;D143&amp;CHAR(10)&amp;CHAR(10)&amp;"Mohon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</row>
    <row r="144" ht="15.0" customHeight="1">
      <c r="A144" s="285">
        <v>124.0</v>
      </c>
      <c r="B144" s="286" t="s">
        <v>1168</v>
      </c>
      <c r="C144" s="286" t="s">
        <v>1865</v>
      </c>
      <c r="D144" s="287" t="str">
        <f t="array" ref="D144">IFERROR(INDEX('2_Data_Pelanggan'!$B$5:$B$499,MATCH($B144,'2_Data_Pelanggan'!$O$5:$O$499,0)),"")</f>
        <v>ARM-0125</v>
      </c>
      <c r="E144" s="288" t="str">
        <f t="array" ref="E144">IFERROR(INDEX('2_Data_Pelanggan'!$D$5:$D$499,MATCH($B144,'2_Data_Pelanggan'!$O$5:$O$499,0)),"")</f>
        <v>RAKUM RUSTOYO</v>
      </c>
      <c r="F144" s="226" t="str">
        <f t="array" ref="F144">IFERROR(INDEX('2_Data_Pelanggan'!$H$5:$H$499,MATCH($B144,'2_Data_Pelanggan'!$O$5:$O$499,0)),"")</f>
        <v>GUMELAR</v>
      </c>
      <c r="G144" s="216" t="str">
        <f t="array" ref="G144">IFERROR(INDEX('2_Data_Pelanggan'!$I$5:$I$499,MATCH($B144,'2_Data_Pelanggan'!$O$5:$O$499,0))&amp;"/"&amp;INDEX('2_Data_Pelanggan'!$J$5:$J$499,MATCH($B144,'2_Data_Pelanggan'!$O$5:$O$499,0)),"")</f>
        <v>10/4</v>
      </c>
      <c r="H144" s="287">
        <f t="array" ref="H144">IFERROR(INDEX('2_Data_Pelanggan'!$M$5:$M$499,MATCH($B144,'2_Data_Pelanggan'!$O$5:$O$499,0)),"")</f>
        <v>30</v>
      </c>
      <c r="I144" s="287" t="str">
        <f t="array" ref="I144">IFERROR(INDEX('2_Data_Pelanggan'!$W$5:$W$499,MATCH($B144,'2_Data_Pelanggan'!$O$5:$O$499,0)),"")</f>
        <v>Aktif</v>
      </c>
      <c r="J144" s="107" t="str">
        <f t="array" ref="J144">IFERROR(IF(INDEX('2_Data_Pelanggan'!$F$5:$F$499,MATCH($B144,'2_Data_Pelanggan'!$O$5:$O$499,0))="","",HYPERLINK("https://wa.me/62"&amp;MID(INDEX('2_Data_Pelanggan'!$F$5:$F$499,MATCH($B144,'2_Data_Pelanggan'!$O$5:$O$499,0)),2,20),"Chat WA")),"")</f>
        <v>Chat WA</v>
      </c>
      <c r="K144" s="107" t="str">
        <f t="array" ref="K144">IFERROR(IF(INDEX('2_Data_Pelanggan'!$F$5:$F$499,MATCH($B144,'2_Data_Pelanggan'!$O$5:$O$499,0))="","",HYPERLINK("https://wa.me/62"&amp;MID(INDEX('2_Data_Pelanggan'!$F$5:$F$499,MATCH($B144,'2_Data_Pelanggan'!$O$5:$O$499,0)),2,LEN(INDEX('2_Data_Pelanggan'!$F$5:$F$499,MATCH($B144,'2_Data_Pelanggan'!$O$5:$O$499,0)))-1)&amp;"?text="&amp;SUBSTITUTE(SUBSTITUTE("Selamat "&amp;IF(HOUR(NOW())&lt;11,"Pagi",IF(HOUR(NOW())&lt;15,"Siang",IF(HOUR(NOW())&lt;18,"Sore","Malam")))&amp;" Bapak/Ibu "&amp;E144&amp;","&amp;CHAR(10)&amp;CHAR(10)&amp;"Mohon maaf mengganggu waktunya. Kami dari Tim Teknis ARMEDIA Net mendeteksi jaringan internet di rumah Bapak/Ibu sedang OFFLINE."&amp;CHAR(10)&amp;CHAR(10)&amp;"ID Pelanggan: "&amp;D144&amp;CHAR(10)&amp;CHAR(10)&amp;"Mohon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</row>
    <row r="145" ht="15.0" customHeight="1">
      <c r="A145" s="285">
        <v>125.0</v>
      </c>
      <c r="B145" s="286" t="s">
        <v>1185</v>
      </c>
      <c r="C145" s="286" t="s">
        <v>1865</v>
      </c>
      <c r="D145" s="287" t="str">
        <f t="array" ref="D145">IFERROR(INDEX('2_Data_Pelanggan'!$B$5:$B$499,MATCH($B145,'2_Data_Pelanggan'!$O$5:$O$499,0)),"")</f>
        <v>ARM-0127</v>
      </c>
      <c r="E145" s="288" t="str">
        <f t="array" ref="E145">IFERROR(INDEX('2_Data_Pelanggan'!$D$5:$D$499,MATCH($B145,'2_Data_Pelanggan'!$O$5:$O$499,0)),"")</f>
        <v>ADZAM ARIEL TIMBULENG</v>
      </c>
      <c r="F145" s="226" t="str">
        <f t="array" ref="F145">IFERROR(INDEX('2_Data_Pelanggan'!$H$5:$H$499,MATCH($B145,'2_Data_Pelanggan'!$O$5:$O$499,0)),"")</f>
        <v>GUMELAR</v>
      </c>
      <c r="G145" s="216" t="str">
        <f t="array" ref="G145">IFERROR(INDEX('2_Data_Pelanggan'!$I$5:$I$499,MATCH($B145,'2_Data_Pelanggan'!$O$5:$O$499,0))&amp;"/"&amp;INDEX('2_Data_Pelanggan'!$J$5:$J$499,MATCH($B145,'2_Data_Pelanggan'!$O$5:$O$499,0)),"")</f>
        <v>1/2</v>
      </c>
      <c r="H145" s="287">
        <f t="array" ref="H145">IFERROR(INDEX('2_Data_Pelanggan'!$M$5:$M$499,MATCH($B145,'2_Data_Pelanggan'!$O$5:$O$499,0)),"")</f>
        <v>20</v>
      </c>
      <c r="I145" s="287" t="str">
        <f t="array" ref="I145">IFERROR(INDEX('2_Data_Pelanggan'!$W$5:$W$499,MATCH($B145,'2_Data_Pelanggan'!$O$5:$O$499,0)),"")</f>
        <v>Aktif</v>
      </c>
      <c r="J145" s="107" t="str">
        <f t="array" ref="J145">IFERROR(IF(INDEX('2_Data_Pelanggan'!$F$5:$F$499,MATCH($B145,'2_Data_Pelanggan'!$O$5:$O$499,0))="","",HYPERLINK("https://wa.me/62"&amp;MID(INDEX('2_Data_Pelanggan'!$F$5:$F$499,MATCH($B145,'2_Data_Pelanggan'!$O$5:$O$499,0)),2,20),"Chat WA")),"")</f>
        <v>Chat WA</v>
      </c>
      <c r="K145" s="107" t="str">
        <f t="array" ref="K145">IFERROR(IF(INDEX('2_Data_Pelanggan'!$F$5:$F$499,MATCH($B145,'2_Data_Pelanggan'!$O$5:$O$499,0))="","",HYPERLINK("https://wa.me/62"&amp;MID(INDEX('2_Data_Pelanggan'!$F$5:$F$499,MATCH($B145,'2_Data_Pelanggan'!$O$5:$O$499,0)),2,LEN(INDEX('2_Data_Pelanggan'!$F$5:$F$499,MATCH($B145,'2_Data_Pelanggan'!$O$5:$O$499,0)))-1)&amp;"?text="&amp;SUBSTITUTE(SUBSTITUTE("Selamat "&amp;IF(HOUR(NOW())&lt;11,"Pagi",IF(HOUR(NOW())&lt;15,"Siang",IF(HOUR(NOW())&lt;18,"Sore","Malam")))&amp;" Bapak/Ibu "&amp;E145&amp;","&amp;CHAR(10)&amp;CHAR(10)&amp;"Mohon maaf mengganggu waktunya. Kami dari Tim Teknis ARMEDIA Net mendeteksi jaringan internet di rumah Bapak/Ibu sedang OFFLINE."&amp;CHAR(10)&amp;CHAR(10)&amp;"ID Pelanggan: "&amp;D145&amp;CHAR(10)&amp;CHAR(10)&amp;"Mohon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</row>
    <row r="146" ht="15.0" customHeight="1">
      <c r="A146" s="285">
        <v>126.0</v>
      </c>
      <c r="B146" s="286" t="s">
        <v>1200</v>
      </c>
      <c r="C146" s="286" t="s">
        <v>1865</v>
      </c>
      <c r="D146" s="287" t="str">
        <f t="array" ref="D146">IFERROR(INDEX('2_Data_Pelanggan'!$B$5:$B$499,MATCH($B146,'2_Data_Pelanggan'!$O$5:$O$499,0)),"")</f>
        <v>ARM-0129</v>
      </c>
      <c r="E146" s="288" t="str">
        <f t="array" ref="E146">IFERROR(INDEX('2_Data_Pelanggan'!$D$5:$D$499,MATCH($B146,'2_Data_Pelanggan'!$O$5:$O$499,0)),"")</f>
        <v>SUJITO</v>
      </c>
      <c r="F146" s="226" t="str">
        <f t="array" ref="F146">IFERROR(INDEX('2_Data_Pelanggan'!$H$5:$H$499,MATCH($B146,'2_Data_Pelanggan'!$O$5:$O$499,0)),"")</f>
        <v>GUMELAR</v>
      </c>
      <c r="G146" s="216" t="str">
        <f t="array" ref="G146">IFERROR(INDEX('2_Data_Pelanggan'!$I$5:$I$499,MATCH($B146,'2_Data_Pelanggan'!$O$5:$O$499,0))&amp;"/"&amp;INDEX('2_Data_Pelanggan'!$J$5:$J$499,MATCH($B146,'2_Data_Pelanggan'!$O$5:$O$499,0)),"")</f>
        <v>1/3</v>
      </c>
      <c r="H146" s="287">
        <f t="array" ref="H146">IFERROR(INDEX('2_Data_Pelanggan'!$M$5:$M$499,MATCH($B146,'2_Data_Pelanggan'!$O$5:$O$499,0)),"")</f>
        <v>30</v>
      </c>
      <c r="I146" s="287" t="str">
        <f t="array" ref="I146">IFERROR(INDEX('2_Data_Pelanggan'!$W$5:$W$499,MATCH($B146,'2_Data_Pelanggan'!$O$5:$O$499,0)),"")</f>
        <v>Aktif</v>
      </c>
      <c r="J146" s="107" t="str">
        <f t="array" ref="J146">IFERROR(IF(INDEX('2_Data_Pelanggan'!$F$5:$F$499,MATCH($B146,'2_Data_Pelanggan'!$O$5:$O$499,0))="","",HYPERLINK("https://wa.me/62"&amp;MID(INDEX('2_Data_Pelanggan'!$F$5:$F$499,MATCH($B146,'2_Data_Pelanggan'!$O$5:$O$499,0)),2,20),"Chat WA")),"")</f>
        <v>Chat WA</v>
      </c>
      <c r="K146" s="107" t="str">
        <f t="array" ref="K146">IFERROR(IF(INDEX('2_Data_Pelanggan'!$F$5:$F$499,MATCH($B146,'2_Data_Pelanggan'!$O$5:$O$499,0))="","",HYPERLINK("https://wa.me/62"&amp;MID(INDEX('2_Data_Pelanggan'!$F$5:$F$499,MATCH($B146,'2_Data_Pelanggan'!$O$5:$O$499,0)),2,LEN(INDEX('2_Data_Pelanggan'!$F$5:$F$499,MATCH($B146,'2_Data_Pelanggan'!$O$5:$O$499,0)))-1)&amp;"?text="&amp;SUBSTITUTE(SUBSTITUTE("Selamat "&amp;IF(HOUR(NOW())&lt;11,"Pagi",IF(HOUR(NOW())&lt;15,"Siang",IF(HOUR(NOW())&lt;18,"Sore","Malam")))&amp;" Bapak/Ibu "&amp;E146&amp;","&amp;CHAR(10)&amp;CHAR(10)&amp;"Mohon maaf mengganggu waktunya. Kami dari Tim Teknis ARMEDIA Net mendeteksi jaringan internet di rumah Bapak/Ibu sedang OFFLINE."&amp;CHAR(10)&amp;CHAR(10)&amp;"ID Pelanggan: "&amp;D146&amp;CHAR(10)&amp;CHAR(10)&amp;"Mohon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</row>
    <row r="147" ht="15.0" customHeight="1">
      <c r="A147" s="285">
        <v>127.0</v>
      </c>
      <c r="B147" s="286" t="s">
        <v>1217</v>
      </c>
      <c r="C147" s="286" t="s">
        <v>1865</v>
      </c>
      <c r="D147" s="287" t="str">
        <f t="array" ref="D147">IFERROR(INDEX('2_Data_Pelanggan'!$B$5:$B$499,MATCH($B147,'2_Data_Pelanggan'!$O$5:$O$499,0)),"")</f>
        <v>ARM-0131</v>
      </c>
      <c r="E147" s="288" t="str">
        <f t="array" ref="E147">IFERROR(INDEX('2_Data_Pelanggan'!$D$5:$D$499,MATCH($B147,'2_Data_Pelanggan'!$O$5:$O$499,0)),"")</f>
        <v>WINDA EKA SARI</v>
      </c>
      <c r="F147" s="226" t="str">
        <f t="array" ref="F147">IFERROR(INDEX('2_Data_Pelanggan'!$H$5:$H$499,MATCH($B147,'2_Data_Pelanggan'!$O$5:$O$499,0)),"")</f>
        <v>GUMELAR</v>
      </c>
      <c r="G147" s="216" t="str">
        <f t="array" ref="G147">IFERROR(INDEX('2_Data_Pelanggan'!$I$5:$I$499,MATCH($B147,'2_Data_Pelanggan'!$O$5:$O$499,0))&amp;"/"&amp;INDEX('2_Data_Pelanggan'!$J$5:$J$499,MATCH($B147,'2_Data_Pelanggan'!$O$5:$O$499,0)),"")</f>
        <v>3/1</v>
      </c>
      <c r="H147" s="287">
        <f t="array" ref="H147">IFERROR(INDEX('2_Data_Pelanggan'!$M$5:$M$499,MATCH($B147,'2_Data_Pelanggan'!$O$5:$O$499,0)),"")</f>
        <v>20</v>
      </c>
      <c r="I147" s="287" t="str">
        <f t="array" ref="I147">IFERROR(INDEX('2_Data_Pelanggan'!$W$5:$W$499,MATCH($B147,'2_Data_Pelanggan'!$O$5:$O$499,0)),"")</f>
        <v>Aktif</v>
      </c>
      <c r="J147" s="107" t="str">
        <f t="array" ref="J147">IFERROR(IF(INDEX('2_Data_Pelanggan'!$F$5:$F$499,MATCH($B147,'2_Data_Pelanggan'!$O$5:$O$499,0))="","",HYPERLINK("https://wa.me/62"&amp;MID(INDEX('2_Data_Pelanggan'!$F$5:$F$499,MATCH($B147,'2_Data_Pelanggan'!$O$5:$O$499,0)),2,20),"Chat WA")),"")</f>
        <v>Chat WA</v>
      </c>
      <c r="K147" s="107" t="str">
        <f t="array" ref="K147">IFERROR(IF(INDEX('2_Data_Pelanggan'!$F$5:$F$499,MATCH($B147,'2_Data_Pelanggan'!$O$5:$O$499,0))="","",HYPERLINK("https://wa.me/62"&amp;MID(INDEX('2_Data_Pelanggan'!$F$5:$F$499,MATCH($B147,'2_Data_Pelanggan'!$O$5:$O$499,0)),2,LEN(INDEX('2_Data_Pelanggan'!$F$5:$F$499,MATCH($B147,'2_Data_Pelanggan'!$O$5:$O$499,0)))-1)&amp;"?text="&amp;SUBSTITUTE(SUBSTITUTE("Selamat "&amp;IF(HOUR(NOW())&lt;11,"Pagi",IF(HOUR(NOW())&lt;15,"Siang",IF(HOUR(NOW())&lt;18,"Sore","Malam")))&amp;" Bapak/Ibu "&amp;E147&amp;","&amp;CHAR(10)&amp;CHAR(10)&amp;"Mohon maaf mengganggu waktunya. Kami dari Tim Teknis ARMEDIA Net mendeteksi jaringan internet di rumah Bapak/Ibu sedang OFFLINE."&amp;CHAR(10)&amp;CHAR(10)&amp;"ID Pelanggan: "&amp;D147&amp;CHAR(10)&amp;CHAR(10)&amp;"Mohon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</row>
    <row r="148" ht="15.0" customHeight="1">
      <c r="A148" s="285">
        <v>128.0</v>
      </c>
      <c r="B148" s="286" t="s">
        <v>1225</v>
      </c>
      <c r="C148" s="286" t="s">
        <v>1865</v>
      </c>
      <c r="D148" s="287" t="str">
        <f t="array" ref="D148">IFERROR(INDEX('2_Data_Pelanggan'!$B$5:$B$499,MATCH($B148,'2_Data_Pelanggan'!$O$5:$O$499,0)),"")</f>
        <v>ARM-0132</v>
      </c>
      <c r="E148" s="288" t="str">
        <f t="array" ref="E148">IFERROR(INDEX('2_Data_Pelanggan'!$D$5:$D$499,MATCH($B148,'2_Data_Pelanggan'!$O$5:$O$499,0)),"")</f>
        <v>WAHYONO</v>
      </c>
      <c r="F148" s="226" t="str">
        <f t="array" ref="F148">IFERROR(INDEX('2_Data_Pelanggan'!$H$5:$H$499,MATCH($B148,'2_Data_Pelanggan'!$O$5:$O$499,0)),"")</f>
        <v>GUMELAR</v>
      </c>
      <c r="G148" s="216" t="str">
        <f t="array" ref="G148">IFERROR(INDEX('2_Data_Pelanggan'!$I$5:$I$499,MATCH($B148,'2_Data_Pelanggan'!$O$5:$O$499,0))&amp;"/"&amp;INDEX('2_Data_Pelanggan'!$J$5:$J$499,MATCH($B148,'2_Data_Pelanggan'!$O$5:$O$499,0)),"")</f>
        <v>9/1</v>
      </c>
      <c r="H148" s="287">
        <f t="array" ref="H148">IFERROR(INDEX('2_Data_Pelanggan'!$M$5:$M$499,MATCH($B148,'2_Data_Pelanggan'!$O$5:$O$499,0)),"")</f>
        <v>20</v>
      </c>
      <c r="I148" s="287" t="str">
        <f t="array" ref="I148">IFERROR(INDEX('2_Data_Pelanggan'!$W$5:$W$499,MATCH($B148,'2_Data_Pelanggan'!$O$5:$O$499,0)),"")</f>
        <v>Aktif</v>
      </c>
      <c r="J148" s="107" t="str">
        <f t="array" ref="J148">IFERROR(IF(INDEX('2_Data_Pelanggan'!$F$5:$F$499,MATCH($B148,'2_Data_Pelanggan'!$O$5:$O$499,0))="","",HYPERLINK("https://wa.me/62"&amp;MID(INDEX('2_Data_Pelanggan'!$F$5:$F$499,MATCH($B148,'2_Data_Pelanggan'!$O$5:$O$499,0)),2,20),"Chat WA")),"")</f>
        <v>Chat WA</v>
      </c>
      <c r="K148" s="107" t="str">
        <f t="array" ref="K148">IFERROR(IF(INDEX('2_Data_Pelanggan'!$F$5:$F$499,MATCH($B148,'2_Data_Pelanggan'!$O$5:$O$499,0))="","",HYPERLINK("https://wa.me/62"&amp;MID(INDEX('2_Data_Pelanggan'!$F$5:$F$499,MATCH($B148,'2_Data_Pelanggan'!$O$5:$O$499,0)),2,LEN(INDEX('2_Data_Pelanggan'!$F$5:$F$499,MATCH($B148,'2_Data_Pelanggan'!$O$5:$O$499,0)))-1)&amp;"?text="&amp;SUBSTITUTE(SUBSTITUTE("Selamat "&amp;IF(HOUR(NOW())&lt;11,"Pagi",IF(HOUR(NOW())&lt;15,"Siang",IF(HOUR(NOW())&lt;18,"Sore","Malam")))&amp;" Bapak/Ibu "&amp;E148&amp;","&amp;CHAR(10)&amp;CHAR(10)&amp;"Mohon maaf mengganggu waktunya. Kami dari Tim Teknis ARMEDIA Net mendeteksi jaringan internet di rumah Bapak/Ibu sedang OFFLINE."&amp;CHAR(10)&amp;CHAR(10)&amp;"ID Pelanggan: "&amp;D148&amp;CHAR(10)&amp;CHAR(10)&amp;"Mohon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</row>
    <row r="149" ht="15.0" customHeight="1">
      <c r="A149" s="285">
        <v>129.0</v>
      </c>
      <c r="B149" s="286" t="s">
        <v>1871</v>
      </c>
      <c r="C149" s="286" t="s">
        <v>1865</v>
      </c>
      <c r="D149" s="287" t="str">
        <f t="array" ref="D149">IFERROR(INDEX('2_Data_Pelanggan'!$B$5:$B$499,MATCH($B149,'2_Data_Pelanggan'!$O$5:$O$499,0)),"")</f>
        <v/>
      </c>
      <c r="E149" s="288" t="str">
        <f t="array" ref="E149">IFERROR(INDEX('2_Data_Pelanggan'!$D$5:$D$499,MATCH($B149,'2_Data_Pelanggan'!$O$5:$O$499,0)),"")</f>
        <v/>
      </c>
      <c r="F149" s="226" t="str">
        <f t="array" ref="F149">IFERROR(INDEX('2_Data_Pelanggan'!$H$5:$H$499,MATCH($B149,'2_Data_Pelanggan'!$O$5:$O$499,0)),"")</f>
        <v/>
      </c>
      <c r="G149" s="216" t="str">
        <f t="array" ref="G149">IFERROR(INDEX('2_Data_Pelanggan'!$I$5:$I$499,MATCH($B149,'2_Data_Pelanggan'!$O$5:$O$499,0))&amp;"/"&amp;INDEX('2_Data_Pelanggan'!$J$5:$J$499,MATCH($B149,'2_Data_Pelanggan'!$O$5:$O$499,0)),"")</f>
        <v/>
      </c>
      <c r="H149" s="287" t="str">
        <f t="array" ref="H149">IFERROR(INDEX('2_Data_Pelanggan'!$M$5:$M$499,MATCH($B149,'2_Data_Pelanggan'!$O$5:$O$499,0)),"")</f>
        <v/>
      </c>
      <c r="I149" s="287" t="str">
        <f t="array" ref="I149">IFERROR(INDEX('2_Data_Pelanggan'!$W$5:$W$499,MATCH($B149,'2_Data_Pelanggan'!$O$5:$O$499,0)),"")</f>
        <v/>
      </c>
      <c r="J149" s="107" t="str">
        <f t="array" ref="J149">IFERROR(IF(INDEX('2_Data_Pelanggan'!$F$5:$F$499,MATCH($B149,'2_Data_Pelanggan'!$O$5:$O$499,0))="","",HYPERLINK("https://wa.me/62"&amp;MID(INDEX('2_Data_Pelanggan'!$F$5:$F$499,MATCH($B149,'2_Data_Pelanggan'!$O$5:$O$499,0)),2,20),"Chat WA")),"")</f>
        <v/>
      </c>
      <c r="K149" s="107" t="str">
        <f t="array" ref="K149">IFERROR(IF(INDEX('2_Data_Pelanggan'!$F$5:$F$499,MATCH($B149,'2_Data_Pelanggan'!$O$5:$O$499,0))="","",HYPERLINK("https://wa.me/62"&amp;MID(INDEX('2_Data_Pelanggan'!$F$5:$F$499,MATCH($B149,'2_Data_Pelanggan'!$O$5:$O$499,0)),2,LEN(INDEX('2_Data_Pelanggan'!$F$5:$F$499,MATCH($B149,'2_Data_Pelanggan'!$O$5:$O$499,0)))-1)&amp;"?text="&amp;SUBSTITUTE(SUBSTITUTE("Selamat "&amp;IF(HOUR(NOW())&lt;11,"Pagi",IF(HOUR(NOW())&lt;15,"Siang",IF(HOUR(NOW())&lt;18,"Sore","Malam")))&amp;" Bapak/Ibu "&amp;E149&amp;","&amp;CHAR(10)&amp;CHAR(10)&amp;"Mohon maaf mengganggu waktunya. Kami dari Tim Teknis ARMEDIA Net mendeteksi jaringan internet di rumah Bapak/Ibu sedang OFFLINE."&amp;CHAR(10)&amp;CHAR(10)&amp;"ID Pelanggan: "&amp;D149&amp;CHAR(10)&amp;CHAR(10)&amp;"Mohon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</row>
    <row r="150" ht="15.0" customHeight="1">
      <c r="A150" s="285">
        <v>130.0</v>
      </c>
      <c r="B150" s="286" t="s">
        <v>1233</v>
      </c>
      <c r="C150" s="286" t="s">
        <v>1865</v>
      </c>
      <c r="D150" s="287" t="str">
        <f t="array" ref="D150">IFERROR(INDEX('2_Data_Pelanggan'!$B$5:$B$499,MATCH($B150,'2_Data_Pelanggan'!$O$5:$O$499,0)),"")</f>
        <v>ARM-0133</v>
      </c>
      <c r="E150" s="288" t="str">
        <f t="array" ref="E150">IFERROR(INDEX('2_Data_Pelanggan'!$D$5:$D$499,MATCH($B150,'2_Data_Pelanggan'!$O$5:$O$499,0)),"")</f>
        <v>ANDONO TRI SARI P</v>
      </c>
      <c r="F150" s="226" t="str">
        <f t="array" ref="F150">IFERROR(INDEX('2_Data_Pelanggan'!$H$5:$H$499,MATCH($B150,'2_Data_Pelanggan'!$O$5:$O$499,0)),"")</f>
        <v>GUMELAR</v>
      </c>
      <c r="G150" s="216" t="str">
        <f t="array" ref="G150">IFERROR(INDEX('2_Data_Pelanggan'!$I$5:$I$499,MATCH($B150,'2_Data_Pelanggan'!$O$5:$O$499,0))&amp;"/"&amp;INDEX('2_Data_Pelanggan'!$J$5:$J$499,MATCH($B150,'2_Data_Pelanggan'!$O$5:$O$499,0)),"")</f>
        <v>1/2</v>
      </c>
      <c r="H150" s="287">
        <f t="array" ref="H150">IFERROR(INDEX('2_Data_Pelanggan'!$M$5:$M$499,MATCH($B150,'2_Data_Pelanggan'!$O$5:$O$499,0)),"")</f>
        <v>20</v>
      </c>
      <c r="I150" s="287" t="str">
        <f t="array" ref="I150">IFERROR(INDEX('2_Data_Pelanggan'!$W$5:$W$499,MATCH($B150,'2_Data_Pelanggan'!$O$5:$O$499,0)),"")</f>
        <v>Aktif</v>
      </c>
      <c r="J150" s="107" t="str">
        <f t="array" ref="J150">IFERROR(IF(INDEX('2_Data_Pelanggan'!$F$5:$F$499,MATCH($B150,'2_Data_Pelanggan'!$O$5:$O$499,0))="","",HYPERLINK("https://wa.me/62"&amp;MID(INDEX('2_Data_Pelanggan'!$F$5:$F$499,MATCH($B150,'2_Data_Pelanggan'!$O$5:$O$499,0)),2,20),"Chat WA")),"")</f>
        <v>Chat WA</v>
      </c>
      <c r="K150" s="107" t="str">
        <f t="array" ref="K150">IFERROR(IF(INDEX('2_Data_Pelanggan'!$F$5:$F$499,MATCH($B150,'2_Data_Pelanggan'!$O$5:$O$499,0))="","",HYPERLINK("https://wa.me/62"&amp;MID(INDEX('2_Data_Pelanggan'!$F$5:$F$499,MATCH($B150,'2_Data_Pelanggan'!$O$5:$O$499,0)),2,LEN(INDEX('2_Data_Pelanggan'!$F$5:$F$499,MATCH($B150,'2_Data_Pelanggan'!$O$5:$O$499,0)))-1)&amp;"?text="&amp;SUBSTITUTE(SUBSTITUTE("Selamat "&amp;IF(HOUR(NOW())&lt;11,"Pagi",IF(HOUR(NOW())&lt;15,"Siang",IF(HOUR(NOW())&lt;18,"Sore","Malam")))&amp;" Bapak/Ibu "&amp;E150&amp;","&amp;CHAR(10)&amp;CHAR(10)&amp;"Mohon maaf mengganggu waktunya. Kami dari Tim Teknis ARMEDIA Net mendeteksi jaringan internet di rumah Bapak/Ibu sedang OFFLINE."&amp;CHAR(10)&amp;CHAR(10)&amp;"ID Pelanggan: "&amp;D150&amp;CHAR(10)&amp;CHAR(10)&amp;"Mohon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</row>
    <row r="151" ht="15.0" customHeight="1">
      <c r="A151" s="285">
        <v>131.0</v>
      </c>
      <c r="B151" s="286" t="s">
        <v>1241</v>
      </c>
      <c r="C151" s="286" t="s">
        <v>1865</v>
      </c>
      <c r="D151" s="287" t="str">
        <f t="array" ref="D151">IFERROR(INDEX('2_Data_Pelanggan'!$B$5:$B$499,MATCH($B151,'2_Data_Pelanggan'!$O$5:$O$499,0)),"")</f>
        <v>ARM-0134</v>
      </c>
      <c r="E151" s="288" t="str">
        <f t="array" ref="E151">IFERROR(INDEX('2_Data_Pelanggan'!$D$5:$D$499,MATCH($B151,'2_Data_Pelanggan'!$O$5:$O$499,0)),"")</f>
        <v>UUS AGTRYANA</v>
      </c>
      <c r="F151" s="226" t="str">
        <f t="array" ref="F151">IFERROR(INDEX('2_Data_Pelanggan'!$H$5:$H$499,MATCH($B151,'2_Data_Pelanggan'!$O$5:$O$499,0)),"")</f>
        <v>GUMELAR</v>
      </c>
      <c r="G151" s="216" t="str">
        <f t="array" ref="G151">IFERROR(INDEX('2_Data_Pelanggan'!$I$5:$I$499,MATCH($B151,'2_Data_Pelanggan'!$O$5:$O$499,0))&amp;"/"&amp;INDEX('2_Data_Pelanggan'!$J$5:$J$499,MATCH($B151,'2_Data_Pelanggan'!$O$5:$O$499,0)),"")</f>
        <v>1/2</v>
      </c>
      <c r="H151" s="287">
        <f t="array" ref="H151">IFERROR(INDEX('2_Data_Pelanggan'!$M$5:$M$499,MATCH($B151,'2_Data_Pelanggan'!$O$5:$O$499,0)),"")</f>
        <v>20</v>
      </c>
      <c r="I151" s="287" t="str">
        <f t="array" ref="I151">IFERROR(INDEX('2_Data_Pelanggan'!$W$5:$W$499,MATCH($B151,'2_Data_Pelanggan'!$O$5:$O$499,0)),"")</f>
        <v>Aktif</v>
      </c>
      <c r="J151" s="107" t="str">
        <f t="array" ref="J151">IFERROR(IF(INDEX('2_Data_Pelanggan'!$F$5:$F$499,MATCH($B151,'2_Data_Pelanggan'!$O$5:$O$499,0))="","",HYPERLINK("https://wa.me/62"&amp;MID(INDEX('2_Data_Pelanggan'!$F$5:$F$499,MATCH($B151,'2_Data_Pelanggan'!$O$5:$O$499,0)),2,20),"Chat WA")),"")</f>
        <v>Chat WA</v>
      </c>
      <c r="K151" s="107" t="str">
        <f t="array" ref="K151">IFERROR(IF(INDEX('2_Data_Pelanggan'!$F$5:$F$499,MATCH($B151,'2_Data_Pelanggan'!$O$5:$O$499,0))="","",HYPERLINK("https://wa.me/62"&amp;MID(INDEX('2_Data_Pelanggan'!$F$5:$F$499,MATCH($B151,'2_Data_Pelanggan'!$O$5:$O$499,0)),2,LEN(INDEX('2_Data_Pelanggan'!$F$5:$F$499,MATCH($B151,'2_Data_Pelanggan'!$O$5:$O$499,0)))-1)&amp;"?text="&amp;SUBSTITUTE(SUBSTITUTE("Selamat "&amp;IF(HOUR(NOW())&lt;11,"Pagi",IF(HOUR(NOW())&lt;15,"Siang",IF(HOUR(NOW())&lt;18,"Sore","Malam")))&amp;" Bapak/Ibu "&amp;E151&amp;","&amp;CHAR(10)&amp;CHAR(10)&amp;"Mohon maaf mengganggu waktunya. Kami dari Tim Teknis ARMEDIA Net mendeteksi jaringan internet di rumah Bapak/Ibu sedang OFFLINE."&amp;CHAR(10)&amp;CHAR(10)&amp;"ID Pelanggan: "&amp;D151&amp;CHAR(10)&amp;CHAR(10)&amp;"Mohon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</row>
    <row r="152" ht="15.0" customHeight="1">
      <c r="A152" s="285">
        <v>132.0</v>
      </c>
      <c r="B152" s="286" t="s">
        <v>1249</v>
      </c>
      <c r="C152" s="286" t="s">
        <v>1865</v>
      </c>
      <c r="D152" s="287" t="str">
        <f t="array" ref="D152">IFERROR(INDEX('2_Data_Pelanggan'!$B$5:$B$499,MATCH($B152,'2_Data_Pelanggan'!$O$5:$O$499,0)),"")</f>
        <v>ARM-0135</v>
      </c>
      <c r="E152" s="288" t="str">
        <f t="array" ref="E152">IFERROR(INDEX('2_Data_Pelanggan'!$D$5:$D$499,MATCH($B152,'2_Data_Pelanggan'!$O$5:$O$499,0)),"")</f>
        <v>NASIKIN</v>
      </c>
      <c r="F152" s="226" t="str">
        <f t="array" ref="F152">IFERROR(INDEX('2_Data_Pelanggan'!$H$5:$H$499,MATCH($B152,'2_Data_Pelanggan'!$O$5:$O$499,0)),"")</f>
        <v>GUMELAR</v>
      </c>
      <c r="G152" s="216" t="str">
        <f t="array" ref="G152">IFERROR(INDEX('2_Data_Pelanggan'!$I$5:$I$499,MATCH($B152,'2_Data_Pelanggan'!$O$5:$O$499,0))&amp;"/"&amp;INDEX('2_Data_Pelanggan'!$J$5:$J$499,MATCH($B152,'2_Data_Pelanggan'!$O$5:$O$499,0)),"")</f>
        <v>11/3</v>
      </c>
      <c r="H152" s="287">
        <f t="array" ref="H152">IFERROR(INDEX('2_Data_Pelanggan'!$M$5:$M$499,MATCH($B152,'2_Data_Pelanggan'!$O$5:$O$499,0)),"")</f>
        <v>20</v>
      </c>
      <c r="I152" s="287" t="str">
        <f t="array" ref="I152">IFERROR(INDEX('2_Data_Pelanggan'!$W$5:$W$499,MATCH($B152,'2_Data_Pelanggan'!$O$5:$O$499,0)),"")</f>
        <v>Aktif</v>
      </c>
      <c r="J152" s="107" t="str">
        <f t="array" ref="J152">IFERROR(IF(INDEX('2_Data_Pelanggan'!$F$5:$F$499,MATCH($B152,'2_Data_Pelanggan'!$O$5:$O$499,0))="","",HYPERLINK("https://wa.me/62"&amp;MID(INDEX('2_Data_Pelanggan'!$F$5:$F$499,MATCH($B152,'2_Data_Pelanggan'!$O$5:$O$499,0)),2,20),"Chat WA")),"")</f>
        <v>Chat WA</v>
      </c>
      <c r="K152" s="107" t="str">
        <f t="array" ref="K152">IFERROR(IF(INDEX('2_Data_Pelanggan'!$F$5:$F$499,MATCH($B152,'2_Data_Pelanggan'!$O$5:$O$499,0))="","",HYPERLINK("https://wa.me/62"&amp;MID(INDEX('2_Data_Pelanggan'!$F$5:$F$499,MATCH($B152,'2_Data_Pelanggan'!$O$5:$O$499,0)),2,LEN(INDEX('2_Data_Pelanggan'!$F$5:$F$499,MATCH($B152,'2_Data_Pelanggan'!$O$5:$O$499,0)))-1)&amp;"?text="&amp;SUBSTITUTE(SUBSTITUTE("Selamat "&amp;IF(HOUR(NOW())&lt;11,"Pagi",IF(HOUR(NOW())&lt;15,"Siang",IF(HOUR(NOW())&lt;18,"Sore","Malam")))&amp;" Bapak/Ibu "&amp;E152&amp;","&amp;CHAR(10)&amp;CHAR(10)&amp;"Mohon maaf mengganggu waktunya. Kami dari Tim Teknis ARMEDIA Net mendeteksi jaringan internet di rumah Bapak/Ibu sedang OFFLINE."&amp;CHAR(10)&amp;CHAR(10)&amp;"ID Pelanggan: "&amp;D152&amp;CHAR(10)&amp;CHAR(10)&amp;"Mohon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</row>
    <row r="153" ht="15.0" customHeight="1">
      <c r="A153" s="285">
        <v>133.0</v>
      </c>
      <c r="B153" s="286" t="s">
        <v>1257</v>
      </c>
      <c r="C153" s="286" t="s">
        <v>1865</v>
      </c>
      <c r="D153" s="287" t="str">
        <f t="array" ref="D153">IFERROR(INDEX('2_Data_Pelanggan'!$B$5:$B$499,MATCH($B153,'2_Data_Pelanggan'!$O$5:$O$499,0)),"")</f>
        <v>ARM-0136</v>
      </c>
      <c r="E153" s="288" t="str">
        <f t="array" ref="E153">IFERROR(INDEX('2_Data_Pelanggan'!$D$5:$D$499,MATCH($B153,'2_Data_Pelanggan'!$O$5:$O$499,0)),"")</f>
        <v>MUARIF</v>
      </c>
      <c r="F153" s="226" t="str">
        <f t="array" ref="F153">IFERROR(INDEX('2_Data_Pelanggan'!$H$5:$H$499,MATCH($B153,'2_Data_Pelanggan'!$O$5:$O$499,0)),"")</f>
        <v>GUMELAR</v>
      </c>
      <c r="G153" s="216" t="str">
        <f t="array" ref="G153">IFERROR(INDEX('2_Data_Pelanggan'!$I$5:$I$499,MATCH($B153,'2_Data_Pelanggan'!$O$5:$O$499,0))&amp;"/"&amp;INDEX('2_Data_Pelanggan'!$J$5:$J$499,MATCH($B153,'2_Data_Pelanggan'!$O$5:$O$499,0)),"")</f>
        <v>9/2</v>
      </c>
      <c r="H153" s="287">
        <f t="array" ref="H153">IFERROR(INDEX('2_Data_Pelanggan'!$M$5:$M$499,MATCH($B153,'2_Data_Pelanggan'!$O$5:$O$499,0)),"")</f>
        <v>30</v>
      </c>
      <c r="I153" s="287" t="str">
        <f t="array" ref="I153">IFERROR(INDEX('2_Data_Pelanggan'!$W$5:$W$499,MATCH($B153,'2_Data_Pelanggan'!$O$5:$O$499,0)),"")</f>
        <v>Aktif</v>
      </c>
      <c r="J153" s="107" t="str">
        <f t="array" ref="J153">IFERROR(IF(INDEX('2_Data_Pelanggan'!$F$5:$F$499,MATCH($B153,'2_Data_Pelanggan'!$O$5:$O$499,0))="","",HYPERLINK("https://wa.me/62"&amp;MID(INDEX('2_Data_Pelanggan'!$F$5:$F$499,MATCH($B153,'2_Data_Pelanggan'!$O$5:$O$499,0)),2,20),"Chat WA")),"")</f>
        <v>Chat WA</v>
      </c>
      <c r="K153" s="107" t="str">
        <f t="array" ref="K153">IFERROR(IF(INDEX('2_Data_Pelanggan'!$F$5:$F$499,MATCH($B153,'2_Data_Pelanggan'!$O$5:$O$499,0))="","",HYPERLINK("https://wa.me/62"&amp;MID(INDEX('2_Data_Pelanggan'!$F$5:$F$499,MATCH($B153,'2_Data_Pelanggan'!$O$5:$O$499,0)),2,LEN(INDEX('2_Data_Pelanggan'!$F$5:$F$499,MATCH($B153,'2_Data_Pelanggan'!$O$5:$O$499,0)))-1)&amp;"?text="&amp;SUBSTITUTE(SUBSTITUTE("Selamat "&amp;IF(HOUR(NOW())&lt;11,"Pagi",IF(HOUR(NOW())&lt;15,"Siang",IF(HOUR(NOW())&lt;18,"Sore","Malam")))&amp;" Bapak/Ibu "&amp;E153&amp;","&amp;CHAR(10)&amp;CHAR(10)&amp;"Mohon maaf mengganggu waktunya. Kami dari Tim Teknis ARMEDIA Net mendeteksi jaringan internet di rumah Bapak/Ibu sedang OFFLINE."&amp;CHAR(10)&amp;CHAR(10)&amp;"ID Pelanggan: "&amp;D153&amp;CHAR(10)&amp;CHAR(10)&amp;"Mohon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</row>
    <row r="154" ht="15.0" customHeight="1">
      <c r="A154" s="285">
        <v>134.0</v>
      </c>
      <c r="B154" s="286" t="s">
        <v>1271</v>
      </c>
      <c r="C154" s="286" t="s">
        <v>1865</v>
      </c>
      <c r="D154" s="287" t="str">
        <f t="array" ref="D154">IFERROR(INDEX('2_Data_Pelanggan'!$B$5:$B$499,MATCH($B154,'2_Data_Pelanggan'!$O$5:$O$499,0)),"")</f>
        <v>ARM-0138</v>
      </c>
      <c r="E154" s="288" t="str">
        <f t="array" ref="E154">IFERROR(INDEX('2_Data_Pelanggan'!$D$5:$D$499,MATCH($B154,'2_Data_Pelanggan'!$O$5:$O$499,0)),"")</f>
        <v>WARLAN</v>
      </c>
      <c r="F154" s="226" t="str">
        <f t="array" ref="F154">IFERROR(INDEX('2_Data_Pelanggan'!$H$5:$H$499,MATCH($B154,'2_Data_Pelanggan'!$O$5:$O$499,0)),"")</f>
        <v>GUMELAR</v>
      </c>
      <c r="G154" s="216" t="str">
        <f t="array" ref="G154">IFERROR(INDEX('2_Data_Pelanggan'!$I$5:$I$499,MATCH($B154,'2_Data_Pelanggan'!$O$5:$O$499,0))&amp;"/"&amp;INDEX('2_Data_Pelanggan'!$J$5:$J$499,MATCH($B154,'2_Data_Pelanggan'!$O$5:$O$499,0)),"")</f>
        <v>1/8</v>
      </c>
      <c r="H154" s="287">
        <f t="array" ref="H154">IFERROR(INDEX('2_Data_Pelanggan'!$M$5:$M$499,MATCH($B154,'2_Data_Pelanggan'!$O$5:$O$499,0)),"")</f>
        <v>20</v>
      </c>
      <c r="I154" s="287" t="str">
        <f t="array" ref="I154">IFERROR(INDEX('2_Data_Pelanggan'!$W$5:$W$499,MATCH($B154,'2_Data_Pelanggan'!$O$5:$O$499,0)),"")</f>
        <v>Aktif</v>
      </c>
      <c r="J154" s="107" t="str">
        <f t="array" ref="J154">IFERROR(IF(INDEX('2_Data_Pelanggan'!$F$5:$F$499,MATCH($B154,'2_Data_Pelanggan'!$O$5:$O$499,0))="","",HYPERLINK("https://wa.me/62"&amp;MID(INDEX('2_Data_Pelanggan'!$F$5:$F$499,MATCH($B154,'2_Data_Pelanggan'!$O$5:$O$499,0)),2,20),"Chat WA")),"")</f>
        <v>Chat WA</v>
      </c>
      <c r="K154" s="107" t="str">
        <f t="array" ref="K154">IFERROR(IF(INDEX('2_Data_Pelanggan'!$F$5:$F$499,MATCH($B154,'2_Data_Pelanggan'!$O$5:$O$499,0))="","",HYPERLINK("https://wa.me/62"&amp;MID(INDEX('2_Data_Pelanggan'!$F$5:$F$499,MATCH($B154,'2_Data_Pelanggan'!$O$5:$O$499,0)),2,LEN(INDEX('2_Data_Pelanggan'!$F$5:$F$499,MATCH($B154,'2_Data_Pelanggan'!$O$5:$O$499,0)))-1)&amp;"?text="&amp;SUBSTITUTE(SUBSTITUTE("Selamat "&amp;IF(HOUR(NOW())&lt;11,"Pagi",IF(HOUR(NOW())&lt;15,"Siang",IF(HOUR(NOW())&lt;18,"Sore","Malam")))&amp;" Bapak/Ibu "&amp;E154&amp;","&amp;CHAR(10)&amp;CHAR(10)&amp;"Mohon maaf mengganggu waktunya. Kami dari Tim Teknis ARMEDIA Net mendeteksi jaringan internet di rumah Bapak/Ibu sedang OFFLINE."&amp;CHAR(10)&amp;CHAR(10)&amp;"ID Pelanggan: "&amp;D154&amp;CHAR(10)&amp;CHAR(10)&amp;"Mohon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</row>
    <row r="155" ht="15.0" customHeight="1">
      <c r="A155" s="285">
        <v>135.0</v>
      </c>
      <c r="B155" s="286" t="s">
        <v>1279</v>
      </c>
      <c r="C155" s="286" t="s">
        <v>1865</v>
      </c>
      <c r="D155" s="287" t="str">
        <f t="array" ref="D155">IFERROR(INDEX('2_Data_Pelanggan'!$B$5:$B$499,MATCH($B155,'2_Data_Pelanggan'!$O$5:$O$499,0)),"")</f>
        <v>ARM-0139</v>
      </c>
      <c r="E155" s="288" t="str">
        <f t="array" ref="E155">IFERROR(INDEX('2_Data_Pelanggan'!$D$5:$D$499,MATCH($B155,'2_Data_Pelanggan'!$O$5:$O$499,0)),"")</f>
        <v>EDI PRAMONO</v>
      </c>
      <c r="F155" s="226" t="str">
        <f t="array" ref="F155">IFERROR(INDEX('2_Data_Pelanggan'!$H$5:$H$499,MATCH($B155,'2_Data_Pelanggan'!$O$5:$O$499,0)),"")</f>
        <v>GUMELAR</v>
      </c>
      <c r="G155" s="216" t="str">
        <f t="array" ref="G155">IFERROR(INDEX('2_Data_Pelanggan'!$I$5:$I$499,MATCH($B155,'2_Data_Pelanggan'!$O$5:$O$499,0))&amp;"/"&amp;INDEX('2_Data_Pelanggan'!$J$5:$J$499,MATCH($B155,'2_Data_Pelanggan'!$O$5:$O$499,0)),"")</f>
        <v>1/1</v>
      </c>
      <c r="H155" s="287">
        <f t="array" ref="H155">IFERROR(INDEX('2_Data_Pelanggan'!$M$5:$M$499,MATCH($B155,'2_Data_Pelanggan'!$O$5:$O$499,0)),"")</f>
        <v>30</v>
      </c>
      <c r="I155" s="287" t="str">
        <f t="array" ref="I155">IFERROR(INDEX('2_Data_Pelanggan'!$W$5:$W$499,MATCH($B155,'2_Data_Pelanggan'!$O$5:$O$499,0)),"")</f>
        <v>Aktif</v>
      </c>
      <c r="J155" s="107" t="str">
        <f t="array" ref="J155">IFERROR(IF(INDEX('2_Data_Pelanggan'!$F$5:$F$499,MATCH($B155,'2_Data_Pelanggan'!$O$5:$O$499,0))="","",HYPERLINK("https://wa.me/62"&amp;MID(INDEX('2_Data_Pelanggan'!$F$5:$F$499,MATCH($B155,'2_Data_Pelanggan'!$O$5:$O$499,0)),2,20),"Chat WA")),"")</f>
        <v>Chat WA</v>
      </c>
      <c r="K155" s="107" t="str">
        <f t="array" ref="K155">IFERROR(IF(INDEX('2_Data_Pelanggan'!$F$5:$F$499,MATCH($B155,'2_Data_Pelanggan'!$O$5:$O$499,0))="","",HYPERLINK("https://wa.me/62"&amp;MID(INDEX('2_Data_Pelanggan'!$F$5:$F$499,MATCH($B155,'2_Data_Pelanggan'!$O$5:$O$499,0)),2,LEN(INDEX('2_Data_Pelanggan'!$F$5:$F$499,MATCH($B155,'2_Data_Pelanggan'!$O$5:$O$499,0)))-1)&amp;"?text="&amp;SUBSTITUTE(SUBSTITUTE("Selamat "&amp;IF(HOUR(NOW())&lt;11,"Pagi",IF(HOUR(NOW())&lt;15,"Siang",IF(HOUR(NOW())&lt;18,"Sore","Malam")))&amp;" Bapak/Ibu "&amp;E155&amp;","&amp;CHAR(10)&amp;CHAR(10)&amp;"Mohon maaf mengganggu waktunya. Kami dari Tim Teknis ARMEDIA Net mendeteksi jaringan internet di rumah Bapak/Ibu sedang OFFLINE."&amp;CHAR(10)&amp;CHAR(10)&amp;"ID Pelanggan: "&amp;D155&amp;CHAR(10)&amp;CHAR(10)&amp;"Mohon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</row>
    <row r="156" ht="15.0" customHeight="1">
      <c r="A156" s="285">
        <v>136.0</v>
      </c>
      <c r="B156" s="286" t="s">
        <v>1302</v>
      </c>
      <c r="C156" s="286" t="s">
        <v>1865</v>
      </c>
      <c r="D156" s="287" t="str">
        <f t="array" ref="D156">IFERROR(INDEX('2_Data_Pelanggan'!$B$5:$B$499,MATCH($B156,'2_Data_Pelanggan'!$O$5:$O$499,0)),"")</f>
        <v>ARM-0142</v>
      </c>
      <c r="E156" s="288" t="str">
        <f t="array" ref="E156">IFERROR(INDEX('2_Data_Pelanggan'!$D$5:$D$499,MATCH($B156,'2_Data_Pelanggan'!$O$5:$O$499,0)),"")</f>
        <v>WINA PUTRI MEILIANI</v>
      </c>
      <c r="F156" s="226" t="str">
        <f t="array" ref="F156">IFERROR(INDEX('2_Data_Pelanggan'!$H$5:$H$499,MATCH($B156,'2_Data_Pelanggan'!$O$5:$O$499,0)),"")</f>
        <v>GUMELAR</v>
      </c>
      <c r="G156" s="216" t="str">
        <f t="array" ref="G156">IFERROR(INDEX('2_Data_Pelanggan'!$I$5:$I$499,MATCH($B156,'2_Data_Pelanggan'!$O$5:$O$499,0))&amp;"/"&amp;INDEX('2_Data_Pelanggan'!$J$5:$J$499,MATCH($B156,'2_Data_Pelanggan'!$O$5:$O$499,0)),"")</f>
        <v>11/2</v>
      </c>
      <c r="H156" s="287">
        <f t="array" ref="H156">IFERROR(INDEX('2_Data_Pelanggan'!$M$5:$M$499,MATCH($B156,'2_Data_Pelanggan'!$O$5:$O$499,0)),"")</f>
        <v>20</v>
      </c>
      <c r="I156" s="287" t="str">
        <f t="array" ref="I156">IFERROR(INDEX('2_Data_Pelanggan'!$W$5:$W$499,MATCH($B156,'2_Data_Pelanggan'!$O$5:$O$499,0)),"")</f>
        <v>Aktif</v>
      </c>
      <c r="J156" s="107" t="str">
        <f t="array" ref="J156">IFERROR(IF(INDEX('2_Data_Pelanggan'!$F$5:$F$499,MATCH($B156,'2_Data_Pelanggan'!$O$5:$O$499,0))="","",HYPERLINK("https://wa.me/62"&amp;MID(INDEX('2_Data_Pelanggan'!$F$5:$F$499,MATCH($B156,'2_Data_Pelanggan'!$O$5:$O$499,0)),2,20),"Chat WA")),"")</f>
        <v>Chat WA</v>
      </c>
      <c r="K156" s="107" t="str">
        <f t="array" ref="K156">IFERROR(IF(INDEX('2_Data_Pelanggan'!$F$5:$F$499,MATCH($B156,'2_Data_Pelanggan'!$O$5:$O$499,0))="","",HYPERLINK("https://wa.me/62"&amp;MID(INDEX('2_Data_Pelanggan'!$F$5:$F$499,MATCH($B156,'2_Data_Pelanggan'!$O$5:$O$499,0)),2,LEN(INDEX('2_Data_Pelanggan'!$F$5:$F$499,MATCH($B156,'2_Data_Pelanggan'!$O$5:$O$499,0)))-1)&amp;"?text="&amp;SUBSTITUTE(SUBSTITUTE("Selamat "&amp;IF(HOUR(NOW())&lt;11,"Pagi",IF(HOUR(NOW())&lt;15,"Siang",IF(HOUR(NOW())&lt;18,"Sore","Malam")))&amp;" Bapak/Ibu "&amp;E156&amp;","&amp;CHAR(10)&amp;CHAR(10)&amp;"Mohon maaf mengganggu waktunya. Kami dari Tim Teknis ARMEDIA Net mendeteksi jaringan internet di rumah Bapak/Ibu sedang OFFLINE."&amp;CHAR(10)&amp;CHAR(10)&amp;"ID Pelanggan: "&amp;D156&amp;CHAR(10)&amp;CHAR(10)&amp;"Mohon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</row>
    <row r="157" ht="15.0" customHeight="1">
      <c r="A157" s="285">
        <v>137.0</v>
      </c>
      <c r="B157" s="286" t="s">
        <v>1318</v>
      </c>
      <c r="C157" s="286" t="s">
        <v>1865</v>
      </c>
      <c r="D157" s="287" t="str">
        <f t="array" ref="D157">IFERROR(INDEX('2_Data_Pelanggan'!$B$5:$B$499,MATCH($B157,'2_Data_Pelanggan'!$O$5:$O$499,0)),"")</f>
        <v>ARM-0144</v>
      </c>
      <c r="E157" s="288" t="str">
        <f t="array" ref="E157">IFERROR(INDEX('2_Data_Pelanggan'!$D$5:$D$499,MATCH($B157,'2_Data_Pelanggan'!$O$5:$O$499,0)),"")</f>
        <v>RAWEN</v>
      </c>
      <c r="F157" s="226" t="str">
        <f t="array" ref="F157">IFERROR(INDEX('2_Data_Pelanggan'!$H$5:$H$499,MATCH($B157,'2_Data_Pelanggan'!$O$5:$O$499,0)),"")</f>
        <v>GUMELAR</v>
      </c>
      <c r="G157" s="216" t="str">
        <f t="array" ref="G157">IFERROR(INDEX('2_Data_Pelanggan'!$I$5:$I$499,MATCH($B157,'2_Data_Pelanggan'!$O$5:$O$499,0))&amp;"/"&amp;INDEX('2_Data_Pelanggan'!$J$5:$J$499,MATCH($B157,'2_Data_Pelanggan'!$O$5:$O$499,0)),"")</f>
        <v>1/1</v>
      </c>
      <c r="H157" s="287">
        <f t="array" ref="H157">IFERROR(INDEX('2_Data_Pelanggan'!$M$5:$M$499,MATCH($B157,'2_Data_Pelanggan'!$O$5:$O$499,0)),"")</f>
        <v>20</v>
      </c>
      <c r="I157" s="287" t="str">
        <f t="array" ref="I157">IFERROR(INDEX('2_Data_Pelanggan'!$W$5:$W$499,MATCH($B157,'2_Data_Pelanggan'!$O$5:$O$499,0)),"")</f>
        <v>Aktif</v>
      </c>
      <c r="J157" s="107" t="str">
        <f t="array" ref="J157">IFERROR(IF(INDEX('2_Data_Pelanggan'!$F$5:$F$499,MATCH($B157,'2_Data_Pelanggan'!$O$5:$O$499,0))="","",HYPERLINK("https://wa.me/62"&amp;MID(INDEX('2_Data_Pelanggan'!$F$5:$F$499,MATCH($B157,'2_Data_Pelanggan'!$O$5:$O$499,0)),2,20),"Chat WA")),"")</f>
        <v>Chat WA</v>
      </c>
      <c r="K157" s="107" t="str">
        <f t="array" ref="K157">IFERROR(IF(INDEX('2_Data_Pelanggan'!$F$5:$F$499,MATCH($B157,'2_Data_Pelanggan'!$O$5:$O$499,0))="","",HYPERLINK("https://wa.me/62"&amp;MID(INDEX('2_Data_Pelanggan'!$F$5:$F$499,MATCH($B157,'2_Data_Pelanggan'!$O$5:$O$499,0)),2,LEN(INDEX('2_Data_Pelanggan'!$F$5:$F$499,MATCH($B157,'2_Data_Pelanggan'!$O$5:$O$499,0)))-1)&amp;"?text="&amp;SUBSTITUTE(SUBSTITUTE("Selamat "&amp;IF(HOUR(NOW())&lt;11,"Pagi",IF(HOUR(NOW())&lt;15,"Siang",IF(HOUR(NOW())&lt;18,"Sore","Malam")))&amp;" Bapak/Ibu "&amp;E157&amp;","&amp;CHAR(10)&amp;CHAR(10)&amp;"Mohon maaf mengganggu waktunya. Kami dari Tim Teknis ARMEDIA Net mendeteksi jaringan internet di rumah Bapak/Ibu sedang OFFLINE."&amp;CHAR(10)&amp;CHAR(10)&amp;"ID Pelanggan: "&amp;D157&amp;CHAR(10)&amp;CHAR(10)&amp;"Mohon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</row>
    <row r="158" ht="15.0" customHeight="1">
      <c r="A158" s="285">
        <v>138.0</v>
      </c>
      <c r="B158" s="286" t="s">
        <v>1506</v>
      </c>
      <c r="C158" s="286" t="s">
        <v>1865</v>
      </c>
      <c r="D158" s="287" t="str">
        <f t="array" ref="D158">IFERROR(INDEX('2_Data_Pelanggan'!$B$5:$B$499,MATCH($B158,'2_Data_Pelanggan'!$O$5:$O$499,0)),"")</f>
        <v>ARM-0170</v>
      </c>
      <c r="E158" s="288" t="str">
        <f t="array" ref="E158">IFERROR(INDEX('2_Data_Pelanggan'!$D$5:$D$499,MATCH($B158,'2_Data_Pelanggan'!$O$5:$O$499,0)),"")</f>
        <v>JAMHARI</v>
      </c>
      <c r="F158" s="226" t="str">
        <f t="array" ref="F158">IFERROR(INDEX('2_Data_Pelanggan'!$H$5:$H$499,MATCH($B158,'2_Data_Pelanggan'!$O$5:$O$499,0)),"")</f>
        <v>CILANGKAP</v>
      </c>
      <c r="G158" s="216" t="str">
        <f t="array" ref="G158">IFERROR(INDEX('2_Data_Pelanggan'!$I$5:$I$499,MATCH($B158,'2_Data_Pelanggan'!$O$5:$O$499,0))&amp;"/"&amp;INDEX('2_Data_Pelanggan'!$J$5:$J$499,MATCH($B158,'2_Data_Pelanggan'!$O$5:$O$499,0)),"")</f>
        <v>1/1</v>
      </c>
      <c r="H158" s="287">
        <f t="array" ref="H158">IFERROR(INDEX('2_Data_Pelanggan'!$M$5:$M$499,MATCH($B158,'2_Data_Pelanggan'!$O$5:$O$499,0)),"")</f>
        <v>20</v>
      </c>
      <c r="I158" s="287" t="str">
        <f t="array" ref="I158">IFERROR(INDEX('2_Data_Pelanggan'!$W$5:$W$499,MATCH($B158,'2_Data_Pelanggan'!$O$5:$O$499,0)),"")</f>
        <v>Aktif</v>
      </c>
      <c r="J158" s="107" t="str">
        <f t="array" ref="J158">IFERROR(IF(INDEX('2_Data_Pelanggan'!$F$5:$F$499,MATCH($B158,'2_Data_Pelanggan'!$O$5:$O$499,0))="","",HYPERLINK("https://wa.me/62"&amp;MID(INDEX('2_Data_Pelanggan'!$F$5:$F$499,MATCH($B158,'2_Data_Pelanggan'!$O$5:$O$499,0)),2,20),"Chat WA")),"")</f>
        <v>Chat WA</v>
      </c>
      <c r="K158" s="107" t="str">
        <f t="array" ref="K158">IFERROR(IF(INDEX('2_Data_Pelanggan'!$F$5:$F$499,MATCH($B158,'2_Data_Pelanggan'!$O$5:$O$499,0))="","",HYPERLINK("https://wa.me/62"&amp;MID(INDEX('2_Data_Pelanggan'!$F$5:$F$499,MATCH($B158,'2_Data_Pelanggan'!$O$5:$O$499,0)),2,LEN(INDEX('2_Data_Pelanggan'!$F$5:$F$499,MATCH($B158,'2_Data_Pelanggan'!$O$5:$O$499,0)))-1)&amp;"?text="&amp;SUBSTITUTE(SUBSTITUTE("Selamat "&amp;IF(HOUR(NOW())&lt;11,"Pagi",IF(HOUR(NOW())&lt;15,"Siang",IF(HOUR(NOW())&lt;18,"Sore","Malam")))&amp;" Bapak/Ibu "&amp;E158&amp;","&amp;CHAR(10)&amp;CHAR(10)&amp;"Mohon maaf mengganggu waktunya. Kami dari Tim Teknis ARMEDIA Net mendeteksi jaringan internet di rumah Bapak/Ibu sedang OFFLINE."&amp;CHAR(10)&amp;CHAR(10)&amp;"ID Pelanggan: "&amp;D158&amp;CHAR(10)&amp;CHAR(10)&amp;"Mohon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</row>
    <row r="159" ht="15.0" customHeight="1">
      <c r="A159" s="285">
        <v>139.0</v>
      </c>
      <c r="B159" s="286" t="s">
        <v>1333</v>
      </c>
      <c r="C159" s="286" t="s">
        <v>1865</v>
      </c>
      <c r="D159" s="287" t="str">
        <f t="array" ref="D159">IFERROR(INDEX('2_Data_Pelanggan'!$B$5:$B$499,MATCH($B159,'2_Data_Pelanggan'!$O$5:$O$499,0)),"")</f>
        <v>ARM-0146</v>
      </c>
      <c r="E159" s="288" t="str">
        <f t="array" ref="E159">IFERROR(INDEX('2_Data_Pelanggan'!$D$5:$D$499,MATCH($B159,'2_Data_Pelanggan'!$O$5:$O$499,0)),"")</f>
        <v>RICKY CANDRA PURNAMA</v>
      </c>
      <c r="F159" s="226" t="str">
        <f t="array" ref="F159">IFERROR(INDEX('2_Data_Pelanggan'!$H$5:$H$499,MATCH($B159,'2_Data_Pelanggan'!$O$5:$O$499,0)),"")</f>
        <v>GUMELAR</v>
      </c>
      <c r="G159" s="216" t="str">
        <f t="array" ref="G159">IFERROR(INDEX('2_Data_Pelanggan'!$I$5:$I$499,MATCH($B159,'2_Data_Pelanggan'!$O$5:$O$499,0))&amp;"/"&amp;INDEX('2_Data_Pelanggan'!$J$5:$J$499,MATCH($B159,'2_Data_Pelanggan'!$O$5:$O$499,0)),"")</f>
        <v>1/7</v>
      </c>
      <c r="H159" s="287">
        <f t="array" ref="H159">IFERROR(INDEX('2_Data_Pelanggan'!$M$5:$M$499,MATCH($B159,'2_Data_Pelanggan'!$O$5:$O$499,0)),"")</f>
        <v>20</v>
      </c>
      <c r="I159" s="287" t="str">
        <f t="array" ref="I159">IFERROR(INDEX('2_Data_Pelanggan'!$W$5:$W$499,MATCH($B159,'2_Data_Pelanggan'!$O$5:$O$499,0)),"")</f>
        <v>Aktif</v>
      </c>
      <c r="J159" s="107" t="str">
        <f t="array" ref="J159">IFERROR(IF(INDEX('2_Data_Pelanggan'!$F$5:$F$499,MATCH($B159,'2_Data_Pelanggan'!$O$5:$O$499,0))="","",HYPERLINK("https://wa.me/62"&amp;MID(INDEX('2_Data_Pelanggan'!$F$5:$F$499,MATCH($B159,'2_Data_Pelanggan'!$O$5:$O$499,0)),2,20),"Chat WA")),"")</f>
        <v>Chat WA</v>
      </c>
      <c r="K159" s="107" t="str">
        <f t="array" ref="K159">IFERROR(IF(INDEX('2_Data_Pelanggan'!$F$5:$F$499,MATCH($B159,'2_Data_Pelanggan'!$O$5:$O$499,0))="","",HYPERLINK("https://wa.me/62"&amp;MID(INDEX('2_Data_Pelanggan'!$F$5:$F$499,MATCH($B159,'2_Data_Pelanggan'!$O$5:$O$499,0)),2,LEN(INDEX('2_Data_Pelanggan'!$F$5:$F$499,MATCH($B159,'2_Data_Pelanggan'!$O$5:$O$499,0)))-1)&amp;"?text="&amp;SUBSTITUTE(SUBSTITUTE("Selamat "&amp;IF(HOUR(NOW())&lt;11,"Pagi",IF(HOUR(NOW())&lt;15,"Siang",IF(HOUR(NOW())&lt;18,"Sore","Malam")))&amp;" Bapak/Ibu "&amp;E159&amp;","&amp;CHAR(10)&amp;CHAR(10)&amp;"Mohon maaf mengganggu waktunya. Kami dari Tim Teknis ARMEDIA Net mendeteksi jaringan internet di rumah Bapak/Ibu sedang OFFLINE."&amp;CHAR(10)&amp;CHAR(10)&amp;"ID Pelanggan: "&amp;D159&amp;CHAR(10)&amp;CHAR(10)&amp;"Mohon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</row>
    <row r="160" ht="15.0" customHeight="1">
      <c r="A160" s="285">
        <v>140.0</v>
      </c>
      <c r="B160" s="286" t="s">
        <v>1344</v>
      </c>
      <c r="C160" s="286" t="s">
        <v>1865</v>
      </c>
      <c r="D160" s="287" t="str">
        <f t="array" ref="D160">IFERROR(INDEX('2_Data_Pelanggan'!$B$5:$B$499,MATCH($B160,'2_Data_Pelanggan'!$O$5:$O$499,0)),"")</f>
        <v>ARM-0148</v>
      </c>
      <c r="E160" s="288" t="str">
        <f t="array" ref="E160">IFERROR(INDEX('2_Data_Pelanggan'!$D$5:$D$499,MATCH($B160,'2_Data_Pelanggan'!$O$5:$O$499,0)),"")</f>
        <v>SAINO</v>
      </c>
      <c r="F160" s="226" t="str">
        <f t="array" ref="F160">IFERROR(INDEX('2_Data_Pelanggan'!$H$5:$H$499,MATCH($B160,'2_Data_Pelanggan'!$O$5:$O$499,0)),"")</f>
        <v>GUMELAR</v>
      </c>
      <c r="G160" s="216" t="str">
        <f t="array" ref="G160">IFERROR(INDEX('2_Data_Pelanggan'!$I$5:$I$499,MATCH($B160,'2_Data_Pelanggan'!$O$5:$O$499,0))&amp;"/"&amp;INDEX('2_Data_Pelanggan'!$J$5:$J$499,MATCH($B160,'2_Data_Pelanggan'!$O$5:$O$499,0)),"")</f>
        <v>4/2</v>
      </c>
      <c r="H160" s="287">
        <f t="array" ref="H160">IFERROR(INDEX('2_Data_Pelanggan'!$M$5:$M$499,MATCH($B160,'2_Data_Pelanggan'!$O$5:$O$499,0)),"")</f>
        <v>20</v>
      </c>
      <c r="I160" s="287" t="str">
        <f t="array" ref="I160">IFERROR(INDEX('2_Data_Pelanggan'!$W$5:$W$499,MATCH($B160,'2_Data_Pelanggan'!$O$5:$O$499,0)),"")</f>
        <v>Aktif</v>
      </c>
      <c r="J160" s="107" t="str">
        <f t="array" ref="J160">IFERROR(IF(INDEX('2_Data_Pelanggan'!$F$5:$F$499,MATCH($B160,'2_Data_Pelanggan'!$O$5:$O$499,0))="","",HYPERLINK("https://wa.me/62"&amp;MID(INDEX('2_Data_Pelanggan'!$F$5:$F$499,MATCH($B160,'2_Data_Pelanggan'!$O$5:$O$499,0)),2,20),"Chat WA")),"")</f>
        <v>Chat WA</v>
      </c>
      <c r="K160" s="107" t="str">
        <f t="array" ref="K160">IFERROR(IF(INDEX('2_Data_Pelanggan'!$F$5:$F$499,MATCH($B160,'2_Data_Pelanggan'!$O$5:$O$499,0))="","",HYPERLINK("https://wa.me/62"&amp;MID(INDEX('2_Data_Pelanggan'!$F$5:$F$499,MATCH($B160,'2_Data_Pelanggan'!$O$5:$O$499,0)),2,LEN(INDEX('2_Data_Pelanggan'!$F$5:$F$499,MATCH($B160,'2_Data_Pelanggan'!$O$5:$O$499,0)))-1)&amp;"?text="&amp;SUBSTITUTE(SUBSTITUTE("Selamat "&amp;IF(HOUR(NOW())&lt;11,"Pagi",IF(HOUR(NOW())&lt;15,"Siang",IF(HOUR(NOW())&lt;18,"Sore","Malam")))&amp;" Bapak/Ibu "&amp;E160&amp;","&amp;CHAR(10)&amp;CHAR(10)&amp;"Mohon maaf mengganggu waktunya. Kami dari Tim Teknis ARMEDIA Net mendeteksi jaringan internet di rumah Bapak/Ibu sedang OFFLINE."&amp;CHAR(10)&amp;CHAR(10)&amp;"ID Pelanggan: "&amp;D160&amp;CHAR(10)&amp;CHAR(10)&amp;"Mohon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</row>
    <row r="161" ht="15.0" customHeight="1">
      <c r="A161" s="285">
        <v>141.0</v>
      </c>
      <c r="B161" s="286" t="s">
        <v>1451</v>
      </c>
      <c r="C161" s="286" t="s">
        <v>1865</v>
      </c>
      <c r="D161" s="287" t="str">
        <f t="array" ref="D161">IFERROR(INDEX('2_Data_Pelanggan'!$B$5:$B$499,MATCH($B161,'2_Data_Pelanggan'!$O$5:$O$499,0)),"")</f>
        <v>ARM-0162</v>
      </c>
      <c r="E161" s="288" t="str">
        <f t="array" ref="E161">IFERROR(INDEX('2_Data_Pelanggan'!$D$5:$D$499,MATCH($B161,'2_Data_Pelanggan'!$O$5:$O$499,0)),"")</f>
        <v>SUYATI</v>
      </c>
      <c r="F161" s="226" t="str">
        <f t="array" ref="F161">IFERROR(INDEX('2_Data_Pelanggan'!$H$5:$H$499,MATCH($B161,'2_Data_Pelanggan'!$O$5:$O$499,0)),"")</f>
        <v>GUMELAR</v>
      </c>
      <c r="G161" s="216" t="str">
        <f t="array" ref="G161">IFERROR(INDEX('2_Data_Pelanggan'!$I$5:$I$499,MATCH($B161,'2_Data_Pelanggan'!$O$5:$O$499,0))&amp;"/"&amp;INDEX('2_Data_Pelanggan'!$J$5:$J$499,MATCH($B161,'2_Data_Pelanggan'!$O$5:$O$499,0)),"")</f>
        <v>1/8</v>
      </c>
      <c r="H161" s="287">
        <f t="array" ref="H161">IFERROR(INDEX('2_Data_Pelanggan'!$M$5:$M$499,MATCH($B161,'2_Data_Pelanggan'!$O$5:$O$499,0)),"")</f>
        <v>20</v>
      </c>
      <c r="I161" s="287" t="str">
        <f t="array" ref="I161">IFERROR(INDEX('2_Data_Pelanggan'!$W$5:$W$499,MATCH($B161,'2_Data_Pelanggan'!$O$5:$O$499,0)),"")</f>
        <v>Aktif</v>
      </c>
      <c r="J161" s="107" t="str">
        <f t="array" ref="J161">IFERROR(IF(INDEX('2_Data_Pelanggan'!$F$5:$F$499,MATCH($B161,'2_Data_Pelanggan'!$O$5:$O$499,0))="","",HYPERLINK("https://wa.me/62"&amp;MID(INDEX('2_Data_Pelanggan'!$F$5:$F$499,MATCH($B161,'2_Data_Pelanggan'!$O$5:$O$499,0)),2,20),"Chat WA")),"")</f>
        <v>Chat WA</v>
      </c>
      <c r="K161" s="107" t="str">
        <f t="array" ref="K161">IFERROR(IF(INDEX('2_Data_Pelanggan'!$F$5:$F$499,MATCH($B161,'2_Data_Pelanggan'!$O$5:$O$499,0))="","",HYPERLINK("https://wa.me/62"&amp;MID(INDEX('2_Data_Pelanggan'!$F$5:$F$499,MATCH($B161,'2_Data_Pelanggan'!$O$5:$O$499,0)),2,LEN(INDEX('2_Data_Pelanggan'!$F$5:$F$499,MATCH($B161,'2_Data_Pelanggan'!$O$5:$O$499,0)))-1)&amp;"?text="&amp;SUBSTITUTE(SUBSTITUTE("Selamat "&amp;IF(HOUR(NOW())&lt;11,"Pagi",IF(HOUR(NOW())&lt;15,"Siang",IF(HOUR(NOW())&lt;18,"Sore","Malam")))&amp;" Bapak/Ibu "&amp;E161&amp;","&amp;CHAR(10)&amp;CHAR(10)&amp;"Mohon maaf mengganggu waktunya. Kami dari Tim Teknis ARMEDIA Net mendeteksi jaringan internet di rumah Bapak/Ibu sedang OFFLINE."&amp;CHAR(10)&amp;CHAR(10)&amp;"ID Pelanggan: "&amp;D161&amp;CHAR(10)&amp;CHAR(10)&amp;"Mohon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</row>
    <row r="162" ht="15.0" customHeight="1">
      <c r="A162" s="285">
        <v>142.0</v>
      </c>
      <c r="B162" s="286" t="s">
        <v>1351</v>
      </c>
      <c r="C162" s="286" t="s">
        <v>1865</v>
      </c>
      <c r="D162" s="287" t="str">
        <f t="array" ref="D162">IFERROR(INDEX('2_Data_Pelanggan'!$B$5:$B$499,MATCH($B162,'2_Data_Pelanggan'!$O$5:$O$499,0)),"")</f>
        <v>ARM-0149</v>
      </c>
      <c r="E162" s="288" t="str">
        <f t="array" ref="E162">IFERROR(INDEX('2_Data_Pelanggan'!$D$5:$D$499,MATCH($B162,'2_Data_Pelanggan'!$O$5:$O$499,0)),"")</f>
        <v>HENI KURLIYAH</v>
      </c>
      <c r="F162" s="226" t="str">
        <f t="array" ref="F162">IFERROR(INDEX('2_Data_Pelanggan'!$H$5:$H$499,MATCH($B162,'2_Data_Pelanggan'!$O$5:$O$499,0)),"")</f>
        <v>GUMELAR</v>
      </c>
      <c r="G162" s="216" t="str">
        <f t="array" ref="G162">IFERROR(INDEX('2_Data_Pelanggan'!$I$5:$I$499,MATCH($B162,'2_Data_Pelanggan'!$O$5:$O$499,0))&amp;"/"&amp;INDEX('2_Data_Pelanggan'!$J$5:$J$499,MATCH($B162,'2_Data_Pelanggan'!$O$5:$O$499,0)),"")</f>
        <v>1/8</v>
      </c>
      <c r="H162" s="287">
        <f t="array" ref="H162">IFERROR(INDEX('2_Data_Pelanggan'!$M$5:$M$499,MATCH($B162,'2_Data_Pelanggan'!$O$5:$O$499,0)),"")</f>
        <v>20</v>
      </c>
      <c r="I162" s="287" t="str">
        <f t="array" ref="I162">IFERROR(INDEX('2_Data_Pelanggan'!$W$5:$W$499,MATCH($B162,'2_Data_Pelanggan'!$O$5:$O$499,0)),"")</f>
        <v>Aktif</v>
      </c>
      <c r="J162" s="107" t="str">
        <f t="array" ref="J162">IFERROR(IF(INDEX('2_Data_Pelanggan'!$F$5:$F$499,MATCH($B162,'2_Data_Pelanggan'!$O$5:$O$499,0))="","",HYPERLINK("https://wa.me/62"&amp;MID(INDEX('2_Data_Pelanggan'!$F$5:$F$499,MATCH($B162,'2_Data_Pelanggan'!$O$5:$O$499,0)),2,20),"Chat WA")),"")</f>
        <v>Chat WA</v>
      </c>
      <c r="K162" s="107" t="str">
        <f t="array" ref="K162">IFERROR(IF(INDEX('2_Data_Pelanggan'!$F$5:$F$499,MATCH($B162,'2_Data_Pelanggan'!$O$5:$O$499,0))="","",HYPERLINK("https://wa.me/62"&amp;MID(INDEX('2_Data_Pelanggan'!$F$5:$F$499,MATCH($B162,'2_Data_Pelanggan'!$O$5:$O$499,0)),2,LEN(INDEX('2_Data_Pelanggan'!$F$5:$F$499,MATCH($B162,'2_Data_Pelanggan'!$O$5:$O$499,0)))-1)&amp;"?text="&amp;SUBSTITUTE(SUBSTITUTE("Selamat "&amp;IF(HOUR(NOW())&lt;11,"Pagi",IF(HOUR(NOW())&lt;15,"Siang",IF(HOUR(NOW())&lt;18,"Sore","Malam")))&amp;" Bapak/Ibu "&amp;E162&amp;","&amp;CHAR(10)&amp;CHAR(10)&amp;"Mohon maaf mengganggu waktunya. Kami dari Tim Teknis ARMEDIA Net mendeteksi jaringan internet di rumah Bapak/Ibu sedang OFFLINE."&amp;CHAR(10)&amp;CHAR(10)&amp;"ID Pelanggan: "&amp;D162&amp;CHAR(10)&amp;CHAR(10)&amp;"Mohon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</row>
    <row r="163" ht="15.0" customHeight="1">
      <c r="A163" s="285">
        <v>143.0</v>
      </c>
      <c r="B163" s="286" t="s">
        <v>1359</v>
      </c>
      <c r="C163" s="286" t="s">
        <v>1865</v>
      </c>
      <c r="D163" s="287" t="str">
        <f t="array" ref="D163">IFERROR(INDEX('2_Data_Pelanggan'!$B$5:$B$499,MATCH($B163,'2_Data_Pelanggan'!$O$5:$O$499,0)),"")</f>
        <v>ARM-0150</v>
      </c>
      <c r="E163" s="288" t="str">
        <f t="array" ref="E163">IFERROR(INDEX('2_Data_Pelanggan'!$D$5:$D$499,MATCH($B163,'2_Data_Pelanggan'!$O$5:$O$499,0)),"")</f>
        <v>NETI</v>
      </c>
      <c r="F163" s="226" t="str">
        <f t="array" ref="F163">IFERROR(INDEX('2_Data_Pelanggan'!$H$5:$H$499,MATCH($B163,'2_Data_Pelanggan'!$O$5:$O$499,0)),"")</f>
        <v>GUMELAR</v>
      </c>
      <c r="G163" s="216" t="str">
        <f t="array" ref="G163">IFERROR(INDEX('2_Data_Pelanggan'!$I$5:$I$499,MATCH($B163,'2_Data_Pelanggan'!$O$5:$O$499,0))&amp;"/"&amp;INDEX('2_Data_Pelanggan'!$J$5:$J$499,MATCH($B163,'2_Data_Pelanggan'!$O$5:$O$499,0)),"")</f>
        <v>1/7</v>
      </c>
      <c r="H163" s="287">
        <f t="array" ref="H163">IFERROR(INDEX('2_Data_Pelanggan'!$M$5:$M$499,MATCH($B163,'2_Data_Pelanggan'!$O$5:$O$499,0)),"")</f>
        <v>20</v>
      </c>
      <c r="I163" s="287" t="str">
        <f t="array" ref="I163">IFERROR(INDEX('2_Data_Pelanggan'!$W$5:$W$499,MATCH($B163,'2_Data_Pelanggan'!$O$5:$O$499,0)),"")</f>
        <v>Aktif</v>
      </c>
      <c r="J163" s="107" t="str">
        <f t="array" ref="J163">IFERROR(IF(INDEX('2_Data_Pelanggan'!$F$5:$F$499,MATCH($B163,'2_Data_Pelanggan'!$O$5:$O$499,0))="","",HYPERLINK("https://wa.me/62"&amp;MID(INDEX('2_Data_Pelanggan'!$F$5:$F$499,MATCH($B163,'2_Data_Pelanggan'!$O$5:$O$499,0)),2,20),"Chat WA")),"")</f>
        <v>Chat WA</v>
      </c>
      <c r="K163" s="107" t="str">
        <f t="array" ref="K163">IFERROR(IF(INDEX('2_Data_Pelanggan'!$F$5:$F$499,MATCH($B163,'2_Data_Pelanggan'!$O$5:$O$499,0))="","",HYPERLINK("https://wa.me/62"&amp;MID(INDEX('2_Data_Pelanggan'!$F$5:$F$499,MATCH($B163,'2_Data_Pelanggan'!$O$5:$O$499,0)),2,LEN(INDEX('2_Data_Pelanggan'!$F$5:$F$499,MATCH($B163,'2_Data_Pelanggan'!$O$5:$O$499,0)))-1)&amp;"?text="&amp;SUBSTITUTE(SUBSTITUTE("Selamat "&amp;IF(HOUR(NOW())&lt;11,"Pagi",IF(HOUR(NOW())&lt;15,"Siang",IF(HOUR(NOW())&lt;18,"Sore","Malam")))&amp;" Bapak/Ibu "&amp;E163&amp;","&amp;CHAR(10)&amp;CHAR(10)&amp;"Mohon maaf mengganggu waktunya. Kami dari Tim Teknis ARMEDIA Net mendeteksi jaringan internet di rumah Bapak/Ibu sedang OFFLINE."&amp;CHAR(10)&amp;CHAR(10)&amp;"ID Pelanggan: "&amp;D163&amp;CHAR(10)&amp;CHAR(10)&amp;"Mohon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</row>
    <row r="164" ht="15.0" customHeight="1">
      <c r="A164" s="285">
        <v>144.0</v>
      </c>
      <c r="B164" s="286" t="s">
        <v>1367</v>
      </c>
      <c r="C164" s="286" t="s">
        <v>1865</v>
      </c>
      <c r="D164" s="287" t="str">
        <f t="array" ref="D164">IFERROR(INDEX('2_Data_Pelanggan'!$B$5:$B$499,MATCH($B164,'2_Data_Pelanggan'!$O$5:$O$499,0)),"")</f>
        <v>ARM-0151</v>
      </c>
      <c r="E164" s="288" t="str">
        <f t="array" ref="E164">IFERROR(INDEX('2_Data_Pelanggan'!$D$5:$D$499,MATCH($B164,'2_Data_Pelanggan'!$O$5:$O$499,0)),"")</f>
        <v>HERRY SUPRAPTO </v>
      </c>
      <c r="F164" s="226" t="str">
        <f t="array" ref="F164">IFERROR(INDEX('2_Data_Pelanggan'!$H$5:$H$499,MATCH($B164,'2_Data_Pelanggan'!$O$5:$O$499,0)),"")</f>
        <v>GUMELAR</v>
      </c>
      <c r="G164" s="216" t="str">
        <f t="array" ref="G164">IFERROR(INDEX('2_Data_Pelanggan'!$I$5:$I$499,MATCH($B164,'2_Data_Pelanggan'!$O$5:$O$499,0))&amp;"/"&amp;INDEX('2_Data_Pelanggan'!$J$5:$J$499,MATCH($B164,'2_Data_Pelanggan'!$O$5:$O$499,0)),"")</f>
        <v>1/7</v>
      </c>
      <c r="H164" s="287">
        <f t="array" ref="H164">IFERROR(INDEX('2_Data_Pelanggan'!$M$5:$M$499,MATCH($B164,'2_Data_Pelanggan'!$O$5:$O$499,0)),"")</f>
        <v>20</v>
      </c>
      <c r="I164" s="287" t="str">
        <f t="array" ref="I164">IFERROR(INDEX('2_Data_Pelanggan'!$W$5:$W$499,MATCH($B164,'2_Data_Pelanggan'!$O$5:$O$499,0)),"")</f>
        <v>Aktif</v>
      </c>
      <c r="J164" s="107" t="str">
        <f t="array" ref="J164">IFERROR(IF(INDEX('2_Data_Pelanggan'!$F$5:$F$499,MATCH($B164,'2_Data_Pelanggan'!$O$5:$O$499,0))="","",HYPERLINK("https://wa.me/62"&amp;MID(INDEX('2_Data_Pelanggan'!$F$5:$F$499,MATCH($B164,'2_Data_Pelanggan'!$O$5:$O$499,0)),2,20),"Chat WA")),"")</f>
        <v>Chat WA</v>
      </c>
      <c r="K164" s="107" t="str">
        <f t="array" ref="K164">IFERROR(IF(INDEX('2_Data_Pelanggan'!$F$5:$F$499,MATCH($B164,'2_Data_Pelanggan'!$O$5:$O$499,0))="","",HYPERLINK("https://wa.me/62"&amp;MID(INDEX('2_Data_Pelanggan'!$F$5:$F$499,MATCH($B164,'2_Data_Pelanggan'!$O$5:$O$499,0)),2,LEN(INDEX('2_Data_Pelanggan'!$F$5:$F$499,MATCH($B164,'2_Data_Pelanggan'!$O$5:$O$499,0)))-1)&amp;"?text="&amp;SUBSTITUTE(SUBSTITUTE("Selamat "&amp;IF(HOUR(NOW())&lt;11,"Pagi",IF(HOUR(NOW())&lt;15,"Siang",IF(HOUR(NOW())&lt;18,"Sore","Malam")))&amp;" Bapak/Ibu "&amp;E164&amp;","&amp;CHAR(10)&amp;CHAR(10)&amp;"Mohon maaf mengganggu waktunya. Kami dari Tim Teknis ARMEDIA Net mendeteksi jaringan internet di rumah Bapak/Ibu sedang OFFLINE."&amp;CHAR(10)&amp;CHAR(10)&amp;"ID Pelanggan: "&amp;D164&amp;CHAR(10)&amp;CHAR(10)&amp;"Mohon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</row>
    <row r="165" ht="15.0" customHeight="1">
      <c r="A165" s="285">
        <v>145.0</v>
      </c>
      <c r="B165" s="286" t="s">
        <v>1374</v>
      </c>
      <c r="C165" s="286" t="s">
        <v>1865</v>
      </c>
      <c r="D165" s="287" t="str">
        <f t="array" ref="D165">IFERROR(INDEX('2_Data_Pelanggan'!$B$5:$B$499,MATCH($B165,'2_Data_Pelanggan'!$O$5:$O$499,0)),"")</f>
        <v>ARM-0152</v>
      </c>
      <c r="E165" s="288" t="str">
        <f t="array" ref="E165">IFERROR(INDEX('2_Data_Pelanggan'!$D$5:$D$499,MATCH($B165,'2_Data_Pelanggan'!$O$5:$O$499,0)),"")</f>
        <v>WASINGUN</v>
      </c>
      <c r="F165" s="226" t="str">
        <f t="array" ref="F165">IFERROR(INDEX('2_Data_Pelanggan'!$H$5:$H$499,MATCH($B165,'2_Data_Pelanggan'!$O$5:$O$499,0)),"")</f>
        <v>GUMELAR</v>
      </c>
      <c r="G165" s="216" t="str">
        <f t="array" ref="G165">IFERROR(INDEX('2_Data_Pelanggan'!$I$5:$I$499,MATCH($B165,'2_Data_Pelanggan'!$O$5:$O$499,0))&amp;"/"&amp;INDEX('2_Data_Pelanggan'!$J$5:$J$499,MATCH($B165,'2_Data_Pelanggan'!$O$5:$O$499,0)),"")</f>
        <v>10/1</v>
      </c>
      <c r="H165" s="287">
        <f t="array" ref="H165">IFERROR(INDEX('2_Data_Pelanggan'!$M$5:$M$499,MATCH($B165,'2_Data_Pelanggan'!$O$5:$O$499,0)),"")</f>
        <v>20</v>
      </c>
      <c r="I165" s="287" t="str">
        <f t="array" ref="I165">IFERROR(INDEX('2_Data_Pelanggan'!$W$5:$W$499,MATCH($B165,'2_Data_Pelanggan'!$O$5:$O$499,0)),"")</f>
        <v>Aktif</v>
      </c>
      <c r="J165" s="107" t="str">
        <f t="array" ref="J165">IFERROR(IF(INDEX('2_Data_Pelanggan'!$F$5:$F$499,MATCH($B165,'2_Data_Pelanggan'!$O$5:$O$499,0))="","",HYPERLINK("https://wa.me/62"&amp;MID(INDEX('2_Data_Pelanggan'!$F$5:$F$499,MATCH($B165,'2_Data_Pelanggan'!$O$5:$O$499,0)),2,20),"Chat WA")),"")</f>
        <v>Chat WA</v>
      </c>
      <c r="K165" s="107" t="str">
        <f t="array" ref="K165">IFERROR(IF(INDEX('2_Data_Pelanggan'!$F$5:$F$499,MATCH($B165,'2_Data_Pelanggan'!$O$5:$O$499,0))="","",HYPERLINK("https://wa.me/62"&amp;MID(INDEX('2_Data_Pelanggan'!$F$5:$F$499,MATCH($B165,'2_Data_Pelanggan'!$O$5:$O$499,0)),2,LEN(INDEX('2_Data_Pelanggan'!$F$5:$F$499,MATCH($B165,'2_Data_Pelanggan'!$O$5:$O$499,0)))-1)&amp;"?text="&amp;SUBSTITUTE(SUBSTITUTE("Selamat "&amp;IF(HOUR(NOW())&lt;11,"Pagi",IF(HOUR(NOW())&lt;15,"Siang",IF(HOUR(NOW())&lt;18,"Sore","Malam")))&amp;" Bapak/Ibu "&amp;E165&amp;","&amp;CHAR(10)&amp;CHAR(10)&amp;"Mohon maaf mengganggu waktunya. Kami dari Tim Teknis ARMEDIA Net mendeteksi jaringan internet di rumah Bapak/Ibu sedang OFFLINE."&amp;CHAR(10)&amp;CHAR(10)&amp;"ID Pelanggan: "&amp;D165&amp;CHAR(10)&amp;CHAR(10)&amp;"Mohon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</row>
    <row r="166" ht="15.0" customHeight="1">
      <c r="A166" s="285">
        <v>146.0</v>
      </c>
      <c r="B166" s="286" t="s">
        <v>1382</v>
      </c>
      <c r="C166" s="286" t="s">
        <v>1865</v>
      </c>
      <c r="D166" s="287" t="str">
        <f t="array" ref="D166">IFERROR(INDEX('2_Data_Pelanggan'!$B$5:$B$499,MATCH($B166,'2_Data_Pelanggan'!$O$5:$O$499,0)),"")</f>
        <v>ARM-0153</v>
      </c>
      <c r="E166" s="288" t="str">
        <f t="array" ref="E166">IFERROR(INDEX('2_Data_Pelanggan'!$D$5:$D$499,MATCH($B166,'2_Data_Pelanggan'!$O$5:$O$499,0)),"")</f>
        <v>MARJITO</v>
      </c>
      <c r="F166" s="226" t="str">
        <f t="array" ref="F166">IFERROR(INDEX('2_Data_Pelanggan'!$H$5:$H$499,MATCH($B166,'2_Data_Pelanggan'!$O$5:$O$499,0)),"")</f>
        <v>GUMELAR</v>
      </c>
      <c r="G166" s="216" t="str">
        <f t="array" ref="G166">IFERROR(INDEX('2_Data_Pelanggan'!$I$5:$I$499,MATCH($B166,'2_Data_Pelanggan'!$O$5:$O$499,0))&amp;"/"&amp;INDEX('2_Data_Pelanggan'!$J$5:$J$499,MATCH($B166,'2_Data_Pelanggan'!$O$5:$O$499,0)),"")</f>
        <v>10/1</v>
      </c>
      <c r="H166" s="287">
        <f t="array" ref="H166">IFERROR(INDEX('2_Data_Pelanggan'!$M$5:$M$499,MATCH($B166,'2_Data_Pelanggan'!$O$5:$O$499,0)),"")</f>
        <v>20</v>
      </c>
      <c r="I166" s="287" t="str">
        <f t="array" ref="I166">IFERROR(INDEX('2_Data_Pelanggan'!$W$5:$W$499,MATCH($B166,'2_Data_Pelanggan'!$O$5:$O$499,0)),"")</f>
        <v>Aktif</v>
      </c>
      <c r="J166" s="107" t="str">
        <f t="array" ref="J166">IFERROR(IF(INDEX('2_Data_Pelanggan'!$F$5:$F$499,MATCH($B166,'2_Data_Pelanggan'!$O$5:$O$499,0))="","",HYPERLINK("https://wa.me/62"&amp;MID(INDEX('2_Data_Pelanggan'!$F$5:$F$499,MATCH($B166,'2_Data_Pelanggan'!$O$5:$O$499,0)),2,20),"Chat WA")),"")</f>
        <v>Chat WA</v>
      </c>
      <c r="K166" s="107" t="str">
        <f t="array" ref="K166">IFERROR(IF(INDEX('2_Data_Pelanggan'!$F$5:$F$499,MATCH($B166,'2_Data_Pelanggan'!$O$5:$O$499,0))="","",HYPERLINK("https://wa.me/62"&amp;MID(INDEX('2_Data_Pelanggan'!$F$5:$F$499,MATCH($B166,'2_Data_Pelanggan'!$O$5:$O$499,0)),2,LEN(INDEX('2_Data_Pelanggan'!$F$5:$F$499,MATCH($B166,'2_Data_Pelanggan'!$O$5:$O$499,0)))-1)&amp;"?text="&amp;SUBSTITUTE(SUBSTITUTE("Selamat "&amp;IF(HOUR(NOW())&lt;11,"Pagi",IF(HOUR(NOW())&lt;15,"Siang",IF(HOUR(NOW())&lt;18,"Sore","Malam")))&amp;" Bapak/Ibu "&amp;E166&amp;","&amp;CHAR(10)&amp;CHAR(10)&amp;"Mohon maaf mengganggu waktunya. Kami dari Tim Teknis ARMEDIA Net mendeteksi jaringan internet di rumah Bapak/Ibu sedang OFFLINE."&amp;CHAR(10)&amp;CHAR(10)&amp;"ID Pelanggan: "&amp;D166&amp;CHAR(10)&amp;CHAR(10)&amp;"Mohon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</row>
    <row r="167" ht="15.0" customHeight="1">
      <c r="A167" s="285">
        <v>147.0</v>
      </c>
      <c r="B167" s="286" t="s">
        <v>1390</v>
      </c>
      <c r="C167" s="286" t="s">
        <v>1865</v>
      </c>
      <c r="D167" s="287" t="str">
        <f t="array" ref="D167">IFERROR(INDEX('2_Data_Pelanggan'!$B$5:$B$499,MATCH($B167,'2_Data_Pelanggan'!$O$5:$O$499,0)),"")</f>
        <v>ARM-0154</v>
      </c>
      <c r="E167" s="288" t="str">
        <f t="array" ref="E167">IFERROR(INDEX('2_Data_Pelanggan'!$D$5:$D$499,MATCH($B167,'2_Data_Pelanggan'!$O$5:$O$499,0)),"")</f>
        <v>ANITA YUNITA</v>
      </c>
      <c r="F167" s="226" t="str">
        <f t="array" ref="F167">IFERROR(INDEX('2_Data_Pelanggan'!$H$5:$H$499,MATCH($B167,'2_Data_Pelanggan'!$O$5:$O$499,0)),"")</f>
        <v>GUMELAR</v>
      </c>
      <c r="G167" s="216" t="str">
        <f t="array" ref="G167">IFERROR(INDEX('2_Data_Pelanggan'!$I$5:$I$499,MATCH($B167,'2_Data_Pelanggan'!$O$5:$O$499,0))&amp;"/"&amp;INDEX('2_Data_Pelanggan'!$J$5:$J$499,MATCH($B167,'2_Data_Pelanggan'!$O$5:$O$499,0)),"")</f>
        <v>11/5</v>
      </c>
      <c r="H167" s="287">
        <f t="array" ref="H167">IFERROR(INDEX('2_Data_Pelanggan'!$M$5:$M$499,MATCH($B167,'2_Data_Pelanggan'!$O$5:$O$499,0)),"")</f>
        <v>20</v>
      </c>
      <c r="I167" s="287" t="str">
        <f t="array" ref="I167">IFERROR(INDEX('2_Data_Pelanggan'!$W$5:$W$499,MATCH($B167,'2_Data_Pelanggan'!$O$5:$O$499,0)),"")</f>
        <v>Aktif</v>
      </c>
      <c r="J167" s="107" t="str">
        <f t="array" ref="J167">IFERROR(IF(INDEX('2_Data_Pelanggan'!$F$5:$F$499,MATCH($B167,'2_Data_Pelanggan'!$O$5:$O$499,0))="","",HYPERLINK("https://wa.me/62"&amp;MID(INDEX('2_Data_Pelanggan'!$F$5:$F$499,MATCH($B167,'2_Data_Pelanggan'!$O$5:$O$499,0)),2,20),"Chat WA")),"")</f>
        <v>Chat WA</v>
      </c>
      <c r="K167" s="107" t="str">
        <f t="array" ref="K167">IFERROR(IF(INDEX('2_Data_Pelanggan'!$F$5:$F$499,MATCH($B167,'2_Data_Pelanggan'!$O$5:$O$499,0))="","",HYPERLINK("https://wa.me/62"&amp;MID(INDEX('2_Data_Pelanggan'!$F$5:$F$499,MATCH($B167,'2_Data_Pelanggan'!$O$5:$O$499,0)),2,LEN(INDEX('2_Data_Pelanggan'!$F$5:$F$499,MATCH($B167,'2_Data_Pelanggan'!$O$5:$O$499,0)))-1)&amp;"?text="&amp;SUBSTITUTE(SUBSTITUTE("Selamat "&amp;IF(HOUR(NOW())&lt;11,"Pagi",IF(HOUR(NOW())&lt;15,"Siang",IF(HOUR(NOW())&lt;18,"Sore","Malam")))&amp;" Bapak/Ibu "&amp;E167&amp;","&amp;CHAR(10)&amp;CHAR(10)&amp;"Mohon maaf mengganggu waktunya. Kami dari Tim Teknis ARMEDIA Net mendeteksi jaringan internet di rumah Bapak/Ibu sedang OFFLINE."&amp;CHAR(10)&amp;CHAR(10)&amp;"ID Pelanggan: "&amp;D167&amp;CHAR(10)&amp;CHAR(10)&amp;"Mohon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</row>
    <row r="168" ht="15.0" customHeight="1">
      <c r="A168" s="285">
        <v>148.0</v>
      </c>
      <c r="B168" s="286" t="s">
        <v>1398</v>
      </c>
      <c r="C168" s="286" t="s">
        <v>1865</v>
      </c>
      <c r="D168" s="287" t="str">
        <f t="array" ref="D168">IFERROR(INDEX('2_Data_Pelanggan'!$B$5:$B$499,MATCH($B168,'2_Data_Pelanggan'!$O$5:$O$499,0)),"")</f>
        <v>ARM-0155</v>
      </c>
      <c r="E168" s="288" t="str">
        <f t="array" ref="E168">IFERROR(INDEX('2_Data_Pelanggan'!$D$5:$D$499,MATCH($B168,'2_Data_Pelanggan'!$O$5:$O$499,0)),"")</f>
        <v>TARYONO</v>
      </c>
      <c r="F168" s="226" t="str">
        <f t="array" ref="F168">IFERROR(INDEX('2_Data_Pelanggan'!$H$5:$H$499,MATCH($B168,'2_Data_Pelanggan'!$O$5:$O$499,0)),"")</f>
        <v>GUMELAR</v>
      </c>
      <c r="G168" s="216" t="str">
        <f t="array" ref="G168">IFERROR(INDEX('2_Data_Pelanggan'!$I$5:$I$499,MATCH($B168,'2_Data_Pelanggan'!$O$5:$O$499,0))&amp;"/"&amp;INDEX('2_Data_Pelanggan'!$J$5:$J$499,MATCH($B168,'2_Data_Pelanggan'!$O$5:$O$499,0)),"")</f>
        <v>11/5</v>
      </c>
      <c r="H168" s="287">
        <f t="array" ref="H168">IFERROR(INDEX('2_Data_Pelanggan'!$M$5:$M$499,MATCH($B168,'2_Data_Pelanggan'!$O$5:$O$499,0)),"")</f>
        <v>30</v>
      </c>
      <c r="I168" s="287" t="str">
        <f t="array" ref="I168">IFERROR(INDEX('2_Data_Pelanggan'!$W$5:$W$499,MATCH($B168,'2_Data_Pelanggan'!$O$5:$O$499,0)),"")</f>
        <v>Aktif</v>
      </c>
      <c r="J168" s="107" t="str">
        <f t="array" ref="J168">IFERROR(IF(INDEX('2_Data_Pelanggan'!$F$5:$F$499,MATCH($B168,'2_Data_Pelanggan'!$O$5:$O$499,0))="","",HYPERLINK("https://wa.me/62"&amp;MID(INDEX('2_Data_Pelanggan'!$F$5:$F$499,MATCH($B168,'2_Data_Pelanggan'!$O$5:$O$499,0)),2,20),"Chat WA")),"")</f>
        <v>Chat WA</v>
      </c>
      <c r="K168" s="107" t="str">
        <f t="array" ref="K168">IFERROR(IF(INDEX('2_Data_Pelanggan'!$F$5:$F$499,MATCH($B168,'2_Data_Pelanggan'!$O$5:$O$499,0))="","",HYPERLINK("https://wa.me/62"&amp;MID(INDEX('2_Data_Pelanggan'!$F$5:$F$499,MATCH($B168,'2_Data_Pelanggan'!$O$5:$O$499,0)),2,LEN(INDEX('2_Data_Pelanggan'!$F$5:$F$499,MATCH($B168,'2_Data_Pelanggan'!$O$5:$O$499,0)))-1)&amp;"?text="&amp;SUBSTITUTE(SUBSTITUTE("Selamat "&amp;IF(HOUR(NOW())&lt;11,"Pagi",IF(HOUR(NOW())&lt;15,"Siang",IF(HOUR(NOW())&lt;18,"Sore","Malam")))&amp;" Bapak/Ibu "&amp;E168&amp;","&amp;CHAR(10)&amp;CHAR(10)&amp;"Mohon maaf mengganggu waktunya. Kami dari Tim Teknis ARMEDIA Net mendeteksi jaringan internet di rumah Bapak/Ibu sedang OFFLINE."&amp;CHAR(10)&amp;CHAR(10)&amp;"ID Pelanggan: "&amp;D168&amp;CHAR(10)&amp;CHAR(10)&amp;"Mohon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</row>
    <row r="169" ht="15.0" customHeight="1">
      <c r="A169" s="285">
        <v>149.0</v>
      </c>
      <c r="B169" s="286" t="s">
        <v>1422</v>
      </c>
      <c r="C169" s="286" t="s">
        <v>1865</v>
      </c>
      <c r="D169" s="287" t="str">
        <f t="array" ref="D169">IFERROR(INDEX('2_Data_Pelanggan'!$B$5:$B$499,MATCH($B169,'2_Data_Pelanggan'!$O$5:$O$499,0)),"")</f>
        <v>ARM-0158</v>
      </c>
      <c r="E169" s="288" t="str">
        <f t="array" ref="E169">IFERROR(INDEX('2_Data_Pelanggan'!$D$5:$D$499,MATCH($B169,'2_Data_Pelanggan'!$O$5:$O$499,0)),"")</f>
        <v>SRIYATI NINGRUM</v>
      </c>
      <c r="F169" s="226" t="str">
        <f t="array" ref="F169">IFERROR(INDEX('2_Data_Pelanggan'!$H$5:$H$499,MATCH($B169,'2_Data_Pelanggan'!$O$5:$O$499,0)),"")</f>
        <v>GUMELAR</v>
      </c>
      <c r="G169" s="216" t="str">
        <f t="array" ref="G169">IFERROR(INDEX('2_Data_Pelanggan'!$I$5:$I$499,MATCH($B169,'2_Data_Pelanggan'!$O$5:$O$499,0))&amp;"/"&amp;INDEX('2_Data_Pelanggan'!$J$5:$J$499,MATCH($B169,'2_Data_Pelanggan'!$O$5:$O$499,0)),"")</f>
        <v>2/2</v>
      </c>
      <c r="H169" s="287">
        <f t="array" ref="H169">IFERROR(INDEX('2_Data_Pelanggan'!$M$5:$M$499,MATCH($B169,'2_Data_Pelanggan'!$O$5:$O$499,0)),"")</f>
        <v>20</v>
      </c>
      <c r="I169" s="287" t="str">
        <f t="array" ref="I169">IFERROR(INDEX('2_Data_Pelanggan'!$W$5:$W$499,MATCH($B169,'2_Data_Pelanggan'!$O$5:$O$499,0)),"")</f>
        <v>Aktif</v>
      </c>
      <c r="J169" s="107" t="str">
        <f t="array" ref="J169">IFERROR(IF(INDEX('2_Data_Pelanggan'!$F$5:$F$499,MATCH($B169,'2_Data_Pelanggan'!$O$5:$O$499,0))="","",HYPERLINK("https://wa.me/62"&amp;MID(INDEX('2_Data_Pelanggan'!$F$5:$F$499,MATCH($B169,'2_Data_Pelanggan'!$O$5:$O$499,0)),2,20),"Chat WA")),"")</f>
        <v>Chat WA</v>
      </c>
      <c r="K169" s="107" t="str">
        <f t="array" ref="K169">IFERROR(IF(INDEX('2_Data_Pelanggan'!$F$5:$F$499,MATCH($B169,'2_Data_Pelanggan'!$O$5:$O$499,0))="","",HYPERLINK("https://wa.me/62"&amp;MID(INDEX('2_Data_Pelanggan'!$F$5:$F$499,MATCH($B169,'2_Data_Pelanggan'!$O$5:$O$499,0)),2,LEN(INDEX('2_Data_Pelanggan'!$F$5:$F$499,MATCH($B169,'2_Data_Pelanggan'!$O$5:$O$499,0)))-1)&amp;"?text="&amp;SUBSTITUTE(SUBSTITUTE("Selamat "&amp;IF(HOUR(NOW())&lt;11,"Pagi",IF(HOUR(NOW())&lt;15,"Siang",IF(HOUR(NOW())&lt;18,"Sore","Malam")))&amp;" Bapak/Ibu "&amp;E169&amp;","&amp;CHAR(10)&amp;CHAR(10)&amp;"Mohon maaf mengganggu waktunya. Kami dari Tim Teknis ARMEDIA Net mendeteksi jaringan internet di rumah Bapak/Ibu sedang OFFLINE."&amp;CHAR(10)&amp;CHAR(10)&amp;"ID Pelanggan: "&amp;D169&amp;CHAR(10)&amp;CHAR(10)&amp;"Mohon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</row>
    <row r="170" ht="15.0" customHeight="1">
      <c r="A170" s="285">
        <v>150.0</v>
      </c>
      <c r="B170" s="286" t="s">
        <v>1428</v>
      </c>
      <c r="C170" s="286" t="s">
        <v>1865</v>
      </c>
      <c r="D170" s="287" t="str">
        <f t="array" ref="D170">IFERROR(INDEX('2_Data_Pelanggan'!$B$5:$B$499,MATCH($B170,'2_Data_Pelanggan'!$O$5:$O$499,0)),"")</f>
        <v>ARM-0159</v>
      </c>
      <c r="E170" s="288" t="str">
        <f t="array" ref="E170">IFERROR(INDEX('2_Data_Pelanggan'!$D$5:$D$499,MATCH($B170,'2_Data_Pelanggan'!$O$5:$O$499,0)),"")</f>
        <v>SURIPNO</v>
      </c>
      <c r="F170" s="226" t="str">
        <f t="array" ref="F170">IFERROR(INDEX('2_Data_Pelanggan'!$H$5:$H$499,MATCH($B170,'2_Data_Pelanggan'!$O$5:$O$499,0)),"")</f>
        <v>GUMELAR</v>
      </c>
      <c r="G170" s="216" t="str">
        <f t="array" ref="G170">IFERROR(INDEX('2_Data_Pelanggan'!$I$5:$I$499,MATCH($B170,'2_Data_Pelanggan'!$O$5:$O$499,0))&amp;"/"&amp;INDEX('2_Data_Pelanggan'!$J$5:$J$499,MATCH($B170,'2_Data_Pelanggan'!$O$5:$O$499,0)),"")</f>
        <v>/</v>
      </c>
      <c r="H170" s="287">
        <f t="array" ref="H170">IFERROR(INDEX('2_Data_Pelanggan'!$M$5:$M$499,MATCH($B170,'2_Data_Pelanggan'!$O$5:$O$499,0)),"")</f>
        <v>20</v>
      </c>
      <c r="I170" s="287" t="str">
        <f t="array" ref="I170">IFERROR(INDEX('2_Data_Pelanggan'!$W$5:$W$499,MATCH($B170,'2_Data_Pelanggan'!$O$5:$O$499,0)),"")</f>
        <v>Aktif</v>
      </c>
      <c r="J170" s="107" t="str">
        <f t="array" ref="J170">IFERROR(IF(INDEX('2_Data_Pelanggan'!$F$5:$F$499,MATCH($B170,'2_Data_Pelanggan'!$O$5:$O$499,0))="","",HYPERLINK("https://wa.me/62"&amp;MID(INDEX('2_Data_Pelanggan'!$F$5:$F$499,MATCH($B170,'2_Data_Pelanggan'!$O$5:$O$499,0)),2,20),"Chat WA")),"")</f>
        <v>Chat WA</v>
      </c>
      <c r="K170" s="107" t="str">
        <f t="array" ref="K170">IFERROR(IF(INDEX('2_Data_Pelanggan'!$F$5:$F$499,MATCH($B170,'2_Data_Pelanggan'!$O$5:$O$499,0))="","",HYPERLINK("https://wa.me/62"&amp;MID(INDEX('2_Data_Pelanggan'!$F$5:$F$499,MATCH($B170,'2_Data_Pelanggan'!$O$5:$O$499,0)),2,LEN(INDEX('2_Data_Pelanggan'!$F$5:$F$499,MATCH($B170,'2_Data_Pelanggan'!$O$5:$O$499,0)))-1)&amp;"?text="&amp;SUBSTITUTE(SUBSTITUTE("Selamat "&amp;IF(HOUR(NOW())&lt;11,"Pagi",IF(HOUR(NOW())&lt;15,"Siang",IF(HOUR(NOW())&lt;18,"Sore","Malam")))&amp;" Bapak/Ibu "&amp;E170&amp;","&amp;CHAR(10)&amp;CHAR(10)&amp;"Mohon maaf mengganggu waktunya. Kami dari Tim Teknis ARMEDIA Net mendeteksi jaringan internet di rumah Bapak/Ibu sedang OFFLINE."&amp;CHAR(10)&amp;CHAR(10)&amp;"ID Pelanggan: "&amp;D170&amp;CHAR(10)&amp;CHAR(10)&amp;"Mohon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</row>
    <row r="171" ht="15.0" customHeight="1">
      <c r="A171" s="285">
        <v>151.0</v>
      </c>
      <c r="B171" s="286" t="s">
        <v>1437</v>
      </c>
      <c r="C171" s="286" t="s">
        <v>1865</v>
      </c>
      <c r="D171" s="287" t="str">
        <f t="array" ref="D171">IFERROR(INDEX('2_Data_Pelanggan'!$B$5:$B$499,MATCH($B171,'2_Data_Pelanggan'!$O$5:$O$499,0)),"")</f>
        <v>ARM-0160</v>
      </c>
      <c r="E171" s="288" t="str">
        <f t="array" ref="E171">IFERROR(INDEX('2_Data_Pelanggan'!$D$5:$D$499,MATCH($B171,'2_Data_Pelanggan'!$O$5:$O$499,0)),"")</f>
        <v>SUMINTO</v>
      </c>
      <c r="F171" s="226" t="str">
        <f t="array" ref="F171">IFERROR(INDEX('2_Data_Pelanggan'!$H$5:$H$499,MATCH($B171,'2_Data_Pelanggan'!$O$5:$O$499,0)),"")</f>
        <v>GUMELAR</v>
      </c>
      <c r="G171" s="216" t="str">
        <f t="array" ref="G171">IFERROR(INDEX('2_Data_Pelanggan'!$I$5:$I$499,MATCH($B171,'2_Data_Pelanggan'!$O$5:$O$499,0))&amp;"/"&amp;INDEX('2_Data_Pelanggan'!$J$5:$J$499,MATCH($B171,'2_Data_Pelanggan'!$O$5:$O$499,0)),"")</f>
        <v>1/3</v>
      </c>
      <c r="H171" s="287">
        <f t="array" ref="H171">IFERROR(INDEX('2_Data_Pelanggan'!$M$5:$M$499,MATCH($B171,'2_Data_Pelanggan'!$O$5:$O$499,0)),"")</f>
        <v>30</v>
      </c>
      <c r="I171" s="287" t="str">
        <f t="array" ref="I171">IFERROR(INDEX('2_Data_Pelanggan'!$W$5:$W$499,MATCH($B171,'2_Data_Pelanggan'!$O$5:$O$499,0)),"")</f>
        <v>Aktif</v>
      </c>
      <c r="J171" s="107" t="str">
        <f t="array" ref="J171">IFERROR(IF(INDEX('2_Data_Pelanggan'!$F$5:$F$499,MATCH($B171,'2_Data_Pelanggan'!$O$5:$O$499,0))="","",HYPERLINK("https://wa.me/62"&amp;MID(INDEX('2_Data_Pelanggan'!$F$5:$F$499,MATCH($B171,'2_Data_Pelanggan'!$O$5:$O$499,0)),2,20),"Chat WA")),"")</f>
        <v>Chat WA</v>
      </c>
      <c r="K171" s="107" t="str">
        <f t="array" ref="K171">IFERROR(IF(INDEX('2_Data_Pelanggan'!$F$5:$F$499,MATCH($B171,'2_Data_Pelanggan'!$O$5:$O$499,0))="","",HYPERLINK("https://wa.me/62"&amp;MID(INDEX('2_Data_Pelanggan'!$F$5:$F$499,MATCH($B171,'2_Data_Pelanggan'!$O$5:$O$499,0)),2,LEN(INDEX('2_Data_Pelanggan'!$F$5:$F$499,MATCH($B171,'2_Data_Pelanggan'!$O$5:$O$499,0)))-1)&amp;"?text="&amp;SUBSTITUTE(SUBSTITUTE("Selamat "&amp;IF(HOUR(NOW())&lt;11,"Pagi",IF(HOUR(NOW())&lt;15,"Siang",IF(HOUR(NOW())&lt;18,"Sore","Malam")))&amp;" Bapak/Ibu "&amp;E171&amp;","&amp;CHAR(10)&amp;CHAR(10)&amp;"Mohon maaf mengganggu waktunya. Kami dari Tim Teknis ARMEDIA Net mendeteksi jaringan internet di rumah Bapak/Ibu sedang OFFLINE."&amp;CHAR(10)&amp;CHAR(10)&amp;"ID Pelanggan: "&amp;D171&amp;CHAR(10)&amp;CHAR(10)&amp;"Mohon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</row>
    <row r="172" ht="15.0" customHeight="1">
      <c r="A172" s="285">
        <v>152.0</v>
      </c>
      <c r="B172" s="286" t="s">
        <v>213</v>
      </c>
      <c r="C172" s="286" t="s">
        <v>1865</v>
      </c>
      <c r="D172" s="287" t="str">
        <f t="array" ref="D172">IFERROR(INDEX('2_Data_Pelanggan'!$B$5:$B$499,MATCH($B172,'2_Data_Pelanggan'!$O$5:$O$499,0)),"")</f>
        <v>ARM-0003</v>
      </c>
      <c r="E172" s="288" t="str">
        <f t="array" ref="E172">IFERROR(INDEX('2_Data_Pelanggan'!$D$5:$D$499,MATCH($B172,'2_Data_Pelanggan'!$O$5:$O$499,0)),"")</f>
        <v>JUNO</v>
      </c>
      <c r="F172" s="226" t="str">
        <f t="array" ref="F172">IFERROR(INDEX('2_Data_Pelanggan'!$H$5:$H$499,MATCH($B172,'2_Data_Pelanggan'!$O$5:$O$499,0)),"")</f>
        <v>CIHONJE</v>
      </c>
      <c r="G172" s="216" t="str">
        <f t="array" ref="G172">IFERROR(INDEX('2_Data_Pelanggan'!$I$5:$I$499,MATCH($B172,'2_Data_Pelanggan'!$O$5:$O$499,0))&amp;"/"&amp;INDEX('2_Data_Pelanggan'!$J$5:$J$499,MATCH($B172,'2_Data_Pelanggan'!$O$5:$O$499,0)),"")</f>
        <v>5/2</v>
      </c>
      <c r="H172" s="287">
        <f t="array" ref="H172">IFERROR(INDEX('2_Data_Pelanggan'!$M$5:$M$499,MATCH($B172,'2_Data_Pelanggan'!$O$5:$O$499,0)),"")</f>
        <v>30</v>
      </c>
      <c r="I172" s="287" t="str">
        <f t="array" ref="I172">IFERROR(INDEX('2_Data_Pelanggan'!$W$5:$W$499,MATCH($B172,'2_Data_Pelanggan'!$O$5:$O$499,0)),"")</f>
        <v>Aktif</v>
      </c>
      <c r="J172" s="107" t="str">
        <f t="array" ref="J172">IFERROR(IF(INDEX('2_Data_Pelanggan'!$F$5:$F$499,MATCH($B172,'2_Data_Pelanggan'!$O$5:$O$499,0))="","",HYPERLINK("https://wa.me/62"&amp;MID(INDEX('2_Data_Pelanggan'!$F$5:$F$499,MATCH($B172,'2_Data_Pelanggan'!$O$5:$O$499,0)),2,20),"Chat WA")),"")</f>
        <v>Chat WA</v>
      </c>
      <c r="K172" s="107" t="str">
        <f t="array" ref="K172">IFERROR(IF(INDEX('2_Data_Pelanggan'!$F$5:$F$499,MATCH($B172,'2_Data_Pelanggan'!$O$5:$O$499,0))="","",HYPERLINK("https://wa.me/62"&amp;MID(INDEX('2_Data_Pelanggan'!$F$5:$F$499,MATCH($B172,'2_Data_Pelanggan'!$O$5:$O$499,0)),2,LEN(INDEX('2_Data_Pelanggan'!$F$5:$F$499,MATCH($B172,'2_Data_Pelanggan'!$O$5:$O$499,0)))-1)&amp;"?text="&amp;SUBSTITUTE(SUBSTITUTE("Selamat "&amp;IF(HOUR(NOW())&lt;11,"Pagi",IF(HOUR(NOW())&lt;15,"Siang",IF(HOUR(NOW())&lt;18,"Sore","Malam")))&amp;" Bapak/Ibu "&amp;E172&amp;","&amp;CHAR(10)&amp;CHAR(10)&amp;"Mohon maaf mengganggu waktunya. Kami dari Tim Teknis ARMEDIA Net mendeteksi jaringan internet di rumah Bapak/Ibu sedang OFFLINE."&amp;CHAR(10)&amp;CHAR(10)&amp;"ID Pelanggan: "&amp;D172&amp;CHAR(10)&amp;CHAR(10)&amp;"Mohon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</row>
    <row r="173" ht="15.0" customHeight="1">
      <c r="A173" s="285">
        <v>153.0</v>
      </c>
      <c r="B173" s="286" t="s">
        <v>1494</v>
      </c>
      <c r="C173" s="286" t="s">
        <v>1865</v>
      </c>
      <c r="D173" s="287" t="str">
        <f t="array" ref="D173">IFERROR(INDEX('2_Data_Pelanggan'!$B$5:$B$499,MATCH($B173,'2_Data_Pelanggan'!$O$5:$O$499,0)),"")</f>
        <v>ARM-0168</v>
      </c>
      <c r="E173" s="288" t="str">
        <f t="array" ref="E173">IFERROR(INDEX('2_Data_Pelanggan'!$D$5:$D$499,MATCH($B173,'2_Data_Pelanggan'!$O$5:$O$499,0)),"")</f>
        <v>WASIM</v>
      </c>
      <c r="F173" s="226" t="str">
        <f t="array" ref="F173">IFERROR(INDEX('2_Data_Pelanggan'!$H$5:$H$499,MATCH($B173,'2_Data_Pelanggan'!$O$5:$O$499,0)),"")</f>
        <v>GUMELAR</v>
      </c>
      <c r="G173" s="216" t="str">
        <f t="array" ref="G173">IFERROR(INDEX('2_Data_Pelanggan'!$I$5:$I$499,MATCH($B173,'2_Data_Pelanggan'!$O$5:$O$499,0))&amp;"/"&amp;INDEX('2_Data_Pelanggan'!$J$5:$J$499,MATCH($B173,'2_Data_Pelanggan'!$O$5:$O$499,0)),"")</f>
        <v>9/7</v>
      </c>
      <c r="H173" s="287">
        <f t="array" ref="H173">IFERROR(INDEX('2_Data_Pelanggan'!$M$5:$M$499,MATCH($B173,'2_Data_Pelanggan'!$O$5:$O$499,0)),"")</f>
        <v>20</v>
      </c>
      <c r="I173" s="287" t="str">
        <f t="array" ref="I173">IFERROR(INDEX('2_Data_Pelanggan'!$W$5:$W$499,MATCH($B173,'2_Data_Pelanggan'!$O$5:$O$499,0)),"")</f>
        <v>Aktif</v>
      </c>
      <c r="J173" s="107" t="str">
        <f t="array" ref="J173">IFERROR(IF(INDEX('2_Data_Pelanggan'!$F$5:$F$499,MATCH($B173,'2_Data_Pelanggan'!$O$5:$O$499,0))="","",HYPERLINK("https://wa.me/62"&amp;MID(INDEX('2_Data_Pelanggan'!$F$5:$F$499,MATCH($B173,'2_Data_Pelanggan'!$O$5:$O$499,0)),2,20),"Chat WA")),"")</f>
        <v>Chat WA</v>
      </c>
      <c r="K173" s="107" t="str">
        <f t="array" ref="K173">IFERROR(IF(INDEX('2_Data_Pelanggan'!$F$5:$F$499,MATCH($B173,'2_Data_Pelanggan'!$O$5:$O$499,0))="","",HYPERLINK("https://wa.me/62"&amp;MID(INDEX('2_Data_Pelanggan'!$F$5:$F$499,MATCH($B173,'2_Data_Pelanggan'!$O$5:$O$499,0)),2,LEN(INDEX('2_Data_Pelanggan'!$F$5:$F$499,MATCH($B173,'2_Data_Pelanggan'!$O$5:$O$499,0)))-1)&amp;"?text="&amp;SUBSTITUTE(SUBSTITUTE("Selamat "&amp;IF(HOUR(NOW())&lt;11,"Pagi",IF(HOUR(NOW())&lt;15,"Siang",IF(HOUR(NOW())&lt;18,"Sore","Malam")))&amp;" Bapak/Ibu "&amp;E173&amp;","&amp;CHAR(10)&amp;CHAR(10)&amp;"Mohon maaf mengganggu waktunya. Kami dari Tim Teknis ARMEDIA Net mendeteksi jaringan internet di rumah Bapak/Ibu sedang OFFLINE."&amp;CHAR(10)&amp;CHAR(10)&amp;"ID Pelanggan: "&amp;D173&amp;CHAR(10)&amp;CHAR(10)&amp;"Mohon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>Chat WA</v>
      </c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</row>
    <row r="174" ht="15.0" customHeight="1">
      <c r="A174" s="285">
        <v>154.0</v>
      </c>
      <c r="B174" s="286" t="s">
        <v>430</v>
      </c>
      <c r="C174" s="286" t="s">
        <v>1865</v>
      </c>
      <c r="D174" s="287" t="str">
        <f t="array" ref="D174">IFERROR(INDEX('2_Data_Pelanggan'!$B$5:$B$499,MATCH($B174,'2_Data_Pelanggan'!$O$5:$O$499,0)),"")</f>
        <v>ARM-0032</v>
      </c>
      <c r="E174" s="288" t="str">
        <f t="array" ref="E174">IFERROR(INDEX('2_Data_Pelanggan'!$D$5:$D$499,MATCH($B174,'2_Data_Pelanggan'!$O$5:$O$499,0)),"")</f>
        <v>P YUSUF</v>
      </c>
      <c r="F174" s="226" t="str">
        <f t="array" ref="F174">IFERROR(INDEX('2_Data_Pelanggan'!$H$5:$H$499,MATCH($B174,'2_Data_Pelanggan'!$O$5:$O$499,0)),"")</f>
        <v>GUMELAR</v>
      </c>
      <c r="G174" s="216" t="str">
        <f t="array" ref="G174">IFERROR(INDEX('2_Data_Pelanggan'!$I$5:$I$499,MATCH($B174,'2_Data_Pelanggan'!$O$5:$O$499,0))&amp;"/"&amp;INDEX('2_Data_Pelanggan'!$J$5:$J$499,MATCH($B174,'2_Data_Pelanggan'!$O$5:$O$499,0)),"")</f>
        <v>/</v>
      </c>
      <c r="H174" s="287">
        <f t="array" ref="H174">IFERROR(INDEX('2_Data_Pelanggan'!$M$5:$M$499,MATCH($B174,'2_Data_Pelanggan'!$O$5:$O$499,0)),"")</f>
        <v>30</v>
      </c>
      <c r="I174" s="287" t="str">
        <f t="array" ref="I174">IFERROR(INDEX('2_Data_Pelanggan'!$W$5:$W$499,MATCH($B174,'2_Data_Pelanggan'!$O$5:$O$499,0)),"")</f>
        <v>Aktif</v>
      </c>
      <c r="J174" s="107" t="str">
        <f t="array" ref="J174">IFERROR(IF(INDEX('2_Data_Pelanggan'!$F$5:$F$499,MATCH($B174,'2_Data_Pelanggan'!$O$5:$O$499,0))="","",HYPERLINK("https://wa.me/62"&amp;MID(INDEX('2_Data_Pelanggan'!$F$5:$F$499,MATCH($B174,'2_Data_Pelanggan'!$O$5:$O$499,0)),2,20),"Chat WA")),"")</f>
        <v/>
      </c>
      <c r="K174" s="107" t="str">
        <f t="array" ref="K174">IFERROR(IF(INDEX('2_Data_Pelanggan'!$F$5:$F$499,MATCH($B174,'2_Data_Pelanggan'!$O$5:$O$499,0))="","",HYPERLINK("https://wa.me/62"&amp;MID(INDEX('2_Data_Pelanggan'!$F$5:$F$499,MATCH($B174,'2_Data_Pelanggan'!$O$5:$O$499,0)),2,LEN(INDEX('2_Data_Pelanggan'!$F$5:$F$499,MATCH($B174,'2_Data_Pelanggan'!$O$5:$O$499,0)))-1)&amp;"?text="&amp;SUBSTITUTE(SUBSTITUTE("Selamat "&amp;IF(HOUR(NOW())&lt;11,"Pagi",IF(HOUR(NOW())&lt;15,"Siang",IF(HOUR(NOW())&lt;18,"Sore","Malam")))&amp;" Bapak/Ibu "&amp;E174&amp;","&amp;CHAR(10)&amp;CHAR(10)&amp;"Mohon maaf mengganggu waktunya. Kami dari Tim Teknis ARMEDIA Net mendeteksi jaringan internet di rumah Bapak/Ibu sedang OFFLINE."&amp;CHAR(10)&amp;CHAR(10)&amp;"ID Pelanggan: "&amp;D174&amp;CHAR(10)&amp;CHAR(10)&amp;"Mohon dicek: apakah lampu indikator di alat ONT menyala? Apakah listrik di rumah dalam kondisi normal?"&amp;CHAR(10)&amp;CHAR(10)&amp;"Mohon konfirmasi baliknya, tim kami akan segera tindak lanjuti. Terima kasih.",CHAR(10),"%0A")," ","%20"),"Chat WA")),"")</f>
        <v/>
      </c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</row>
    <row r="175" ht="15.0" customHeight="1">
      <c r="A175" s="289"/>
      <c r="B175" s="89"/>
      <c r="C175" s="89"/>
      <c r="D175" s="287" t="str">
        <f t="array" ref="D175">IFERROR(INDEX('2_Data_Pelanggan'!$B$5:$B$499,MATCH($B175,'2_Data_Pelanggan'!$O$5:$O$499,0)),"")</f>
        <v/>
      </c>
      <c r="E175" s="288" t="str">
        <f t="array" ref="E175">IFERROR(INDEX('2_Data_Pelanggan'!$D$5:$D$499,MATCH($B175,'2_Data_Pelanggan'!$O$5:$O$499,0)),"")</f>
        <v/>
      </c>
      <c r="F175" s="287" t="str">
        <f t="array" ref="F175">IFERROR(INDEX('2_Data_Pelanggan'!$H$5:$H$499,MATCH($B175,'2_Data_Pelanggan'!$O$5:$O$499,0)),"")</f>
        <v/>
      </c>
      <c r="G175" s="287" t="str">
        <f t="array" ref="G175">IFERROR(INDEX('2_Data_Pelanggan'!$I$5:$I$499,MATCH($B175,'2_Data_Pelanggan'!$O$5:$O$499,0))&amp;"/"&amp;INDEX('2_Data_Pelanggan'!$J$5:$J$499,MATCH($B175,'2_Data_Pelanggan'!$O$5:$O$499,0)),"")</f>
        <v/>
      </c>
      <c r="H175" s="287" t="str">
        <f t="array" ref="H175">IFERROR(INDEX('2_Data_Pelanggan'!$M$5:$M$499,MATCH($B175,'2_Data_Pelanggan'!$O$5:$O$499,0)),"")</f>
        <v/>
      </c>
      <c r="I175" s="287" t="str">
        <f t="array" ref="I175">IFERROR(INDEX('2_Data_Pelanggan'!$W$5:$W$499,MATCH($B175,'2_Data_Pelanggan'!$O$5:$O$499,0)),"")</f>
        <v/>
      </c>
      <c r="J175" s="107" t="str">
        <f t="array" ref="J175">IFERROR(IF(INDEX('2_Data_Pelanggan'!$F$5:$F$499,MATCH($B175,'2_Data_Pelanggan'!$O$5:$O$499,0))="","",HYPERLINK("https://wa.me/62"&amp;MID(INDEX('2_Data_Pelanggan'!$F$5:$F$499,MATCH($B175,'2_Data_Pelanggan'!$O$5:$O$499,0)),2,20),"Chat WA")),"")</f>
        <v/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</row>
    <row r="176" ht="15.0" customHeight="1">
      <c r="A176" s="289"/>
      <c r="B176" s="89"/>
      <c r="C176" s="89"/>
      <c r="D176" s="287" t="str">
        <f t="array" ref="D176">IFERROR(INDEX('2_Data_Pelanggan'!$B$5:$B$499,MATCH($B176,'2_Data_Pelanggan'!$O$5:$O$499,0)),"")</f>
        <v/>
      </c>
      <c r="E176" s="288" t="str">
        <f t="array" ref="E176">IFERROR(INDEX('2_Data_Pelanggan'!$D$5:$D$499,MATCH($B176,'2_Data_Pelanggan'!$O$5:$O$499,0)),"")</f>
        <v/>
      </c>
      <c r="F176" s="287" t="str">
        <f t="array" ref="F176">IFERROR(INDEX('2_Data_Pelanggan'!$H$5:$H$499,MATCH($B176,'2_Data_Pelanggan'!$O$5:$O$499,0)),"")</f>
        <v/>
      </c>
      <c r="G176" s="287" t="str">
        <f t="array" ref="G176">IFERROR(INDEX('2_Data_Pelanggan'!$I$5:$I$499,MATCH($B176,'2_Data_Pelanggan'!$O$5:$O$499,0))&amp;"/"&amp;INDEX('2_Data_Pelanggan'!$J$5:$J$499,MATCH($B176,'2_Data_Pelanggan'!$O$5:$O$499,0)),"")</f>
        <v/>
      </c>
      <c r="H176" s="287" t="str">
        <f t="array" ref="H176">IFERROR(INDEX('2_Data_Pelanggan'!$M$5:$M$499,MATCH($B176,'2_Data_Pelanggan'!$O$5:$O$499,0)),"")</f>
        <v/>
      </c>
      <c r="I176" s="287" t="str">
        <f t="array" ref="I176">IFERROR(INDEX('2_Data_Pelanggan'!$W$5:$W$499,MATCH($B176,'2_Data_Pelanggan'!$O$5:$O$499,0)),"")</f>
        <v/>
      </c>
      <c r="J176" s="107" t="str">
        <f t="array" ref="J176">IFERROR(IF(INDEX('2_Data_Pelanggan'!$F$5:$F$499,MATCH($B176,'2_Data_Pelanggan'!$O$5:$O$499,0))="","",HYPERLINK("https://wa.me/62"&amp;MID(INDEX('2_Data_Pelanggan'!$F$5:$F$499,MATCH($B176,'2_Data_Pelanggan'!$O$5:$O$499,0)),2,20),"Chat WA")),"")</f>
        <v/>
      </c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</row>
    <row r="177" ht="15.0" customHeight="1">
      <c r="A177" s="289"/>
      <c r="B177" s="89"/>
      <c r="C177" s="89"/>
      <c r="D177" s="287" t="str">
        <f t="array" ref="D177">IFERROR(INDEX('2_Data_Pelanggan'!$B$5:$B$499,MATCH($B177,'2_Data_Pelanggan'!$O$5:$O$499,0)),"")</f>
        <v/>
      </c>
      <c r="E177" s="288" t="str">
        <f t="array" ref="E177">IFERROR(INDEX('2_Data_Pelanggan'!$D$5:$D$499,MATCH($B177,'2_Data_Pelanggan'!$O$5:$O$499,0)),"")</f>
        <v/>
      </c>
      <c r="F177" s="287" t="str">
        <f t="array" ref="F177">IFERROR(INDEX('2_Data_Pelanggan'!$H$5:$H$499,MATCH($B177,'2_Data_Pelanggan'!$O$5:$O$499,0)),"")</f>
        <v/>
      </c>
      <c r="G177" s="287" t="str">
        <f t="array" ref="G177">IFERROR(INDEX('2_Data_Pelanggan'!$I$5:$I$499,MATCH($B177,'2_Data_Pelanggan'!$O$5:$O$499,0))&amp;"/"&amp;INDEX('2_Data_Pelanggan'!$J$5:$J$499,MATCH($B177,'2_Data_Pelanggan'!$O$5:$O$499,0)),"")</f>
        <v/>
      </c>
      <c r="H177" s="287" t="str">
        <f t="array" ref="H177">IFERROR(INDEX('2_Data_Pelanggan'!$M$5:$M$499,MATCH($B177,'2_Data_Pelanggan'!$O$5:$O$499,0)),"")</f>
        <v/>
      </c>
      <c r="I177" s="287" t="str">
        <f t="array" ref="I177">IFERROR(INDEX('2_Data_Pelanggan'!$W$5:$W$499,MATCH($B177,'2_Data_Pelanggan'!$O$5:$O$499,0)),"")</f>
        <v/>
      </c>
      <c r="J177" s="107" t="str">
        <f t="array" ref="J177">IFERROR(IF(INDEX('2_Data_Pelanggan'!$F$5:$F$499,MATCH($B177,'2_Data_Pelanggan'!$O$5:$O$499,0))="","",HYPERLINK("https://wa.me/62"&amp;MID(INDEX('2_Data_Pelanggan'!$F$5:$F$499,MATCH($B177,'2_Data_Pelanggan'!$O$5:$O$499,0)),2,20),"Chat WA")),"")</f>
        <v/>
      </c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</row>
    <row r="178" ht="15.0" customHeight="1">
      <c r="A178" s="289"/>
      <c r="B178" s="89"/>
      <c r="C178" s="89"/>
      <c r="D178" s="287" t="str">
        <f t="array" ref="D178">IFERROR(INDEX('2_Data_Pelanggan'!$B$5:$B$499,MATCH($B178,'2_Data_Pelanggan'!$O$5:$O$499,0)),"")</f>
        <v/>
      </c>
      <c r="E178" s="288" t="str">
        <f t="array" ref="E178">IFERROR(INDEX('2_Data_Pelanggan'!$D$5:$D$499,MATCH($B178,'2_Data_Pelanggan'!$O$5:$O$499,0)),"")</f>
        <v/>
      </c>
      <c r="F178" s="287" t="str">
        <f t="array" ref="F178">IFERROR(INDEX('2_Data_Pelanggan'!$H$5:$H$499,MATCH($B178,'2_Data_Pelanggan'!$O$5:$O$499,0)),"")</f>
        <v/>
      </c>
      <c r="G178" s="287" t="str">
        <f t="array" ref="G178">IFERROR(INDEX('2_Data_Pelanggan'!$I$5:$I$499,MATCH($B178,'2_Data_Pelanggan'!$O$5:$O$499,0))&amp;"/"&amp;INDEX('2_Data_Pelanggan'!$J$5:$J$499,MATCH($B178,'2_Data_Pelanggan'!$O$5:$O$499,0)),"")</f>
        <v/>
      </c>
      <c r="H178" s="287" t="str">
        <f t="array" ref="H178">IFERROR(INDEX('2_Data_Pelanggan'!$M$5:$M$499,MATCH($B178,'2_Data_Pelanggan'!$O$5:$O$499,0)),"")</f>
        <v/>
      </c>
      <c r="I178" s="287" t="str">
        <f t="array" ref="I178">IFERROR(INDEX('2_Data_Pelanggan'!$W$5:$W$499,MATCH($B178,'2_Data_Pelanggan'!$O$5:$O$499,0)),"")</f>
        <v/>
      </c>
      <c r="J178" s="107" t="str">
        <f t="array" ref="J178">IFERROR(IF(INDEX('2_Data_Pelanggan'!$F$5:$F$499,MATCH($B178,'2_Data_Pelanggan'!$O$5:$O$499,0))="","",HYPERLINK("https://wa.me/62"&amp;MID(INDEX('2_Data_Pelanggan'!$F$5:$F$499,MATCH($B178,'2_Data_Pelanggan'!$O$5:$O$499,0)),2,20),"Chat WA")),"")</f>
        <v/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</row>
    <row r="179" ht="15.0" customHeight="1">
      <c r="A179" s="289"/>
      <c r="B179" s="89"/>
      <c r="C179" s="89"/>
      <c r="D179" s="287" t="str">
        <f t="array" ref="D179">IFERROR(INDEX('2_Data_Pelanggan'!$B$5:$B$499,MATCH($B179,'2_Data_Pelanggan'!$O$5:$O$499,0)),"")</f>
        <v/>
      </c>
      <c r="E179" s="288" t="str">
        <f t="array" ref="E179">IFERROR(INDEX('2_Data_Pelanggan'!$D$5:$D$499,MATCH($B179,'2_Data_Pelanggan'!$O$5:$O$499,0)),"")</f>
        <v/>
      </c>
      <c r="F179" s="287" t="str">
        <f t="array" ref="F179">IFERROR(INDEX('2_Data_Pelanggan'!$H$5:$H$499,MATCH($B179,'2_Data_Pelanggan'!$O$5:$O$499,0)),"")</f>
        <v/>
      </c>
      <c r="G179" s="287" t="str">
        <f t="array" ref="G179">IFERROR(INDEX('2_Data_Pelanggan'!$I$5:$I$499,MATCH($B179,'2_Data_Pelanggan'!$O$5:$O$499,0))&amp;"/"&amp;INDEX('2_Data_Pelanggan'!$J$5:$J$499,MATCH($B179,'2_Data_Pelanggan'!$O$5:$O$499,0)),"")</f>
        <v/>
      </c>
      <c r="H179" s="287" t="str">
        <f t="array" ref="H179">IFERROR(INDEX('2_Data_Pelanggan'!$M$5:$M$499,MATCH($B179,'2_Data_Pelanggan'!$O$5:$O$499,0)),"")</f>
        <v/>
      </c>
      <c r="I179" s="287" t="str">
        <f t="array" ref="I179">IFERROR(INDEX('2_Data_Pelanggan'!$W$5:$W$499,MATCH($B179,'2_Data_Pelanggan'!$O$5:$O$499,0)),"")</f>
        <v/>
      </c>
      <c r="J179" s="107" t="str">
        <f t="array" ref="J179">IFERROR(IF(INDEX('2_Data_Pelanggan'!$F$5:$F$499,MATCH($B179,'2_Data_Pelanggan'!$O$5:$O$499,0))="","",HYPERLINK("https://wa.me/62"&amp;MID(INDEX('2_Data_Pelanggan'!$F$5:$F$499,MATCH($B179,'2_Data_Pelanggan'!$O$5:$O$499,0)),2,20),"Chat WA")),"")</f>
        <v/>
      </c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</row>
    <row r="180" ht="15.0" customHeight="1">
      <c r="A180" s="289"/>
      <c r="B180" s="89"/>
      <c r="C180" s="89"/>
      <c r="D180" s="287" t="str">
        <f t="array" ref="D180">IFERROR(INDEX('2_Data_Pelanggan'!$B$5:$B$499,MATCH($B180,'2_Data_Pelanggan'!$O$5:$O$499,0)),"")</f>
        <v/>
      </c>
      <c r="E180" s="288" t="str">
        <f t="array" ref="E180">IFERROR(INDEX('2_Data_Pelanggan'!$D$5:$D$499,MATCH($B180,'2_Data_Pelanggan'!$O$5:$O$499,0)),"")</f>
        <v/>
      </c>
      <c r="F180" s="287" t="str">
        <f t="array" ref="F180">IFERROR(INDEX('2_Data_Pelanggan'!$H$5:$H$499,MATCH($B180,'2_Data_Pelanggan'!$O$5:$O$499,0)),"")</f>
        <v/>
      </c>
      <c r="G180" s="287" t="str">
        <f t="array" ref="G180">IFERROR(INDEX('2_Data_Pelanggan'!$I$5:$I$499,MATCH($B180,'2_Data_Pelanggan'!$O$5:$O$499,0))&amp;"/"&amp;INDEX('2_Data_Pelanggan'!$J$5:$J$499,MATCH($B180,'2_Data_Pelanggan'!$O$5:$O$499,0)),"")</f>
        <v/>
      </c>
      <c r="H180" s="287" t="str">
        <f t="array" ref="H180">IFERROR(INDEX('2_Data_Pelanggan'!$M$5:$M$499,MATCH($B180,'2_Data_Pelanggan'!$O$5:$O$499,0)),"")</f>
        <v/>
      </c>
      <c r="I180" s="287" t="str">
        <f t="array" ref="I180">IFERROR(INDEX('2_Data_Pelanggan'!$W$5:$W$499,MATCH($B180,'2_Data_Pelanggan'!$O$5:$O$499,0)),"")</f>
        <v/>
      </c>
      <c r="J180" s="107" t="str">
        <f t="array" ref="J180">IFERROR(IF(INDEX('2_Data_Pelanggan'!$F$5:$F$499,MATCH($B180,'2_Data_Pelanggan'!$O$5:$O$499,0))="","",HYPERLINK("https://wa.me/62"&amp;MID(INDEX('2_Data_Pelanggan'!$F$5:$F$499,MATCH($B180,'2_Data_Pelanggan'!$O$5:$O$499,0)),2,20),"Chat WA")),"")</f>
        <v/>
      </c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</row>
    <row r="181" ht="15.0" customHeight="1">
      <c r="A181" s="289"/>
      <c r="B181" s="89"/>
      <c r="C181" s="89"/>
      <c r="D181" s="287" t="str">
        <f t="array" ref="D181">IFERROR(INDEX('2_Data_Pelanggan'!$B$5:$B$499,MATCH($B181,'2_Data_Pelanggan'!$O$5:$O$499,0)),"")</f>
        <v/>
      </c>
      <c r="E181" s="288" t="str">
        <f t="array" ref="E181">IFERROR(INDEX('2_Data_Pelanggan'!$D$5:$D$499,MATCH($B181,'2_Data_Pelanggan'!$O$5:$O$499,0)),"")</f>
        <v/>
      </c>
      <c r="F181" s="287" t="str">
        <f t="array" ref="F181">IFERROR(INDEX('2_Data_Pelanggan'!$H$5:$H$499,MATCH($B181,'2_Data_Pelanggan'!$O$5:$O$499,0)),"")</f>
        <v/>
      </c>
      <c r="G181" s="287" t="str">
        <f t="array" ref="G181">IFERROR(INDEX('2_Data_Pelanggan'!$I$5:$I$499,MATCH($B181,'2_Data_Pelanggan'!$O$5:$O$499,0))&amp;"/"&amp;INDEX('2_Data_Pelanggan'!$J$5:$J$499,MATCH($B181,'2_Data_Pelanggan'!$O$5:$O$499,0)),"")</f>
        <v/>
      </c>
      <c r="H181" s="287" t="str">
        <f t="array" ref="H181">IFERROR(INDEX('2_Data_Pelanggan'!$M$5:$M$499,MATCH($B181,'2_Data_Pelanggan'!$O$5:$O$499,0)),"")</f>
        <v/>
      </c>
      <c r="I181" s="287" t="str">
        <f t="array" ref="I181">IFERROR(INDEX('2_Data_Pelanggan'!$W$5:$W$499,MATCH($B181,'2_Data_Pelanggan'!$O$5:$O$499,0)),"")</f>
        <v/>
      </c>
      <c r="J181" s="107" t="str">
        <f t="array" ref="J181">IFERROR(IF(INDEX('2_Data_Pelanggan'!$F$5:$F$499,MATCH($B181,'2_Data_Pelanggan'!$O$5:$O$499,0))="","",HYPERLINK("https://wa.me/62"&amp;MID(INDEX('2_Data_Pelanggan'!$F$5:$F$499,MATCH($B181,'2_Data_Pelanggan'!$O$5:$O$499,0)),2,20),"Chat WA")),"")</f>
        <v/>
      </c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</row>
    <row r="182" ht="15.0" customHeight="1">
      <c r="A182" s="289"/>
      <c r="B182" s="89"/>
      <c r="C182" s="89"/>
      <c r="D182" s="287" t="str">
        <f t="array" ref="D182">IFERROR(INDEX('2_Data_Pelanggan'!$B$5:$B$499,MATCH($B182,'2_Data_Pelanggan'!$O$5:$O$499,0)),"")</f>
        <v/>
      </c>
      <c r="E182" s="288" t="str">
        <f t="array" ref="E182">IFERROR(INDEX('2_Data_Pelanggan'!$D$5:$D$499,MATCH($B182,'2_Data_Pelanggan'!$O$5:$O$499,0)),"")</f>
        <v/>
      </c>
      <c r="F182" s="287" t="str">
        <f t="array" ref="F182">IFERROR(INDEX('2_Data_Pelanggan'!$H$5:$H$499,MATCH($B182,'2_Data_Pelanggan'!$O$5:$O$499,0)),"")</f>
        <v/>
      </c>
      <c r="G182" s="287" t="str">
        <f t="array" ref="G182">IFERROR(INDEX('2_Data_Pelanggan'!$I$5:$I$499,MATCH($B182,'2_Data_Pelanggan'!$O$5:$O$499,0))&amp;"/"&amp;INDEX('2_Data_Pelanggan'!$J$5:$J$499,MATCH($B182,'2_Data_Pelanggan'!$O$5:$O$499,0)),"")</f>
        <v/>
      </c>
      <c r="H182" s="287" t="str">
        <f t="array" ref="H182">IFERROR(INDEX('2_Data_Pelanggan'!$M$5:$M$499,MATCH($B182,'2_Data_Pelanggan'!$O$5:$O$499,0)),"")</f>
        <v/>
      </c>
      <c r="I182" s="287" t="str">
        <f t="array" ref="I182">IFERROR(INDEX('2_Data_Pelanggan'!$W$5:$W$499,MATCH($B182,'2_Data_Pelanggan'!$O$5:$O$499,0)),"")</f>
        <v/>
      </c>
      <c r="J182" s="107" t="str">
        <f t="array" ref="J182">IFERROR(IF(INDEX('2_Data_Pelanggan'!$F$5:$F$499,MATCH($B182,'2_Data_Pelanggan'!$O$5:$O$499,0))="","",HYPERLINK("https://wa.me/62"&amp;MID(INDEX('2_Data_Pelanggan'!$F$5:$F$499,MATCH($B182,'2_Data_Pelanggan'!$O$5:$O$499,0)),2,20),"Chat WA")),"")</f>
        <v/>
      </c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</row>
    <row r="183" ht="15.0" customHeight="1">
      <c r="A183" s="289"/>
      <c r="B183" s="89"/>
      <c r="C183" s="89"/>
      <c r="D183" s="287" t="str">
        <f t="array" ref="D183">IFERROR(INDEX('2_Data_Pelanggan'!$B$5:$B$499,MATCH($B183,'2_Data_Pelanggan'!$O$5:$O$499,0)),"")</f>
        <v/>
      </c>
      <c r="E183" s="288" t="str">
        <f t="array" ref="E183">IFERROR(INDEX('2_Data_Pelanggan'!$D$5:$D$499,MATCH($B183,'2_Data_Pelanggan'!$O$5:$O$499,0)),"")</f>
        <v/>
      </c>
      <c r="F183" s="287" t="str">
        <f t="array" ref="F183">IFERROR(INDEX('2_Data_Pelanggan'!$H$5:$H$499,MATCH($B183,'2_Data_Pelanggan'!$O$5:$O$499,0)),"")</f>
        <v/>
      </c>
      <c r="G183" s="287" t="str">
        <f t="array" ref="G183">IFERROR(INDEX('2_Data_Pelanggan'!$I$5:$I$499,MATCH($B183,'2_Data_Pelanggan'!$O$5:$O$499,0))&amp;"/"&amp;INDEX('2_Data_Pelanggan'!$J$5:$J$499,MATCH($B183,'2_Data_Pelanggan'!$O$5:$O$499,0)),"")</f>
        <v/>
      </c>
      <c r="H183" s="287" t="str">
        <f t="array" ref="H183">IFERROR(INDEX('2_Data_Pelanggan'!$M$5:$M$499,MATCH($B183,'2_Data_Pelanggan'!$O$5:$O$499,0)),"")</f>
        <v/>
      </c>
      <c r="I183" s="287" t="str">
        <f t="array" ref="I183">IFERROR(INDEX('2_Data_Pelanggan'!$W$5:$W$499,MATCH($B183,'2_Data_Pelanggan'!$O$5:$O$499,0)),"")</f>
        <v/>
      </c>
      <c r="J183" s="107" t="str">
        <f t="array" ref="J183">IFERROR(IF(INDEX('2_Data_Pelanggan'!$F$5:$F$499,MATCH($B183,'2_Data_Pelanggan'!$O$5:$O$499,0))="","",HYPERLINK("https://wa.me/62"&amp;MID(INDEX('2_Data_Pelanggan'!$F$5:$F$499,MATCH($B183,'2_Data_Pelanggan'!$O$5:$O$499,0)),2,20),"Chat WA")),"")</f>
        <v/>
      </c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</row>
    <row r="184" ht="15.0" customHeight="1">
      <c r="A184" s="289"/>
      <c r="B184" s="89"/>
      <c r="C184" s="89"/>
      <c r="D184" s="287" t="str">
        <f t="array" ref="D184">IFERROR(INDEX('2_Data_Pelanggan'!$B$5:$B$499,MATCH($B184,'2_Data_Pelanggan'!$O$5:$O$499,0)),"")</f>
        <v/>
      </c>
      <c r="E184" s="288" t="str">
        <f t="array" ref="E184">IFERROR(INDEX('2_Data_Pelanggan'!$D$5:$D$499,MATCH($B184,'2_Data_Pelanggan'!$O$5:$O$499,0)),"")</f>
        <v/>
      </c>
      <c r="F184" s="287" t="str">
        <f t="array" ref="F184">IFERROR(INDEX('2_Data_Pelanggan'!$H$5:$H$499,MATCH($B184,'2_Data_Pelanggan'!$O$5:$O$499,0)),"")</f>
        <v/>
      </c>
      <c r="G184" s="287" t="str">
        <f t="array" ref="G184">IFERROR(INDEX('2_Data_Pelanggan'!$I$5:$I$499,MATCH($B184,'2_Data_Pelanggan'!$O$5:$O$499,0))&amp;"/"&amp;INDEX('2_Data_Pelanggan'!$J$5:$J$499,MATCH($B184,'2_Data_Pelanggan'!$O$5:$O$499,0)),"")</f>
        <v/>
      </c>
      <c r="H184" s="287" t="str">
        <f t="array" ref="H184">IFERROR(INDEX('2_Data_Pelanggan'!$M$5:$M$499,MATCH($B184,'2_Data_Pelanggan'!$O$5:$O$499,0)),"")</f>
        <v/>
      </c>
      <c r="I184" s="287" t="str">
        <f t="array" ref="I184">IFERROR(INDEX('2_Data_Pelanggan'!$W$5:$W$499,MATCH($B184,'2_Data_Pelanggan'!$O$5:$O$499,0)),"")</f>
        <v/>
      </c>
      <c r="J184" s="107" t="str">
        <f t="array" ref="J184">IFERROR(IF(INDEX('2_Data_Pelanggan'!$F$5:$F$499,MATCH($B184,'2_Data_Pelanggan'!$O$5:$O$499,0))="","",HYPERLINK("https://wa.me/62"&amp;MID(INDEX('2_Data_Pelanggan'!$F$5:$F$499,MATCH($B184,'2_Data_Pelanggan'!$O$5:$O$499,0)),2,20),"Chat WA")),"")</f>
        <v/>
      </c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</row>
    <row r="185" ht="15.0" customHeight="1">
      <c r="A185" s="289"/>
      <c r="B185" s="89"/>
      <c r="C185" s="89"/>
      <c r="D185" s="287" t="str">
        <f t="array" ref="D185">IFERROR(INDEX('2_Data_Pelanggan'!$B$5:$B$499,MATCH($B185,'2_Data_Pelanggan'!$O$5:$O$499,0)),"")</f>
        <v/>
      </c>
      <c r="E185" s="288" t="str">
        <f t="array" ref="E185">IFERROR(INDEX('2_Data_Pelanggan'!$D$5:$D$499,MATCH($B185,'2_Data_Pelanggan'!$O$5:$O$499,0)),"")</f>
        <v/>
      </c>
      <c r="F185" s="287" t="str">
        <f t="array" ref="F185">IFERROR(INDEX('2_Data_Pelanggan'!$H$5:$H$499,MATCH($B185,'2_Data_Pelanggan'!$O$5:$O$499,0)),"")</f>
        <v/>
      </c>
      <c r="G185" s="287" t="str">
        <f t="array" ref="G185">IFERROR(INDEX('2_Data_Pelanggan'!$I$5:$I$499,MATCH($B185,'2_Data_Pelanggan'!$O$5:$O$499,0))&amp;"/"&amp;INDEX('2_Data_Pelanggan'!$J$5:$J$499,MATCH($B185,'2_Data_Pelanggan'!$O$5:$O$499,0)),"")</f>
        <v/>
      </c>
      <c r="H185" s="287" t="str">
        <f t="array" ref="H185">IFERROR(INDEX('2_Data_Pelanggan'!$M$5:$M$499,MATCH($B185,'2_Data_Pelanggan'!$O$5:$O$499,0)),"")</f>
        <v/>
      </c>
      <c r="I185" s="287" t="str">
        <f t="array" ref="I185">IFERROR(INDEX('2_Data_Pelanggan'!$W$5:$W$499,MATCH($B185,'2_Data_Pelanggan'!$O$5:$O$499,0)),"")</f>
        <v/>
      </c>
      <c r="J185" s="107" t="str">
        <f t="array" ref="J185">IFERROR(IF(INDEX('2_Data_Pelanggan'!$F$5:$F$499,MATCH($B185,'2_Data_Pelanggan'!$O$5:$O$499,0))="","",HYPERLINK("https://wa.me/62"&amp;MID(INDEX('2_Data_Pelanggan'!$F$5:$F$499,MATCH($B185,'2_Data_Pelanggan'!$O$5:$O$499,0)),2,20),"Chat WA")),"")</f>
        <v/>
      </c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</row>
    <row r="186" ht="15.0" customHeight="1">
      <c r="A186" s="289"/>
      <c r="B186" s="89"/>
      <c r="C186" s="89"/>
      <c r="D186" s="287" t="str">
        <f t="array" ref="D186">IFERROR(INDEX('2_Data_Pelanggan'!$B$5:$B$499,MATCH($B186,'2_Data_Pelanggan'!$O$5:$O$499,0)),"")</f>
        <v/>
      </c>
      <c r="E186" s="288" t="str">
        <f t="array" ref="E186">IFERROR(INDEX('2_Data_Pelanggan'!$D$5:$D$499,MATCH($B186,'2_Data_Pelanggan'!$O$5:$O$499,0)),"")</f>
        <v/>
      </c>
      <c r="F186" s="287" t="str">
        <f t="array" ref="F186">IFERROR(INDEX('2_Data_Pelanggan'!$H$5:$H$499,MATCH($B186,'2_Data_Pelanggan'!$O$5:$O$499,0)),"")</f>
        <v/>
      </c>
      <c r="G186" s="287" t="str">
        <f t="array" ref="G186">IFERROR(INDEX('2_Data_Pelanggan'!$I$5:$I$499,MATCH($B186,'2_Data_Pelanggan'!$O$5:$O$499,0))&amp;"/"&amp;INDEX('2_Data_Pelanggan'!$J$5:$J$499,MATCH($B186,'2_Data_Pelanggan'!$O$5:$O$499,0)),"")</f>
        <v/>
      </c>
      <c r="H186" s="287" t="str">
        <f t="array" ref="H186">IFERROR(INDEX('2_Data_Pelanggan'!$M$5:$M$499,MATCH($B186,'2_Data_Pelanggan'!$O$5:$O$499,0)),"")</f>
        <v/>
      </c>
      <c r="I186" s="287" t="str">
        <f t="array" ref="I186">IFERROR(INDEX('2_Data_Pelanggan'!$W$5:$W$499,MATCH($B186,'2_Data_Pelanggan'!$O$5:$O$499,0)),"")</f>
        <v/>
      </c>
      <c r="J186" s="107" t="str">
        <f t="array" ref="J186">IFERROR(IF(INDEX('2_Data_Pelanggan'!$F$5:$F$499,MATCH($B186,'2_Data_Pelanggan'!$O$5:$O$499,0))="","",HYPERLINK("https://wa.me/62"&amp;MID(INDEX('2_Data_Pelanggan'!$F$5:$F$499,MATCH($B186,'2_Data_Pelanggan'!$O$5:$O$499,0)),2,20),"Chat WA")),"")</f>
        <v/>
      </c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</row>
    <row r="187" ht="15.0" customHeight="1">
      <c r="A187" s="289"/>
      <c r="B187" s="89"/>
      <c r="C187" s="89"/>
      <c r="D187" s="287" t="str">
        <f t="array" ref="D187">IFERROR(INDEX('2_Data_Pelanggan'!$B$5:$B$499,MATCH($B187,'2_Data_Pelanggan'!$O$5:$O$499,0)),"")</f>
        <v/>
      </c>
      <c r="E187" s="288" t="str">
        <f t="array" ref="E187">IFERROR(INDEX('2_Data_Pelanggan'!$D$5:$D$499,MATCH($B187,'2_Data_Pelanggan'!$O$5:$O$499,0)),"")</f>
        <v/>
      </c>
      <c r="F187" s="287" t="str">
        <f t="array" ref="F187">IFERROR(INDEX('2_Data_Pelanggan'!$H$5:$H$499,MATCH($B187,'2_Data_Pelanggan'!$O$5:$O$499,0)),"")</f>
        <v/>
      </c>
      <c r="G187" s="287" t="str">
        <f t="array" ref="G187">IFERROR(INDEX('2_Data_Pelanggan'!$I$5:$I$499,MATCH($B187,'2_Data_Pelanggan'!$O$5:$O$499,0))&amp;"/"&amp;INDEX('2_Data_Pelanggan'!$J$5:$J$499,MATCH($B187,'2_Data_Pelanggan'!$O$5:$O$499,0)),"")</f>
        <v/>
      </c>
      <c r="H187" s="287" t="str">
        <f t="array" ref="H187">IFERROR(INDEX('2_Data_Pelanggan'!$M$5:$M$499,MATCH($B187,'2_Data_Pelanggan'!$O$5:$O$499,0)),"")</f>
        <v/>
      </c>
      <c r="I187" s="287" t="str">
        <f t="array" ref="I187">IFERROR(INDEX('2_Data_Pelanggan'!$W$5:$W$499,MATCH($B187,'2_Data_Pelanggan'!$O$5:$O$499,0)),"")</f>
        <v/>
      </c>
      <c r="J187" s="107" t="str">
        <f t="array" ref="J187">IFERROR(IF(INDEX('2_Data_Pelanggan'!$F$5:$F$499,MATCH($B187,'2_Data_Pelanggan'!$O$5:$O$499,0))="","",HYPERLINK("https://wa.me/62"&amp;MID(INDEX('2_Data_Pelanggan'!$F$5:$F$499,MATCH($B187,'2_Data_Pelanggan'!$O$5:$O$499,0)),2,20),"Chat WA")),"")</f>
        <v/>
      </c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</row>
    <row r="188" ht="15.0" customHeight="1">
      <c r="A188" s="289"/>
      <c r="B188" s="89"/>
      <c r="C188" s="89"/>
      <c r="D188" s="287" t="str">
        <f t="array" ref="D188">IFERROR(INDEX('2_Data_Pelanggan'!$B$5:$B$499,MATCH($B188,'2_Data_Pelanggan'!$O$5:$O$499,0)),"")</f>
        <v/>
      </c>
      <c r="E188" s="288" t="str">
        <f t="array" ref="E188">IFERROR(INDEX('2_Data_Pelanggan'!$D$5:$D$499,MATCH($B188,'2_Data_Pelanggan'!$O$5:$O$499,0)),"")</f>
        <v/>
      </c>
      <c r="F188" s="287" t="str">
        <f t="array" ref="F188">IFERROR(INDEX('2_Data_Pelanggan'!$H$5:$H$499,MATCH($B188,'2_Data_Pelanggan'!$O$5:$O$499,0)),"")</f>
        <v/>
      </c>
      <c r="G188" s="287" t="str">
        <f t="array" ref="G188">IFERROR(INDEX('2_Data_Pelanggan'!$I$5:$I$499,MATCH($B188,'2_Data_Pelanggan'!$O$5:$O$499,0))&amp;"/"&amp;INDEX('2_Data_Pelanggan'!$J$5:$J$499,MATCH($B188,'2_Data_Pelanggan'!$O$5:$O$499,0)),"")</f>
        <v/>
      </c>
      <c r="H188" s="287" t="str">
        <f t="array" ref="H188">IFERROR(INDEX('2_Data_Pelanggan'!$M$5:$M$499,MATCH($B188,'2_Data_Pelanggan'!$O$5:$O$499,0)),"")</f>
        <v/>
      </c>
      <c r="I188" s="287" t="str">
        <f t="array" ref="I188">IFERROR(INDEX('2_Data_Pelanggan'!$W$5:$W$499,MATCH($B188,'2_Data_Pelanggan'!$O$5:$O$499,0)),"")</f>
        <v/>
      </c>
      <c r="J188" s="107" t="str">
        <f t="array" ref="J188">IFERROR(IF(INDEX('2_Data_Pelanggan'!$F$5:$F$499,MATCH($B188,'2_Data_Pelanggan'!$O$5:$O$499,0))="","",HYPERLINK("https://wa.me/62"&amp;MID(INDEX('2_Data_Pelanggan'!$F$5:$F$499,MATCH($B188,'2_Data_Pelanggan'!$O$5:$O$499,0)),2,20),"Chat WA")),"")</f>
        <v/>
      </c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</row>
    <row r="189" ht="15.0" customHeight="1">
      <c r="A189" s="289"/>
      <c r="B189" s="89"/>
      <c r="C189" s="89"/>
      <c r="D189" s="287" t="str">
        <f t="array" ref="D189">IFERROR(INDEX('2_Data_Pelanggan'!$B$5:$B$499,MATCH($B189,'2_Data_Pelanggan'!$O$5:$O$499,0)),"")</f>
        <v/>
      </c>
      <c r="E189" s="288" t="str">
        <f t="array" ref="E189">IFERROR(INDEX('2_Data_Pelanggan'!$D$5:$D$499,MATCH($B189,'2_Data_Pelanggan'!$O$5:$O$499,0)),"")</f>
        <v/>
      </c>
      <c r="F189" s="287" t="str">
        <f t="array" ref="F189">IFERROR(INDEX('2_Data_Pelanggan'!$H$5:$H$499,MATCH($B189,'2_Data_Pelanggan'!$O$5:$O$499,0)),"")</f>
        <v/>
      </c>
      <c r="G189" s="287" t="str">
        <f t="array" ref="G189">IFERROR(INDEX('2_Data_Pelanggan'!$I$5:$I$499,MATCH($B189,'2_Data_Pelanggan'!$O$5:$O$499,0))&amp;"/"&amp;INDEX('2_Data_Pelanggan'!$J$5:$J$499,MATCH($B189,'2_Data_Pelanggan'!$O$5:$O$499,0)),"")</f>
        <v/>
      </c>
      <c r="H189" s="287" t="str">
        <f t="array" ref="H189">IFERROR(INDEX('2_Data_Pelanggan'!$M$5:$M$499,MATCH($B189,'2_Data_Pelanggan'!$O$5:$O$499,0)),"")</f>
        <v/>
      </c>
      <c r="I189" s="287" t="str">
        <f t="array" ref="I189">IFERROR(INDEX('2_Data_Pelanggan'!$W$5:$W$499,MATCH($B189,'2_Data_Pelanggan'!$O$5:$O$499,0)),"")</f>
        <v/>
      </c>
      <c r="J189" s="107" t="str">
        <f t="array" ref="J189">IFERROR(IF(INDEX('2_Data_Pelanggan'!$F$5:$F$499,MATCH($B189,'2_Data_Pelanggan'!$O$5:$O$499,0))="","",HYPERLINK("https://wa.me/62"&amp;MID(INDEX('2_Data_Pelanggan'!$F$5:$F$499,MATCH($B189,'2_Data_Pelanggan'!$O$5:$O$499,0)),2,20),"Chat WA")),"")</f>
        <v/>
      </c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</row>
    <row r="190" ht="15.0" customHeight="1">
      <c r="A190" s="289"/>
      <c r="B190" s="89"/>
      <c r="C190" s="89"/>
      <c r="D190" s="287" t="str">
        <f t="array" ref="D190">IFERROR(INDEX('2_Data_Pelanggan'!$B$5:$B$499,MATCH($B190,'2_Data_Pelanggan'!$O$5:$O$499,0)),"")</f>
        <v/>
      </c>
      <c r="E190" s="288" t="str">
        <f t="array" ref="E190">IFERROR(INDEX('2_Data_Pelanggan'!$D$5:$D$499,MATCH($B190,'2_Data_Pelanggan'!$O$5:$O$499,0)),"")</f>
        <v/>
      </c>
      <c r="F190" s="287" t="str">
        <f t="array" ref="F190">IFERROR(INDEX('2_Data_Pelanggan'!$H$5:$H$499,MATCH($B190,'2_Data_Pelanggan'!$O$5:$O$499,0)),"")</f>
        <v/>
      </c>
      <c r="G190" s="287" t="str">
        <f t="array" ref="G190">IFERROR(INDEX('2_Data_Pelanggan'!$I$5:$I$499,MATCH($B190,'2_Data_Pelanggan'!$O$5:$O$499,0))&amp;"/"&amp;INDEX('2_Data_Pelanggan'!$J$5:$J$499,MATCH($B190,'2_Data_Pelanggan'!$O$5:$O$499,0)),"")</f>
        <v/>
      </c>
      <c r="H190" s="287" t="str">
        <f t="array" ref="H190">IFERROR(INDEX('2_Data_Pelanggan'!$M$5:$M$499,MATCH($B190,'2_Data_Pelanggan'!$O$5:$O$499,0)),"")</f>
        <v/>
      </c>
      <c r="I190" s="287" t="str">
        <f t="array" ref="I190">IFERROR(INDEX('2_Data_Pelanggan'!$W$5:$W$499,MATCH($B190,'2_Data_Pelanggan'!$O$5:$O$499,0)),"")</f>
        <v/>
      </c>
      <c r="J190" s="107" t="str">
        <f t="array" ref="J190">IFERROR(IF(INDEX('2_Data_Pelanggan'!$F$5:$F$499,MATCH($B190,'2_Data_Pelanggan'!$O$5:$O$499,0))="","",HYPERLINK("https://wa.me/62"&amp;MID(INDEX('2_Data_Pelanggan'!$F$5:$F$499,MATCH($B190,'2_Data_Pelanggan'!$O$5:$O$499,0)),2,20),"Chat WA")),"")</f>
        <v/>
      </c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</row>
    <row r="191" ht="15.0" customHeight="1">
      <c r="A191" s="289"/>
      <c r="B191" s="89"/>
      <c r="C191" s="89"/>
      <c r="D191" s="287" t="str">
        <f t="array" ref="D191">IFERROR(INDEX('2_Data_Pelanggan'!$B$5:$B$499,MATCH($B191,'2_Data_Pelanggan'!$O$5:$O$499,0)),"")</f>
        <v/>
      </c>
      <c r="E191" s="288" t="str">
        <f t="array" ref="E191">IFERROR(INDEX('2_Data_Pelanggan'!$D$5:$D$499,MATCH($B191,'2_Data_Pelanggan'!$O$5:$O$499,0)),"")</f>
        <v/>
      </c>
      <c r="F191" s="287" t="str">
        <f t="array" ref="F191">IFERROR(INDEX('2_Data_Pelanggan'!$H$5:$H$499,MATCH($B191,'2_Data_Pelanggan'!$O$5:$O$499,0)),"")</f>
        <v/>
      </c>
      <c r="G191" s="287" t="str">
        <f t="array" ref="G191">IFERROR(INDEX('2_Data_Pelanggan'!$I$5:$I$499,MATCH($B191,'2_Data_Pelanggan'!$O$5:$O$499,0))&amp;"/"&amp;INDEX('2_Data_Pelanggan'!$J$5:$J$499,MATCH($B191,'2_Data_Pelanggan'!$O$5:$O$499,0)),"")</f>
        <v/>
      </c>
      <c r="H191" s="287" t="str">
        <f t="array" ref="H191">IFERROR(INDEX('2_Data_Pelanggan'!$M$5:$M$499,MATCH($B191,'2_Data_Pelanggan'!$O$5:$O$499,0)),"")</f>
        <v/>
      </c>
      <c r="I191" s="287" t="str">
        <f t="array" ref="I191">IFERROR(INDEX('2_Data_Pelanggan'!$W$5:$W$499,MATCH($B191,'2_Data_Pelanggan'!$O$5:$O$499,0)),"")</f>
        <v/>
      </c>
      <c r="J191" s="107" t="str">
        <f t="array" ref="J191">IFERROR(IF(INDEX('2_Data_Pelanggan'!$F$5:$F$499,MATCH($B191,'2_Data_Pelanggan'!$O$5:$O$499,0))="","",HYPERLINK("https://wa.me/62"&amp;MID(INDEX('2_Data_Pelanggan'!$F$5:$F$499,MATCH($B191,'2_Data_Pelanggan'!$O$5:$O$499,0)),2,20),"Chat WA")),"")</f>
        <v/>
      </c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</row>
    <row r="192" ht="15.0" customHeight="1">
      <c r="A192" s="289"/>
      <c r="B192" s="89"/>
      <c r="C192" s="89"/>
      <c r="D192" s="287" t="str">
        <f t="array" ref="D192">IFERROR(INDEX('2_Data_Pelanggan'!$B$5:$B$499,MATCH($B192,'2_Data_Pelanggan'!$O$5:$O$499,0)),"")</f>
        <v/>
      </c>
      <c r="E192" s="288" t="str">
        <f t="array" ref="E192">IFERROR(INDEX('2_Data_Pelanggan'!$D$5:$D$499,MATCH($B192,'2_Data_Pelanggan'!$O$5:$O$499,0)),"")</f>
        <v/>
      </c>
      <c r="F192" s="287" t="str">
        <f t="array" ref="F192">IFERROR(INDEX('2_Data_Pelanggan'!$H$5:$H$499,MATCH($B192,'2_Data_Pelanggan'!$O$5:$O$499,0)),"")</f>
        <v/>
      </c>
      <c r="G192" s="287" t="str">
        <f t="array" ref="G192">IFERROR(INDEX('2_Data_Pelanggan'!$I$5:$I$499,MATCH($B192,'2_Data_Pelanggan'!$O$5:$O$499,0))&amp;"/"&amp;INDEX('2_Data_Pelanggan'!$J$5:$J$499,MATCH($B192,'2_Data_Pelanggan'!$O$5:$O$499,0)),"")</f>
        <v/>
      </c>
      <c r="H192" s="287" t="str">
        <f t="array" ref="H192">IFERROR(INDEX('2_Data_Pelanggan'!$M$5:$M$499,MATCH($B192,'2_Data_Pelanggan'!$O$5:$O$499,0)),"")</f>
        <v/>
      </c>
      <c r="I192" s="287" t="str">
        <f t="array" ref="I192">IFERROR(INDEX('2_Data_Pelanggan'!$W$5:$W$499,MATCH($B192,'2_Data_Pelanggan'!$O$5:$O$499,0)),"")</f>
        <v/>
      </c>
      <c r="J192" s="107" t="str">
        <f t="array" ref="J192">IFERROR(IF(INDEX('2_Data_Pelanggan'!$F$5:$F$499,MATCH($B192,'2_Data_Pelanggan'!$O$5:$O$499,0))="","",HYPERLINK("https://wa.me/62"&amp;MID(INDEX('2_Data_Pelanggan'!$F$5:$F$499,MATCH($B192,'2_Data_Pelanggan'!$O$5:$O$499,0)),2,20),"Chat WA")),"")</f>
        <v/>
      </c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</row>
    <row r="193" ht="15.0" customHeight="1">
      <c r="A193" s="289"/>
      <c r="B193" s="89"/>
      <c r="C193" s="89"/>
      <c r="D193" s="287" t="str">
        <f t="array" ref="D193">IFERROR(INDEX('2_Data_Pelanggan'!$B$5:$B$499,MATCH($B193,'2_Data_Pelanggan'!$O$5:$O$499,0)),"")</f>
        <v/>
      </c>
      <c r="E193" s="288" t="str">
        <f t="array" ref="E193">IFERROR(INDEX('2_Data_Pelanggan'!$D$5:$D$499,MATCH($B193,'2_Data_Pelanggan'!$O$5:$O$499,0)),"")</f>
        <v/>
      </c>
      <c r="F193" s="287" t="str">
        <f t="array" ref="F193">IFERROR(INDEX('2_Data_Pelanggan'!$H$5:$H$499,MATCH($B193,'2_Data_Pelanggan'!$O$5:$O$499,0)),"")</f>
        <v/>
      </c>
      <c r="G193" s="287" t="str">
        <f t="array" ref="G193">IFERROR(INDEX('2_Data_Pelanggan'!$I$5:$I$499,MATCH($B193,'2_Data_Pelanggan'!$O$5:$O$499,0))&amp;"/"&amp;INDEX('2_Data_Pelanggan'!$J$5:$J$499,MATCH($B193,'2_Data_Pelanggan'!$O$5:$O$499,0)),"")</f>
        <v/>
      </c>
      <c r="H193" s="287" t="str">
        <f t="array" ref="H193">IFERROR(INDEX('2_Data_Pelanggan'!$M$5:$M$499,MATCH($B193,'2_Data_Pelanggan'!$O$5:$O$499,0)),"")</f>
        <v/>
      </c>
      <c r="I193" s="287" t="str">
        <f t="array" ref="I193">IFERROR(INDEX('2_Data_Pelanggan'!$W$5:$W$499,MATCH($B193,'2_Data_Pelanggan'!$O$5:$O$499,0)),"")</f>
        <v/>
      </c>
      <c r="J193" s="107" t="str">
        <f t="array" ref="J193">IFERROR(IF(INDEX('2_Data_Pelanggan'!$F$5:$F$499,MATCH($B193,'2_Data_Pelanggan'!$O$5:$O$499,0))="","",HYPERLINK("https://wa.me/62"&amp;MID(INDEX('2_Data_Pelanggan'!$F$5:$F$499,MATCH($B193,'2_Data_Pelanggan'!$O$5:$O$499,0)),2,20),"Chat WA")),"")</f>
        <v/>
      </c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</row>
    <row r="194" ht="15.0" customHeight="1">
      <c r="A194" s="289"/>
      <c r="B194" s="89"/>
      <c r="C194" s="89"/>
      <c r="D194" s="287" t="str">
        <f t="array" ref="D194">IFERROR(INDEX('2_Data_Pelanggan'!$B$5:$B$499,MATCH($B194,'2_Data_Pelanggan'!$O$5:$O$499,0)),"")</f>
        <v/>
      </c>
      <c r="E194" s="288" t="str">
        <f t="array" ref="E194">IFERROR(INDEX('2_Data_Pelanggan'!$D$5:$D$499,MATCH($B194,'2_Data_Pelanggan'!$O$5:$O$499,0)),"")</f>
        <v/>
      </c>
      <c r="F194" s="287" t="str">
        <f t="array" ref="F194">IFERROR(INDEX('2_Data_Pelanggan'!$H$5:$H$499,MATCH($B194,'2_Data_Pelanggan'!$O$5:$O$499,0)),"")</f>
        <v/>
      </c>
      <c r="G194" s="287" t="str">
        <f t="array" ref="G194">IFERROR(INDEX('2_Data_Pelanggan'!$I$5:$I$499,MATCH($B194,'2_Data_Pelanggan'!$O$5:$O$499,0))&amp;"/"&amp;INDEX('2_Data_Pelanggan'!$J$5:$J$499,MATCH($B194,'2_Data_Pelanggan'!$O$5:$O$499,0)),"")</f>
        <v/>
      </c>
      <c r="H194" s="287" t="str">
        <f t="array" ref="H194">IFERROR(INDEX('2_Data_Pelanggan'!$M$5:$M$499,MATCH($B194,'2_Data_Pelanggan'!$O$5:$O$499,0)),"")</f>
        <v/>
      </c>
      <c r="I194" s="287" t="str">
        <f t="array" ref="I194">IFERROR(INDEX('2_Data_Pelanggan'!$W$5:$W$499,MATCH($B194,'2_Data_Pelanggan'!$O$5:$O$499,0)),"")</f>
        <v/>
      </c>
      <c r="J194" s="107" t="str">
        <f t="array" ref="J194">IFERROR(IF(INDEX('2_Data_Pelanggan'!$F$5:$F$499,MATCH($B194,'2_Data_Pelanggan'!$O$5:$O$499,0))="","",HYPERLINK("https://wa.me/62"&amp;MID(INDEX('2_Data_Pelanggan'!$F$5:$F$499,MATCH($B194,'2_Data_Pelanggan'!$O$5:$O$499,0)),2,20),"Chat WA")),"")</f>
        <v/>
      </c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</row>
    <row r="195" ht="15.0" customHeight="1">
      <c r="A195" s="289"/>
      <c r="B195" s="89"/>
      <c r="C195" s="89"/>
      <c r="D195" s="287" t="str">
        <f t="array" ref="D195">IFERROR(INDEX('2_Data_Pelanggan'!$B$5:$B$499,MATCH($B195,'2_Data_Pelanggan'!$O$5:$O$499,0)),"")</f>
        <v/>
      </c>
      <c r="E195" s="288" t="str">
        <f t="array" ref="E195">IFERROR(INDEX('2_Data_Pelanggan'!$D$5:$D$499,MATCH($B195,'2_Data_Pelanggan'!$O$5:$O$499,0)),"")</f>
        <v/>
      </c>
      <c r="F195" s="287" t="str">
        <f t="array" ref="F195">IFERROR(INDEX('2_Data_Pelanggan'!$H$5:$H$499,MATCH($B195,'2_Data_Pelanggan'!$O$5:$O$499,0)),"")</f>
        <v/>
      </c>
      <c r="G195" s="287" t="str">
        <f t="array" ref="G195">IFERROR(INDEX('2_Data_Pelanggan'!$I$5:$I$499,MATCH($B195,'2_Data_Pelanggan'!$O$5:$O$499,0))&amp;"/"&amp;INDEX('2_Data_Pelanggan'!$J$5:$J$499,MATCH($B195,'2_Data_Pelanggan'!$O$5:$O$499,0)),"")</f>
        <v/>
      </c>
      <c r="H195" s="287" t="str">
        <f t="array" ref="H195">IFERROR(INDEX('2_Data_Pelanggan'!$M$5:$M$499,MATCH($B195,'2_Data_Pelanggan'!$O$5:$O$499,0)),"")</f>
        <v/>
      </c>
      <c r="I195" s="287" t="str">
        <f t="array" ref="I195">IFERROR(INDEX('2_Data_Pelanggan'!$W$5:$W$499,MATCH($B195,'2_Data_Pelanggan'!$O$5:$O$499,0)),"")</f>
        <v/>
      </c>
      <c r="J195" s="107" t="str">
        <f t="array" ref="J195">IFERROR(IF(INDEX('2_Data_Pelanggan'!$F$5:$F$499,MATCH($B195,'2_Data_Pelanggan'!$O$5:$O$499,0))="","",HYPERLINK("https://wa.me/62"&amp;MID(INDEX('2_Data_Pelanggan'!$F$5:$F$499,MATCH($B195,'2_Data_Pelanggan'!$O$5:$O$499,0)),2,20),"Chat WA")),"")</f>
        <v/>
      </c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</row>
    <row r="196" ht="15.0" customHeight="1">
      <c r="A196" s="289"/>
      <c r="B196" s="89"/>
      <c r="C196" s="89"/>
      <c r="D196" s="287" t="str">
        <f t="array" ref="D196">IFERROR(INDEX('2_Data_Pelanggan'!$B$5:$B$499,MATCH($B196,'2_Data_Pelanggan'!$O$5:$O$499,0)),"")</f>
        <v/>
      </c>
      <c r="E196" s="288" t="str">
        <f t="array" ref="E196">IFERROR(INDEX('2_Data_Pelanggan'!$D$5:$D$499,MATCH($B196,'2_Data_Pelanggan'!$O$5:$O$499,0)),"")</f>
        <v/>
      </c>
      <c r="F196" s="287" t="str">
        <f t="array" ref="F196">IFERROR(INDEX('2_Data_Pelanggan'!$H$5:$H$499,MATCH($B196,'2_Data_Pelanggan'!$O$5:$O$499,0)),"")</f>
        <v/>
      </c>
      <c r="G196" s="287" t="str">
        <f t="array" ref="G196">IFERROR(INDEX('2_Data_Pelanggan'!$I$5:$I$499,MATCH($B196,'2_Data_Pelanggan'!$O$5:$O$499,0))&amp;"/"&amp;INDEX('2_Data_Pelanggan'!$J$5:$J$499,MATCH($B196,'2_Data_Pelanggan'!$O$5:$O$499,0)),"")</f>
        <v/>
      </c>
      <c r="H196" s="287" t="str">
        <f t="array" ref="H196">IFERROR(INDEX('2_Data_Pelanggan'!$M$5:$M$499,MATCH($B196,'2_Data_Pelanggan'!$O$5:$O$499,0)),"")</f>
        <v/>
      </c>
      <c r="I196" s="287" t="str">
        <f t="array" ref="I196">IFERROR(INDEX('2_Data_Pelanggan'!$W$5:$W$499,MATCH($B196,'2_Data_Pelanggan'!$O$5:$O$499,0)),"")</f>
        <v/>
      </c>
      <c r="J196" s="107" t="str">
        <f t="array" ref="J196">IFERROR(IF(INDEX('2_Data_Pelanggan'!$F$5:$F$499,MATCH($B196,'2_Data_Pelanggan'!$O$5:$O$499,0))="","",HYPERLINK("https://wa.me/62"&amp;MID(INDEX('2_Data_Pelanggan'!$F$5:$F$499,MATCH($B196,'2_Data_Pelanggan'!$O$5:$O$499,0)),2,20),"Chat WA")),"")</f>
        <v/>
      </c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</row>
    <row r="197" ht="15.0" customHeight="1">
      <c r="A197" s="289"/>
      <c r="B197" s="89"/>
      <c r="C197" s="89"/>
      <c r="D197" s="287" t="str">
        <f t="array" ref="D197">IFERROR(INDEX('2_Data_Pelanggan'!$B$5:$B$499,MATCH($B197,'2_Data_Pelanggan'!$O$5:$O$499,0)),"")</f>
        <v/>
      </c>
      <c r="E197" s="288" t="str">
        <f t="array" ref="E197">IFERROR(INDEX('2_Data_Pelanggan'!$D$5:$D$499,MATCH($B197,'2_Data_Pelanggan'!$O$5:$O$499,0)),"")</f>
        <v/>
      </c>
      <c r="F197" s="287" t="str">
        <f t="array" ref="F197">IFERROR(INDEX('2_Data_Pelanggan'!$H$5:$H$499,MATCH($B197,'2_Data_Pelanggan'!$O$5:$O$499,0)),"")</f>
        <v/>
      </c>
      <c r="G197" s="287" t="str">
        <f t="array" ref="G197">IFERROR(INDEX('2_Data_Pelanggan'!$I$5:$I$499,MATCH($B197,'2_Data_Pelanggan'!$O$5:$O$499,0))&amp;"/"&amp;INDEX('2_Data_Pelanggan'!$J$5:$J$499,MATCH($B197,'2_Data_Pelanggan'!$O$5:$O$499,0)),"")</f>
        <v/>
      </c>
      <c r="H197" s="287" t="str">
        <f t="array" ref="H197">IFERROR(INDEX('2_Data_Pelanggan'!$M$5:$M$499,MATCH($B197,'2_Data_Pelanggan'!$O$5:$O$499,0)),"")</f>
        <v/>
      </c>
      <c r="I197" s="287" t="str">
        <f t="array" ref="I197">IFERROR(INDEX('2_Data_Pelanggan'!$W$5:$W$499,MATCH($B197,'2_Data_Pelanggan'!$O$5:$O$499,0)),"")</f>
        <v/>
      </c>
      <c r="J197" s="107" t="str">
        <f t="array" ref="J197">IFERROR(IF(INDEX('2_Data_Pelanggan'!$F$5:$F$499,MATCH($B197,'2_Data_Pelanggan'!$O$5:$O$499,0))="","",HYPERLINK("https://wa.me/62"&amp;MID(INDEX('2_Data_Pelanggan'!$F$5:$F$499,MATCH($B197,'2_Data_Pelanggan'!$O$5:$O$499,0)),2,20),"Chat WA")),"")</f>
        <v/>
      </c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</row>
    <row r="198" ht="15.0" customHeight="1">
      <c r="A198" s="289"/>
      <c r="B198" s="89"/>
      <c r="C198" s="89"/>
      <c r="D198" s="287" t="str">
        <f t="array" ref="D198">IFERROR(INDEX('2_Data_Pelanggan'!$B$5:$B$499,MATCH($B198,'2_Data_Pelanggan'!$O$5:$O$499,0)),"")</f>
        <v/>
      </c>
      <c r="E198" s="288" t="str">
        <f t="array" ref="E198">IFERROR(INDEX('2_Data_Pelanggan'!$D$5:$D$499,MATCH($B198,'2_Data_Pelanggan'!$O$5:$O$499,0)),"")</f>
        <v/>
      </c>
      <c r="F198" s="287" t="str">
        <f t="array" ref="F198">IFERROR(INDEX('2_Data_Pelanggan'!$H$5:$H$499,MATCH($B198,'2_Data_Pelanggan'!$O$5:$O$499,0)),"")</f>
        <v/>
      </c>
      <c r="G198" s="287" t="str">
        <f t="array" ref="G198">IFERROR(INDEX('2_Data_Pelanggan'!$I$5:$I$499,MATCH($B198,'2_Data_Pelanggan'!$O$5:$O$499,0))&amp;"/"&amp;INDEX('2_Data_Pelanggan'!$J$5:$J$499,MATCH($B198,'2_Data_Pelanggan'!$O$5:$O$499,0)),"")</f>
        <v/>
      </c>
      <c r="H198" s="287" t="str">
        <f t="array" ref="H198">IFERROR(INDEX('2_Data_Pelanggan'!$M$5:$M$499,MATCH($B198,'2_Data_Pelanggan'!$O$5:$O$499,0)),"")</f>
        <v/>
      </c>
      <c r="I198" s="287" t="str">
        <f t="array" ref="I198">IFERROR(INDEX('2_Data_Pelanggan'!$W$5:$W$499,MATCH($B198,'2_Data_Pelanggan'!$O$5:$O$499,0)),"")</f>
        <v/>
      </c>
      <c r="J198" s="107" t="str">
        <f t="array" ref="J198">IFERROR(IF(INDEX('2_Data_Pelanggan'!$F$5:$F$499,MATCH($B198,'2_Data_Pelanggan'!$O$5:$O$499,0))="","",HYPERLINK("https://wa.me/62"&amp;MID(INDEX('2_Data_Pelanggan'!$F$5:$F$499,MATCH($B198,'2_Data_Pelanggan'!$O$5:$O$499,0)),2,20),"Chat WA")),"")</f>
        <v/>
      </c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</row>
    <row r="199" ht="15.0" customHeight="1">
      <c r="A199" s="289"/>
      <c r="B199" s="89"/>
      <c r="C199" s="89"/>
      <c r="D199" s="287" t="str">
        <f t="array" ref="D199">IFERROR(INDEX('2_Data_Pelanggan'!$B$5:$B$499,MATCH($B199,'2_Data_Pelanggan'!$O$5:$O$499,0)),"")</f>
        <v/>
      </c>
      <c r="E199" s="288" t="str">
        <f t="array" ref="E199">IFERROR(INDEX('2_Data_Pelanggan'!$D$5:$D$499,MATCH($B199,'2_Data_Pelanggan'!$O$5:$O$499,0)),"")</f>
        <v/>
      </c>
      <c r="F199" s="287" t="str">
        <f t="array" ref="F199">IFERROR(INDEX('2_Data_Pelanggan'!$H$5:$H$499,MATCH($B199,'2_Data_Pelanggan'!$O$5:$O$499,0)),"")</f>
        <v/>
      </c>
      <c r="G199" s="287" t="str">
        <f t="array" ref="G199">IFERROR(INDEX('2_Data_Pelanggan'!$I$5:$I$499,MATCH($B199,'2_Data_Pelanggan'!$O$5:$O$499,0))&amp;"/"&amp;INDEX('2_Data_Pelanggan'!$J$5:$J$499,MATCH($B199,'2_Data_Pelanggan'!$O$5:$O$499,0)),"")</f>
        <v/>
      </c>
      <c r="H199" s="287" t="str">
        <f t="array" ref="H199">IFERROR(INDEX('2_Data_Pelanggan'!$M$5:$M$499,MATCH($B199,'2_Data_Pelanggan'!$O$5:$O$499,0)),"")</f>
        <v/>
      </c>
      <c r="I199" s="287" t="str">
        <f t="array" ref="I199">IFERROR(INDEX('2_Data_Pelanggan'!$W$5:$W$499,MATCH($B199,'2_Data_Pelanggan'!$O$5:$O$499,0)),"")</f>
        <v/>
      </c>
      <c r="J199" s="107" t="str">
        <f t="array" ref="J199">IFERROR(IF(INDEX('2_Data_Pelanggan'!$F$5:$F$499,MATCH($B199,'2_Data_Pelanggan'!$O$5:$O$499,0))="","",HYPERLINK("https://wa.me/62"&amp;MID(INDEX('2_Data_Pelanggan'!$F$5:$F$499,MATCH($B199,'2_Data_Pelanggan'!$O$5:$O$499,0)),2,20),"Chat WA")),"")</f>
        <v/>
      </c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</row>
    <row r="200" ht="15.0" customHeight="1">
      <c r="A200" s="289"/>
      <c r="B200" s="89"/>
      <c r="C200" s="89"/>
      <c r="D200" s="287" t="str">
        <f t="array" ref="D200">IFERROR(INDEX('2_Data_Pelanggan'!$B$5:$B$499,MATCH($B200,'2_Data_Pelanggan'!$O$5:$O$499,0)),"")</f>
        <v/>
      </c>
      <c r="E200" s="288" t="str">
        <f t="array" ref="E200">IFERROR(INDEX('2_Data_Pelanggan'!$D$5:$D$499,MATCH($B200,'2_Data_Pelanggan'!$O$5:$O$499,0)),"")</f>
        <v/>
      </c>
      <c r="F200" s="287" t="str">
        <f t="array" ref="F200">IFERROR(INDEX('2_Data_Pelanggan'!$H$5:$H$499,MATCH($B200,'2_Data_Pelanggan'!$O$5:$O$499,0)),"")</f>
        <v/>
      </c>
      <c r="G200" s="287" t="str">
        <f t="array" ref="G200">IFERROR(INDEX('2_Data_Pelanggan'!$I$5:$I$499,MATCH($B200,'2_Data_Pelanggan'!$O$5:$O$499,0))&amp;"/"&amp;INDEX('2_Data_Pelanggan'!$J$5:$J$499,MATCH($B200,'2_Data_Pelanggan'!$O$5:$O$499,0)),"")</f>
        <v/>
      </c>
      <c r="H200" s="287" t="str">
        <f t="array" ref="H200">IFERROR(INDEX('2_Data_Pelanggan'!$M$5:$M$499,MATCH($B200,'2_Data_Pelanggan'!$O$5:$O$499,0)),"")</f>
        <v/>
      </c>
      <c r="I200" s="287" t="str">
        <f t="array" ref="I200">IFERROR(INDEX('2_Data_Pelanggan'!$W$5:$W$499,MATCH($B200,'2_Data_Pelanggan'!$O$5:$O$499,0)),"")</f>
        <v/>
      </c>
      <c r="J200" s="107" t="str">
        <f t="array" ref="J200">IFERROR(IF(INDEX('2_Data_Pelanggan'!$F$5:$F$499,MATCH($B200,'2_Data_Pelanggan'!$O$5:$O$499,0))="","",HYPERLINK("https://wa.me/62"&amp;MID(INDEX('2_Data_Pelanggan'!$F$5:$F$499,MATCH($B200,'2_Data_Pelanggan'!$O$5:$O$499,0)),2,20),"Chat WA")),"")</f>
        <v/>
      </c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</row>
    <row r="201" ht="15.0" customHeight="1">
      <c r="A201" s="289"/>
      <c r="B201" s="89"/>
      <c r="C201" s="89"/>
      <c r="D201" s="287" t="str">
        <f t="array" ref="D201">IFERROR(INDEX('2_Data_Pelanggan'!$B$5:$B$499,MATCH($B201,'2_Data_Pelanggan'!$O$5:$O$499,0)),"")</f>
        <v/>
      </c>
      <c r="E201" s="288" t="str">
        <f t="array" ref="E201">IFERROR(INDEX('2_Data_Pelanggan'!$D$5:$D$499,MATCH($B201,'2_Data_Pelanggan'!$O$5:$O$499,0)),"")</f>
        <v/>
      </c>
      <c r="F201" s="287" t="str">
        <f t="array" ref="F201">IFERROR(INDEX('2_Data_Pelanggan'!$H$5:$H$499,MATCH($B201,'2_Data_Pelanggan'!$O$5:$O$499,0)),"")</f>
        <v/>
      </c>
      <c r="G201" s="287" t="str">
        <f t="array" ref="G201">IFERROR(INDEX('2_Data_Pelanggan'!$I$5:$I$499,MATCH($B201,'2_Data_Pelanggan'!$O$5:$O$499,0))&amp;"/"&amp;INDEX('2_Data_Pelanggan'!$J$5:$J$499,MATCH($B201,'2_Data_Pelanggan'!$O$5:$O$499,0)),"")</f>
        <v/>
      </c>
      <c r="H201" s="287" t="str">
        <f t="array" ref="H201">IFERROR(INDEX('2_Data_Pelanggan'!$M$5:$M$499,MATCH($B201,'2_Data_Pelanggan'!$O$5:$O$499,0)),"")</f>
        <v/>
      </c>
      <c r="I201" s="287" t="str">
        <f t="array" ref="I201">IFERROR(INDEX('2_Data_Pelanggan'!$W$5:$W$499,MATCH($B201,'2_Data_Pelanggan'!$O$5:$O$499,0)),"")</f>
        <v/>
      </c>
      <c r="J201" s="107" t="str">
        <f t="array" ref="J201">IFERROR(IF(INDEX('2_Data_Pelanggan'!$F$5:$F$499,MATCH($B201,'2_Data_Pelanggan'!$O$5:$O$499,0))="","",HYPERLINK("https://wa.me/62"&amp;MID(INDEX('2_Data_Pelanggan'!$F$5:$F$499,MATCH($B201,'2_Data_Pelanggan'!$O$5:$O$499,0)),2,20),"Chat WA")),"")</f>
        <v/>
      </c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</row>
    <row r="202" ht="15.0" customHeight="1">
      <c r="A202" s="289"/>
      <c r="B202" s="89"/>
      <c r="C202" s="89"/>
      <c r="D202" s="287" t="str">
        <f t="array" ref="D202">IFERROR(INDEX('2_Data_Pelanggan'!$B$5:$B$499,MATCH($B202,'2_Data_Pelanggan'!$O$5:$O$499,0)),"")</f>
        <v/>
      </c>
      <c r="E202" s="288" t="str">
        <f t="array" ref="E202">IFERROR(INDEX('2_Data_Pelanggan'!$D$5:$D$499,MATCH($B202,'2_Data_Pelanggan'!$O$5:$O$499,0)),"")</f>
        <v/>
      </c>
      <c r="F202" s="287" t="str">
        <f t="array" ref="F202">IFERROR(INDEX('2_Data_Pelanggan'!$H$5:$H$499,MATCH($B202,'2_Data_Pelanggan'!$O$5:$O$499,0)),"")</f>
        <v/>
      </c>
      <c r="G202" s="287" t="str">
        <f t="array" ref="G202">IFERROR(INDEX('2_Data_Pelanggan'!$I$5:$I$499,MATCH($B202,'2_Data_Pelanggan'!$O$5:$O$499,0))&amp;"/"&amp;INDEX('2_Data_Pelanggan'!$J$5:$J$499,MATCH($B202,'2_Data_Pelanggan'!$O$5:$O$499,0)),"")</f>
        <v/>
      </c>
      <c r="H202" s="287" t="str">
        <f t="array" ref="H202">IFERROR(INDEX('2_Data_Pelanggan'!$M$5:$M$499,MATCH($B202,'2_Data_Pelanggan'!$O$5:$O$499,0)),"")</f>
        <v/>
      </c>
      <c r="I202" s="287" t="str">
        <f t="array" ref="I202">IFERROR(INDEX('2_Data_Pelanggan'!$W$5:$W$499,MATCH($B202,'2_Data_Pelanggan'!$O$5:$O$499,0)),"")</f>
        <v/>
      </c>
      <c r="J202" s="107" t="str">
        <f t="array" ref="J202">IFERROR(IF(INDEX('2_Data_Pelanggan'!$F$5:$F$499,MATCH($B202,'2_Data_Pelanggan'!$O$5:$O$499,0))="","",HYPERLINK("https://wa.me/62"&amp;MID(INDEX('2_Data_Pelanggan'!$F$5:$F$499,MATCH($B202,'2_Data_Pelanggan'!$O$5:$O$499,0)),2,20),"Chat WA")),"")</f>
        <v/>
      </c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</row>
    <row r="203" ht="15.0" customHeight="1">
      <c r="A203" s="289"/>
      <c r="B203" s="89"/>
      <c r="C203" s="89"/>
      <c r="D203" s="287" t="str">
        <f t="array" ref="D203">IFERROR(INDEX('2_Data_Pelanggan'!$B$5:$B$499,MATCH($B203,'2_Data_Pelanggan'!$O$5:$O$499,0)),"")</f>
        <v/>
      </c>
      <c r="E203" s="288" t="str">
        <f t="array" ref="E203">IFERROR(INDEX('2_Data_Pelanggan'!$D$5:$D$499,MATCH($B203,'2_Data_Pelanggan'!$O$5:$O$499,0)),"")</f>
        <v/>
      </c>
      <c r="F203" s="287" t="str">
        <f t="array" ref="F203">IFERROR(INDEX('2_Data_Pelanggan'!$H$5:$H$499,MATCH($B203,'2_Data_Pelanggan'!$O$5:$O$499,0)),"")</f>
        <v/>
      </c>
      <c r="G203" s="287" t="str">
        <f t="array" ref="G203">IFERROR(INDEX('2_Data_Pelanggan'!$I$5:$I$499,MATCH($B203,'2_Data_Pelanggan'!$O$5:$O$499,0))&amp;"/"&amp;INDEX('2_Data_Pelanggan'!$J$5:$J$499,MATCH($B203,'2_Data_Pelanggan'!$O$5:$O$499,0)),"")</f>
        <v/>
      </c>
      <c r="H203" s="287" t="str">
        <f t="array" ref="H203">IFERROR(INDEX('2_Data_Pelanggan'!$M$5:$M$499,MATCH($B203,'2_Data_Pelanggan'!$O$5:$O$499,0)),"")</f>
        <v/>
      </c>
      <c r="I203" s="287" t="str">
        <f t="array" ref="I203">IFERROR(INDEX('2_Data_Pelanggan'!$W$5:$W$499,MATCH($B203,'2_Data_Pelanggan'!$O$5:$O$499,0)),"")</f>
        <v/>
      </c>
      <c r="J203" s="107" t="str">
        <f t="array" ref="J203">IFERROR(IF(INDEX('2_Data_Pelanggan'!$F$5:$F$499,MATCH($B203,'2_Data_Pelanggan'!$O$5:$O$499,0))="","",HYPERLINK("https://wa.me/62"&amp;MID(INDEX('2_Data_Pelanggan'!$F$5:$F$499,MATCH($B203,'2_Data_Pelanggan'!$O$5:$O$499,0)),2,20),"Chat WA")),"")</f>
        <v/>
      </c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</row>
    <row r="204" ht="15.0" customHeight="1">
      <c r="A204" s="289"/>
      <c r="B204" s="89"/>
      <c r="C204" s="89"/>
      <c r="D204" s="287" t="str">
        <f t="array" ref="D204">IFERROR(INDEX('2_Data_Pelanggan'!$B$5:$B$499,MATCH($B204,'2_Data_Pelanggan'!$O$5:$O$499,0)),"")</f>
        <v/>
      </c>
      <c r="E204" s="288" t="str">
        <f t="array" ref="E204">IFERROR(INDEX('2_Data_Pelanggan'!$D$5:$D$499,MATCH($B204,'2_Data_Pelanggan'!$O$5:$O$499,0)),"")</f>
        <v/>
      </c>
      <c r="F204" s="287" t="str">
        <f t="array" ref="F204">IFERROR(INDEX('2_Data_Pelanggan'!$H$5:$H$499,MATCH($B204,'2_Data_Pelanggan'!$O$5:$O$499,0)),"")</f>
        <v/>
      </c>
      <c r="G204" s="287" t="str">
        <f t="array" ref="G204">IFERROR(INDEX('2_Data_Pelanggan'!$I$5:$I$499,MATCH($B204,'2_Data_Pelanggan'!$O$5:$O$499,0))&amp;"/"&amp;INDEX('2_Data_Pelanggan'!$J$5:$J$499,MATCH($B204,'2_Data_Pelanggan'!$O$5:$O$499,0)),"")</f>
        <v/>
      </c>
      <c r="H204" s="287" t="str">
        <f t="array" ref="H204">IFERROR(INDEX('2_Data_Pelanggan'!$M$5:$M$499,MATCH($B204,'2_Data_Pelanggan'!$O$5:$O$499,0)),"")</f>
        <v/>
      </c>
      <c r="I204" s="287" t="str">
        <f t="array" ref="I204">IFERROR(INDEX('2_Data_Pelanggan'!$W$5:$W$499,MATCH($B204,'2_Data_Pelanggan'!$O$5:$O$499,0)),"")</f>
        <v/>
      </c>
      <c r="J204" s="107" t="str">
        <f t="array" ref="J204">IFERROR(IF(INDEX('2_Data_Pelanggan'!$F$5:$F$499,MATCH($B204,'2_Data_Pelanggan'!$O$5:$O$499,0))="","",HYPERLINK("https://wa.me/62"&amp;MID(INDEX('2_Data_Pelanggan'!$F$5:$F$499,MATCH($B204,'2_Data_Pelanggan'!$O$5:$O$499,0)),2,20),"Chat WA")),"")</f>
        <v/>
      </c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</row>
    <row r="205" ht="15.75" customHeight="1">
      <c r="A205" s="90"/>
      <c r="B205" s="90"/>
      <c r="C205" s="90"/>
      <c r="D205" s="90"/>
      <c r="E205" s="57"/>
      <c r="F205" s="90"/>
      <c r="G205" s="90"/>
      <c r="H205" s="90"/>
      <c r="I205" s="90"/>
      <c r="J205" s="90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</row>
    <row r="206" ht="15.75" customHeight="1">
      <c r="A206" s="90"/>
      <c r="B206" s="90"/>
      <c r="C206" s="90"/>
      <c r="D206" s="90"/>
      <c r="E206" s="57"/>
      <c r="F206" s="90"/>
      <c r="G206" s="90"/>
      <c r="H206" s="90"/>
      <c r="I206" s="90"/>
      <c r="J206" s="90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</row>
    <row r="207" ht="15.75" customHeight="1">
      <c r="A207" s="90"/>
      <c r="B207" s="90"/>
      <c r="C207" s="90"/>
      <c r="D207" s="90"/>
      <c r="E207" s="57"/>
      <c r="F207" s="90"/>
      <c r="G207" s="90"/>
      <c r="H207" s="90"/>
      <c r="I207" s="90"/>
      <c r="J207" s="90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</row>
    <row r="208" ht="15.75" customHeight="1">
      <c r="A208" s="90"/>
      <c r="B208" s="90"/>
      <c r="C208" s="90"/>
      <c r="D208" s="90"/>
      <c r="E208" s="57"/>
      <c r="F208" s="90"/>
      <c r="G208" s="90"/>
      <c r="H208" s="90"/>
      <c r="I208" s="90"/>
      <c r="J208" s="90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</row>
    <row r="209" ht="15.75" customHeight="1">
      <c r="A209" s="90"/>
      <c r="B209" s="90"/>
      <c r="C209" s="90"/>
      <c r="D209" s="90"/>
      <c r="E209" s="57"/>
      <c r="F209" s="90"/>
      <c r="G209" s="90"/>
      <c r="H209" s="90"/>
      <c r="I209" s="90"/>
      <c r="J209" s="90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</row>
    <row r="210" ht="15.75" customHeight="1">
      <c r="A210" s="90"/>
      <c r="B210" s="90"/>
      <c r="C210" s="90"/>
      <c r="D210" s="90"/>
      <c r="E210" s="57"/>
      <c r="F210" s="90"/>
      <c r="G210" s="90"/>
      <c r="H210" s="90"/>
      <c r="I210" s="90"/>
      <c r="J210" s="90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</row>
    <row r="211" ht="15.75" customHeight="1">
      <c r="A211" s="90"/>
      <c r="B211" s="90"/>
      <c r="C211" s="90"/>
      <c r="D211" s="90"/>
      <c r="E211" s="57"/>
      <c r="F211" s="90"/>
      <c r="G211" s="90"/>
      <c r="H211" s="90"/>
      <c r="I211" s="90"/>
      <c r="J211" s="90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</row>
    <row r="212" ht="15.75" customHeight="1">
      <c r="A212" s="90"/>
      <c r="B212" s="90"/>
      <c r="C212" s="90"/>
      <c r="D212" s="90"/>
      <c r="E212" s="57"/>
      <c r="F212" s="90"/>
      <c r="G212" s="90"/>
      <c r="H212" s="90"/>
      <c r="I212" s="90"/>
      <c r="J212" s="90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</row>
    <row r="213" ht="15.75" customHeight="1">
      <c r="A213" s="90"/>
      <c r="B213" s="90"/>
      <c r="C213" s="90"/>
      <c r="D213" s="90"/>
      <c r="E213" s="57"/>
      <c r="F213" s="90"/>
      <c r="G213" s="90"/>
      <c r="H213" s="90"/>
      <c r="I213" s="90"/>
      <c r="J213" s="90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</row>
    <row r="214" ht="15.75" customHeight="1">
      <c r="A214" s="90"/>
      <c r="B214" s="90"/>
      <c r="C214" s="90"/>
      <c r="D214" s="90"/>
      <c r="E214" s="57"/>
      <c r="F214" s="90"/>
      <c r="G214" s="90"/>
      <c r="H214" s="90"/>
      <c r="I214" s="90"/>
      <c r="J214" s="90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</row>
    <row r="215" ht="15.75" customHeight="1">
      <c r="A215" s="90"/>
      <c r="B215" s="90"/>
      <c r="C215" s="90"/>
      <c r="D215" s="90"/>
      <c r="E215" s="57"/>
      <c r="F215" s="90"/>
      <c r="G215" s="90"/>
      <c r="H215" s="90"/>
      <c r="I215" s="90"/>
      <c r="J215" s="90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</row>
    <row r="216" ht="15.75" customHeight="1">
      <c r="A216" s="90"/>
      <c r="B216" s="90"/>
      <c r="C216" s="90"/>
      <c r="D216" s="90"/>
      <c r="E216" s="57"/>
      <c r="F216" s="90"/>
      <c r="G216" s="90"/>
      <c r="H216" s="90"/>
      <c r="I216" s="90"/>
      <c r="J216" s="90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</row>
    <row r="217" ht="15.75" customHeight="1">
      <c r="A217" s="90"/>
      <c r="B217" s="90"/>
      <c r="C217" s="90"/>
      <c r="D217" s="90"/>
      <c r="E217" s="57"/>
      <c r="F217" s="90"/>
      <c r="G217" s="90"/>
      <c r="H217" s="90"/>
      <c r="I217" s="90"/>
      <c r="J217" s="90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</row>
    <row r="218" ht="15.75" customHeight="1">
      <c r="A218" s="90"/>
      <c r="B218" s="90"/>
      <c r="C218" s="90"/>
      <c r="D218" s="90"/>
      <c r="E218" s="57"/>
      <c r="F218" s="90"/>
      <c r="G218" s="90"/>
      <c r="H218" s="90"/>
      <c r="I218" s="90"/>
      <c r="J218" s="90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</row>
    <row r="219" ht="15.75" customHeight="1">
      <c r="A219" s="90"/>
      <c r="B219" s="90"/>
      <c r="C219" s="90"/>
      <c r="D219" s="90"/>
      <c r="E219" s="57"/>
      <c r="F219" s="90"/>
      <c r="G219" s="90"/>
      <c r="H219" s="90"/>
      <c r="I219" s="90"/>
      <c r="J219" s="90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</row>
    <row r="220" ht="15.75" customHeight="1">
      <c r="A220" s="90"/>
      <c r="B220" s="90"/>
      <c r="C220" s="90"/>
      <c r="D220" s="90"/>
      <c r="E220" s="57"/>
      <c r="F220" s="90"/>
      <c r="G220" s="90"/>
      <c r="H220" s="90"/>
      <c r="I220" s="90"/>
      <c r="J220" s="90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</row>
    <row r="221" ht="15.75" customHeight="1">
      <c r="A221" s="90"/>
      <c r="B221" s="90"/>
      <c r="C221" s="90"/>
      <c r="D221" s="90"/>
      <c r="E221" s="57"/>
      <c r="F221" s="90"/>
      <c r="G221" s="90"/>
      <c r="H221" s="90"/>
      <c r="I221" s="90"/>
      <c r="J221" s="90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</row>
    <row r="222" ht="15.75" customHeight="1">
      <c r="A222" s="90"/>
      <c r="B222" s="90"/>
      <c r="C222" s="90"/>
      <c r="D222" s="90"/>
      <c r="E222" s="57"/>
      <c r="F222" s="90"/>
      <c r="G222" s="90"/>
      <c r="H222" s="90"/>
      <c r="I222" s="90"/>
      <c r="J222" s="90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</row>
    <row r="223" ht="15.75" customHeight="1">
      <c r="A223" s="90"/>
      <c r="B223" s="90"/>
      <c r="C223" s="90"/>
      <c r="D223" s="90"/>
      <c r="E223" s="57"/>
      <c r="F223" s="90"/>
      <c r="G223" s="90"/>
      <c r="H223" s="90"/>
      <c r="I223" s="90"/>
      <c r="J223" s="90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</row>
    <row r="224" ht="15.75" customHeight="1">
      <c r="A224" s="90"/>
      <c r="B224" s="90"/>
      <c r="C224" s="90"/>
      <c r="D224" s="90"/>
      <c r="E224" s="57"/>
      <c r="F224" s="90"/>
      <c r="G224" s="90"/>
      <c r="H224" s="90"/>
      <c r="I224" s="90"/>
      <c r="J224" s="90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</row>
    <row r="225" ht="15.75" customHeight="1">
      <c r="A225" s="90"/>
      <c r="B225" s="90"/>
      <c r="C225" s="90"/>
      <c r="D225" s="90"/>
      <c r="E225" s="57"/>
      <c r="F225" s="90"/>
      <c r="G225" s="90"/>
      <c r="H225" s="90"/>
      <c r="I225" s="90"/>
      <c r="J225" s="90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</row>
    <row r="226" ht="15.75" customHeight="1">
      <c r="A226" s="90"/>
      <c r="B226" s="90"/>
      <c r="C226" s="90"/>
      <c r="D226" s="90"/>
      <c r="E226" s="57"/>
      <c r="F226" s="90"/>
      <c r="G226" s="90"/>
      <c r="H226" s="90"/>
      <c r="I226" s="90"/>
      <c r="J226" s="90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</row>
    <row r="227" ht="15.75" customHeight="1">
      <c r="A227" s="90"/>
      <c r="B227" s="90"/>
      <c r="C227" s="90"/>
      <c r="D227" s="90"/>
      <c r="E227" s="57"/>
      <c r="F227" s="90"/>
      <c r="G227" s="90"/>
      <c r="H227" s="90"/>
      <c r="I227" s="90"/>
      <c r="J227" s="90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</row>
    <row r="228" ht="15.75" customHeight="1">
      <c r="A228" s="90"/>
      <c r="B228" s="90"/>
      <c r="C228" s="90"/>
      <c r="D228" s="90"/>
      <c r="E228" s="57"/>
      <c r="F228" s="90"/>
      <c r="G228" s="90"/>
      <c r="H228" s="90"/>
      <c r="I228" s="90"/>
      <c r="J228" s="90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</row>
    <row r="229" ht="15.75" customHeight="1">
      <c r="A229" s="90"/>
      <c r="B229" s="90"/>
      <c r="C229" s="90"/>
      <c r="D229" s="90"/>
      <c r="E229" s="57"/>
      <c r="F229" s="90"/>
      <c r="G229" s="90"/>
      <c r="H229" s="90"/>
      <c r="I229" s="90"/>
      <c r="J229" s="90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</row>
    <row r="230" ht="15.75" customHeight="1">
      <c r="A230" s="90"/>
      <c r="B230" s="90"/>
      <c r="C230" s="90"/>
      <c r="D230" s="90"/>
      <c r="E230" s="57"/>
      <c r="F230" s="90"/>
      <c r="G230" s="90"/>
      <c r="H230" s="90"/>
      <c r="I230" s="90"/>
      <c r="J230" s="90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</row>
    <row r="231" ht="15.75" customHeight="1">
      <c r="A231" s="90"/>
      <c r="B231" s="90"/>
      <c r="C231" s="90"/>
      <c r="D231" s="90"/>
      <c r="E231" s="57"/>
      <c r="F231" s="90"/>
      <c r="G231" s="90"/>
      <c r="H231" s="90"/>
      <c r="I231" s="90"/>
      <c r="J231" s="90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</row>
    <row r="232" ht="15.75" customHeight="1">
      <c r="A232" s="90"/>
      <c r="B232" s="90"/>
      <c r="C232" s="90"/>
      <c r="D232" s="90"/>
      <c r="E232" s="57"/>
      <c r="F232" s="90"/>
      <c r="G232" s="90"/>
      <c r="H232" s="90"/>
      <c r="I232" s="90"/>
      <c r="J232" s="90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</row>
    <row r="233" ht="15.75" customHeight="1">
      <c r="A233" s="90"/>
      <c r="B233" s="90"/>
      <c r="C233" s="90"/>
      <c r="D233" s="90"/>
      <c r="E233" s="57"/>
      <c r="F233" s="90"/>
      <c r="G233" s="90"/>
      <c r="H233" s="90"/>
      <c r="I233" s="90"/>
      <c r="J233" s="90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</row>
    <row r="234" ht="15.75" customHeight="1">
      <c r="A234" s="90"/>
      <c r="B234" s="90"/>
      <c r="C234" s="90"/>
      <c r="D234" s="90"/>
      <c r="E234" s="57"/>
      <c r="F234" s="90"/>
      <c r="G234" s="90"/>
      <c r="H234" s="90"/>
      <c r="I234" s="90"/>
      <c r="J234" s="90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</row>
    <row r="235" ht="15.75" customHeight="1">
      <c r="A235" s="90"/>
      <c r="B235" s="90"/>
      <c r="C235" s="90"/>
      <c r="D235" s="90"/>
      <c r="E235" s="57"/>
      <c r="F235" s="90"/>
      <c r="G235" s="90"/>
      <c r="H235" s="90"/>
      <c r="I235" s="90"/>
      <c r="J235" s="90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</row>
    <row r="236" ht="15.75" customHeight="1">
      <c r="A236" s="90"/>
      <c r="B236" s="90"/>
      <c r="C236" s="90"/>
      <c r="D236" s="90"/>
      <c r="E236" s="57"/>
      <c r="F236" s="90"/>
      <c r="G236" s="90"/>
      <c r="H236" s="90"/>
      <c r="I236" s="90"/>
      <c r="J236" s="90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</row>
    <row r="237" ht="15.75" customHeight="1">
      <c r="A237" s="90"/>
      <c r="B237" s="90"/>
      <c r="C237" s="90"/>
      <c r="D237" s="90"/>
      <c r="E237" s="57"/>
      <c r="F237" s="90"/>
      <c r="G237" s="90"/>
      <c r="H237" s="90"/>
      <c r="I237" s="90"/>
      <c r="J237" s="90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</row>
    <row r="238" ht="15.75" customHeight="1">
      <c r="A238" s="90"/>
      <c r="B238" s="90"/>
      <c r="C238" s="90"/>
      <c r="D238" s="90"/>
      <c r="E238" s="57"/>
      <c r="F238" s="90"/>
      <c r="G238" s="90"/>
      <c r="H238" s="90"/>
      <c r="I238" s="90"/>
      <c r="J238" s="90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</row>
    <row r="239" ht="15.75" customHeight="1">
      <c r="A239" s="90"/>
      <c r="B239" s="90"/>
      <c r="C239" s="90"/>
      <c r="D239" s="90"/>
      <c r="E239" s="57"/>
      <c r="F239" s="90"/>
      <c r="G239" s="90"/>
      <c r="H239" s="90"/>
      <c r="I239" s="90"/>
      <c r="J239" s="90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</row>
    <row r="240" ht="15.75" customHeight="1">
      <c r="A240" s="90"/>
      <c r="B240" s="90"/>
      <c r="C240" s="90"/>
      <c r="D240" s="90"/>
      <c r="E240" s="57"/>
      <c r="F240" s="90"/>
      <c r="G240" s="90"/>
      <c r="H240" s="90"/>
      <c r="I240" s="90"/>
      <c r="J240" s="90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</row>
    <row r="241" ht="15.75" customHeight="1">
      <c r="A241" s="90"/>
      <c r="B241" s="90"/>
      <c r="C241" s="90"/>
      <c r="D241" s="90"/>
      <c r="E241" s="57"/>
      <c r="F241" s="90"/>
      <c r="G241" s="90"/>
      <c r="H241" s="90"/>
      <c r="I241" s="90"/>
      <c r="J241" s="90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</row>
    <row r="242" ht="15.75" customHeight="1">
      <c r="A242" s="90"/>
      <c r="B242" s="90"/>
      <c r="C242" s="90"/>
      <c r="D242" s="90"/>
      <c r="E242" s="57"/>
      <c r="F242" s="90"/>
      <c r="G242" s="90"/>
      <c r="H242" s="90"/>
      <c r="I242" s="90"/>
      <c r="J242" s="90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</row>
    <row r="243" ht="15.75" customHeight="1">
      <c r="A243" s="90"/>
      <c r="B243" s="90"/>
      <c r="C243" s="90"/>
      <c r="D243" s="90"/>
      <c r="E243" s="57"/>
      <c r="F243" s="90"/>
      <c r="G243" s="90"/>
      <c r="H243" s="90"/>
      <c r="I243" s="90"/>
      <c r="J243" s="90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</row>
    <row r="244" ht="15.75" customHeight="1">
      <c r="A244" s="90"/>
      <c r="B244" s="90"/>
      <c r="C244" s="90"/>
      <c r="D244" s="90"/>
      <c r="E244" s="57"/>
      <c r="F244" s="90"/>
      <c r="G244" s="90"/>
      <c r="H244" s="90"/>
      <c r="I244" s="90"/>
      <c r="J244" s="90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</row>
    <row r="245" ht="15.75" customHeight="1">
      <c r="A245" s="90"/>
      <c r="B245" s="90"/>
      <c r="C245" s="90"/>
      <c r="D245" s="90"/>
      <c r="E245" s="57"/>
      <c r="F245" s="90"/>
      <c r="G245" s="90"/>
      <c r="H245" s="90"/>
      <c r="I245" s="90"/>
      <c r="J245" s="90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</row>
    <row r="246" ht="15.75" customHeight="1">
      <c r="A246" s="90"/>
      <c r="B246" s="90"/>
      <c r="C246" s="90"/>
      <c r="D246" s="90"/>
      <c r="E246" s="57"/>
      <c r="F246" s="90"/>
      <c r="G246" s="90"/>
      <c r="H246" s="90"/>
      <c r="I246" s="90"/>
      <c r="J246" s="90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</row>
    <row r="247" ht="15.75" customHeight="1">
      <c r="A247" s="90"/>
      <c r="B247" s="90"/>
      <c r="C247" s="90"/>
      <c r="D247" s="90"/>
      <c r="E247" s="57"/>
      <c r="F247" s="90"/>
      <c r="G247" s="90"/>
      <c r="H247" s="90"/>
      <c r="I247" s="90"/>
      <c r="J247" s="90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</row>
    <row r="248" ht="15.75" customHeight="1">
      <c r="A248" s="90"/>
      <c r="B248" s="90"/>
      <c r="C248" s="90"/>
      <c r="D248" s="90"/>
      <c r="E248" s="57"/>
      <c r="F248" s="90"/>
      <c r="G248" s="90"/>
      <c r="H248" s="90"/>
      <c r="I248" s="90"/>
      <c r="J248" s="90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</row>
    <row r="249" ht="15.75" customHeight="1">
      <c r="A249" s="90"/>
      <c r="B249" s="90"/>
      <c r="C249" s="90"/>
      <c r="D249" s="90"/>
      <c r="E249" s="57"/>
      <c r="F249" s="90"/>
      <c r="G249" s="90"/>
      <c r="H249" s="90"/>
      <c r="I249" s="90"/>
      <c r="J249" s="90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</row>
    <row r="250" ht="15.75" customHeight="1">
      <c r="A250" s="90"/>
      <c r="B250" s="90"/>
      <c r="C250" s="90"/>
      <c r="D250" s="90"/>
      <c r="E250" s="57"/>
      <c r="F250" s="90"/>
      <c r="G250" s="90"/>
      <c r="H250" s="90"/>
      <c r="I250" s="90"/>
      <c r="J250" s="90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</row>
    <row r="251" ht="15.75" customHeight="1">
      <c r="A251" s="90"/>
      <c r="B251" s="90"/>
      <c r="C251" s="90"/>
      <c r="D251" s="90"/>
      <c r="E251" s="57"/>
      <c r="F251" s="90"/>
      <c r="G251" s="90"/>
      <c r="H251" s="90"/>
      <c r="I251" s="90"/>
      <c r="J251" s="90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</row>
    <row r="252" ht="15.75" customHeight="1">
      <c r="A252" s="90"/>
      <c r="B252" s="90"/>
      <c r="C252" s="90"/>
      <c r="D252" s="90"/>
      <c r="E252" s="57"/>
      <c r="F252" s="90"/>
      <c r="G252" s="90"/>
      <c r="H252" s="90"/>
      <c r="I252" s="90"/>
      <c r="J252" s="90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</row>
    <row r="253" ht="15.75" customHeight="1">
      <c r="A253" s="90"/>
      <c r="B253" s="90"/>
      <c r="C253" s="90"/>
      <c r="D253" s="90"/>
      <c r="E253" s="57"/>
      <c r="F253" s="90"/>
      <c r="G253" s="90"/>
      <c r="H253" s="90"/>
      <c r="I253" s="90"/>
      <c r="J253" s="90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</row>
    <row r="254" ht="15.75" customHeight="1">
      <c r="A254" s="90"/>
      <c r="B254" s="90"/>
      <c r="C254" s="90"/>
      <c r="D254" s="90"/>
      <c r="E254" s="57"/>
      <c r="F254" s="90"/>
      <c r="G254" s="90"/>
      <c r="H254" s="90"/>
      <c r="I254" s="90"/>
      <c r="J254" s="90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</row>
    <row r="255" ht="15.75" customHeight="1">
      <c r="A255" s="90"/>
      <c r="B255" s="90"/>
      <c r="C255" s="90"/>
      <c r="D255" s="90"/>
      <c r="E255" s="57"/>
      <c r="F255" s="90"/>
      <c r="G255" s="90"/>
      <c r="H255" s="90"/>
      <c r="I255" s="90"/>
      <c r="J255" s="90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</row>
    <row r="256" ht="15.75" customHeight="1">
      <c r="A256" s="90"/>
      <c r="B256" s="90"/>
      <c r="C256" s="90"/>
      <c r="D256" s="90"/>
      <c r="E256" s="57"/>
      <c r="F256" s="90"/>
      <c r="G256" s="90"/>
      <c r="H256" s="90"/>
      <c r="I256" s="90"/>
      <c r="J256" s="90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</row>
    <row r="257" ht="15.75" customHeight="1">
      <c r="A257" s="90"/>
      <c r="B257" s="90"/>
      <c r="C257" s="90"/>
      <c r="D257" s="90"/>
      <c r="E257" s="57"/>
      <c r="F257" s="90"/>
      <c r="G257" s="90"/>
      <c r="H257" s="90"/>
      <c r="I257" s="90"/>
      <c r="J257" s="90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</row>
    <row r="258" ht="15.75" customHeight="1">
      <c r="A258" s="90"/>
      <c r="B258" s="90"/>
      <c r="C258" s="90"/>
      <c r="D258" s="90"/>
      <c r="E258" s="57"/>
      <c r="F258" s="90"/>
      <c r="G258" s="90"/>
      <c r="H258" s="90"/>
      <c r="I258" s="90"/>
      <c r="J258" s="90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</row>
    <row r="259" ht="15.75" customHeight="1">
      <c r="A259" s="90"/>
      <c r="B259" s="90"/>
      <c r="C259" s="90"/>
      <c r="D259" s="90"/>
      <c r="E259" s="57"/>
      <c r="F259" s="90"/>
      <c r="G259" s="90"/>
      <c r="H259" s="90"/>
      <c r="I259" s="90"/>
      <c r="J259" s="90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</row>
    <row r="260" ht="15.75" customHeight="1">
      <c r="A260" s="90"/>
      <c r="B260" s="90"/>
      <c r="C260" s="90"/>
      <c r="D260" s="90"/>
      <c r="E260" s="57"/>
      <c r="F260" s="90"/>
      <c r="G260" s="90"/>
      <c r="H260" s="90"/>
      <c r="I260" s="90"/>
      <c r="J260" s="90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</row>
    <row r="261" ht="15.75" customHeight="1">
      <c r="A261" s="90"/>
      <c r="B261" s="90"/>
      <c r="C261" s="90"/>
      <c r="D261" s="90"/>
      <c r="E261" s="57"/>
      <c r="F261" s="90"/>
      <c r="G261" s="90"/>
      <c r="H261" s="90"/>
      <c r="I261" s="90"/>
      <c r="J261" s="90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</row>
    <row r="262" ht="15.75" customHeight="1">
      <c r="A262" s="90"/>
      <c r="B262" s="90"/>
      <c r="C262" s="90"/>
      <c r="D262" s="90"/>
      <c r="E262" s="57"/>
      <c r="F262" s="90"/>
      <c r="G262" s="90"/>
      <c r="H262" s="90"/>
      <c r="I262" s="90"/>
      <c r="J262" s="90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</row>
    <row r="263" ht="15.75" customHeight="1">
      <c r="A263" s="90"/>
      <c r="B263" s="90"/>
      <c r="C263" s="90"/>
      <c r="D263" s="90"/>
      <c r="E263" s="57"/>
      <c r="F263" s="90"/>
      <c r="G263" s="90"/>
      <c r="H263" s="90"/>
      <c r="I263" s="90"/>
      <c r="J263" s="90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</row>
    <row r="264" ht="15.75" customHeight="1">
      <c r="A264" s="90"/>
      <c r="B264" s="90"/>
      <c r="C264" s="90"/>
      <c r="D264" s="90"/>
      <c r="E264" s="57"/>
      <c r="F264" s="90"/>
      <c r="G264" s="90"/>
      <c r="H264" s="90"/>
      <c r="I264" s="90"/>
      <c r="J264" s="90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</row>
    <row r="265" ht="15.75" customHeight="1">
      <c r="A265" s="90"/>
      <c r="B265" s="90"/>
      <c r="C265" s="90"/>
      <c r="D265" s="90"/>
      <c r="E265" s="57"/>
      <c r="F265" s="90"/>
      <c r="G265" s="90"/>
      <c r="H265" s="90"/>
      <c r="I265" s="90"/>
      <c r="J265" s="90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</row>
    <row r="266" ht="15.75" customHeight="1">
      <c r="A266" s="90"/>
      <c r="B266" s="90"/>
      <c r="C266" s="90"/>
      <c r="D266" s="90"/>
      <c r="E266" s="57"/>
      <c r="F266" s="90"/>
      <c r="G266" s="90"/>
      <c r="H266" s="90"/>
      <c r="I266" s="90"/>
      <c r="J266" s="90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</row>
    <row r="267" ht="15.75" customHeight="1">
      <c r="A267" s="90"/>
      <c r="B267" s="90"/>
      <c r="C267" s="90"/>
      <c r="D267" s="90"/>
      <c r="E267" s="57"/>
      <c r="F267" s="90"/>
      <c r="G267" s="90"/>
      <c r="H267" s="90"/>
      <c r="I267" s="90"/>
      <c r="J267" s="90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</row>
    <row r="268" ht="15.75" customHeight="1">
      <c r="A268" s="90"/>
      <c r="B268" s="90"/>
      <c r="C268" s="90"/>
      <c r="D268" s="90"/>
      <c r="E268" s="57"/>
      <c r="F268" s="90"/>
      <c r="G268" s="90"/>
      <c r="H268" s="90"/>
      <c r="I268" s="90"/>
      <c r="J268" s="90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</row>
    <row r="269" ht="15.75" customHeight="1">
      <c r="A269" s="90"/>
      <c r="B269" s="90"/>
      <c r="C269" s="90"/>
      <c r="D269" s="90"/>
      <c r="E269" s="57"/>
      <c r="F269" s="90"/>
      <c r="G269" s="90"/>
      <c r="H269" s="90"/>
      <c r="I269" s="90"/>
      <c r="J269" s="90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</row>
    <row r="270" ht="15.75" customHeight="1">
      <c r="A270" s="90"/>
      <c r="B270" s="90"/>
      <c r="C270" s="90"/>
      <c r="D270" s="90"/>
      <c r="E270" s="57"/>
      <c r="F270" s="90"/>
      <c r="G270" s="90"/>
      <c r="H270" s="90"/>
      <c r="I270" s="90"/>
      <c r="J270" s="90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</row>
    <row r="271" ht="15.75" customHeight="1">
      <c r="A271" s="90"/>
      <c r="B271" s="90"/>
      <c r="C271" s="90"/>
      <c r="D271" s="90"/>
      <c r="E271" s="57"/>
      <c r="F271" s="90"/>
      <c r="G271" s="90"/>
      <c r="H271" s="90"/>
      <c r="I271" s="90"/>
      <c r="J271" s="90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</row>
    <row r="272" ht="15.75" customHeight="1">
      <c r="A272" s="90"/>
      <c r="B272" s="90"/>
      <c r="C272" s="90"/>
      <c r="D272" s="90"/>
      <c r="E272" s="57"/>
      <c r="F272" s="90"/>
      <c r="G272" s="90"/>
      <c r="H272" s="90"/>
      <c r="I272" s="90"/>
      <c r="J272" s="90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</row>
    <row r="273" ht="15.75" customHeight="1">
      <c r="A273" s="90"/>
      <c r="B273" s="90"/>
      <c r="C273" s="90"/>
      <c r="D273" s="90"/>
      <c r="E273" s="57"/>
      <c r="F273" s="90"/>
      <c r="G273" s="90"/>
      <c r="H273" s="90"/>
      <c r="I273" s="90"/>
      <c r="J273" s="90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</row>
    <row r="274" ht="15.75" customHeight="1">
      <c r="A274" s="90"/>
      <c r="B274" s="90"/>
      <c r="C274" s="90"/>
      <c r="D274" s="90"/>
      <c r="E274" s="57"/>
      <c r="F274" s="90"/>
      <c r="G274" s="90"/>
      <c r="H274" s="90"/>
      <c r="I274" s="90"/>
      <c r="J274" s="90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</row>
    <row r="275" ht="15.75" customHeight="1">
      <c r="A275" s="90"/>
      <c r="B275" s="90"/>
      <c r="C275" s="90"/>
      <c r="D275" s="90"/>
      <c r="E275" s="57"/>
      <c r="F275" s="90"/>
      <c r="G275" s="90"/>
      <c r="H275" s="90"/>
      <c r="I275" s="90"/>
      <c r="J275" s="90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</row>
    <row r="276" ht="15.75" customHeight="1">
      <c r="A276" s="90"/>
      <c r="B276" s="90"/>
      <c r="C276" s="90"/>
      <c r="D276" s="90"/>
      <c r="E276" s="57"/>
      <c r="F276" s="90"/>
      <c r="G276" s="90"/>
      <c r="H276" s="90"/>
      <c r="I276" s="90"/>
      <c r="J276" s="90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</row>
    <row r="277" ht="15.75" customHeight="1">
      <c r="A277" s="90"/>
      <c r="B277" s="90"/>
      <c r="C277" s="90"/>
      <c r="D277" s="90"/>
      <c r="E277" s="57"/>
      <c r="F277" s="90"/>
      <c r="G277" s="90"/>
      <c r="H277" s="90"/>
      <c r="I277" s="90"/>
      <c r="J277" s="90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</row>
    <row r="278" ht="15.75" customHeight="1">
      <c r="A278" s="90"/>
      <c r="B278" s="90"/>
      <c r="C278" s="90"/>
      <c r="D278" s="90"/>
      <c r="E278" s="57"/>
      <c r="F278" s="90"/>
      <c r="G278" s="90"/>
      <c r="H278" s="90"/>
      <c r="I278" s="90"/>
      <c r="J278" s="90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</row>
    <row r="279" ht="15.75" customHeight="1">
      <c r="A279" s="90"/>
      <c r="B279" s="90"/>
      <c r="C279" s="90"/>
      <c r="D279" s="90"/>
      <c r="E279" s="57"/>
      <c r="F279" s="90"/>
      <c r="G279" s="90"/>
      <c r="H279" s="90"/>
      <c r="I279" s="90"/>
      <c r="J279" s="90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</row>
    <row r="280" ht="15.75" customHeight="1">
      <c r="A280" s="90"/>
      <c r="B280" s="90"/>
      <c r="C280" s="90"/>
      <c r="D280" s="90"/>
      <c r="E280" s="57"/>
      <c r="F280" s="90"/>
      <c r="G280" s="90"/>
      <c r="H280" s="90"/>
      <c r="I280" s="90"/>
      <c r="J280" s="90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</row>
    <row r="281" ht="15.75" customHeight="1">
      <c r="A281" s="90"/>
      <c r="B281" s="90"/>
      <c r="C281" s="90"/>
      <c r="D281" s="90"/>
      <c r="E281" s="57"/>
      <c r="F281" s="90"/>
      <c r="G281" s="90"/>
      <c r="H281" s="90"/>
      <c r="I281" s="90"/>
      <c r="J281" s="90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</row>
    <row r="282" ht="15.75" customHeight="1">
      <c r="A282" s="90"/>
      <c r="B282" s="90"/>
      <c r="C282" s="90"/>
      <c r="D282" s="90"/>
      <c r="E282" s="57"/>
      <c r="F282" s="90"/>
      <c r="G282" s="90"/>
      <c r="H282" s="90"/>
      <c r="I282" s="90"/>
      <c r="J282" s="90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</row>
    <row r="283" ht="15.75" customHeight="1">
      <c r="A283" s="90"/>
      <c r="B283" s="90"/>
      <c r="C283" s="90"/>
      <c r="D283" s="90"/>
      <c r="E283" s="57"/>
      <c r="F283" s="90"/>
      <c r="G283" s="90"/>
      <c r="H283" s="90"/>
      <c r="I283" s="90"/>
      <c r="J283" s="90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</row>
    <row r="284" ht="15.75" customHeight="1">
      <c r="A284" s="90"/>
      <c r="B284" s="90"/>
      <c r="C284" s="90"/>
      <c r="D284" s="90"/>
      <c r="E284" s="57"/>
      <c r="F284" s="90"/>
      <c r="G284" s="90"/>
      <c r="H284" s="90"/>
      <c r="I284" s="90"/>
      <c r="J284" s="90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</row>
    <row r="285" ht="15.75" customHeight="1">
      <c r="A285" s="90"/>
      <c r="B285" s="90"/>
      <c r="C285" s="90"/>
      <c r="D285" s="90"/>
      <c r="E285" s="57"/>
      <c r="F285" s="90"/>
      <c r="G285" s="90"/>
      <c r="H285" s="90"/>
      <c r="I285" s="90"/>
      <c r="J285" s="90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</row>
    <row r="286" ht="15.75" customHeight="1">
      <c r="A286" s="90"/>
      <c r="B286" s="90"/>
      <c r="C286" s="90"/>
      <c r="D286" s="90"/>
      <c r="E286" s="57"/>
      <c r="F286" s="90"/>
      <c r="G286" s="90"/>
      <c r="H286" s="90"/>
      <c r="I286" s="90"/>
      <c r="J286" s="90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</row>
    <row r="287" ht="15.75" customHeight="1">
      <c r="A287" s="90"/>
      <c r="B287" s="90"/>
      <c r="C287" s="90"/>
      <c r="D287" s="90"/>
      <c r="E287" s="57"/>
      <c r="F287" s="90"/>
      <c r="G287" s="90"/>
      <c r="H287" s="90"/>
      <c r="I287" s="90"/>
      <c r="J287" s="90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</row>
    <row r="288" ht="15.75" customHeight="1">
      <c r="A288" s="90"/>
      <c r="B288" s="90"/>
      <c r="C288" s="90"/>
      <c r="D288" s="90"/>
      <c r="E288" s="57"/>
      <c r="F288" s="90"/>
      <c r="G288" s="90"/>
      <c r="H288" s="90"/>
      <c r="I288" s="90"/>
      <c r="J288" s="90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</row>
    <row r="289" ht="15.75" customHeight="1">
      <c r="A289" s="90"/>
      <c r="B289" s="90"/>
      <c r="C289" s="90"/>
      <c r="D289" s="90"/>
      <c r="E289" s="57"/>
      <c r="F289" s="90"/>
      <c r="G289" s="90"/>
      <c r="H289" s="90"/>
      <c r="I289" s="90"/>
      <c r="J289" s="90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</row>
    <row r="290" ht="15.75" customHeight="1">
      <c r="A290" s="90"/>
      <c r="B290" s="90"/>
      <c r="C290" s="90"/>
      <c r="D290" s="90"/>
      <c r="E290" s="57"/>
      <c r="F290" s="90"/>
      <c r="G290" s="90"/>
      <c r="H290" s="90"/>
      <c r="I290" s="90"/>
      <c r="J290" s="90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</row>
    <row r="291" ht="15.75" customHeight="1">
      <c r="A291" s="90"/>
      <c r="B291" s="90"/>
      <c r="C291" s="90"/>
      <c r="D291" s="90"/>
      <c r="E291" s="57"/>
      <c r="F291" s="90"/>
      <c r="G291" s="90"/>
      <c r="H291" s="90"/>
      <c r="I291" s="90"/>
      <c r="J291" s="90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</row>
    <row r="292" ht="15.75" customHeight="1">
      <c r="A292" s="90"/>
      <c r="B292" s="90"/>
      <c r="C292" s="90"/>
      <c r="D292" s="90"/>
      <c r="E292" s="57"/>
      <c r="F292" s="90"/>
      <c r="G292" s="90"/>
      <c r="H292" s="90"/>
      <c r="I292" s="90"/>
      <c r="J292" s="90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</row>
    <row r="293" ht="15.75" customHeight="1">
      <c r="A293" s="90"/>
      <c r="B293" s="90"/>
      <c r="C293" s="90"/>
      <c r="D293" s="90"/>
      <c r="E293" s="57"/>
      <c r="F293" s="90"/>
      <c r="G293" s="90"/>
      <c r="H293" s="90"/>
      <c r="I293" s="90"/>
      <c r="J293" s="90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</row>
    <row r="294" ht="15.75" customHeight="1">
      <c r="A294" s="90"/>
      <c r="B294" s="90"/>
      <c r="C294" s="90"/>
      <c r="D294" s="90"/>
      <c r="E294" s="57"/>
      <c r="F294" s="90"/>
      <c r="G294" s="90"/>
      <c r="H294" s="90"/>
      <c r="I294" s="90"/>
      <c r="J294" s="90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</row>
    <row r="295" ht="15.75" customHeight="1">
      <c r="A295" s="90"/>
      <c r="B295" s="90"/>
      <c r="C295" s="90"/>
      <c r="D295" s="90"/>
      <c r="E295" s="57"/>
      <c r="F295" s="90"/>
      <c r="G295" s="90"/>
      <c r="H295" s="90"/>
      <c r="I295" s="90"/>
      <c r="J295" s="90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</row>
    <row r="296" ht="15.75" customHeight="1">
      <c r="A296" s="90"/>
      <c r="B296" s="90"/>
      <c r="C296" s="90"/>
      <c r="D296" s="90"/>
      <c r="E296" s="57"/>
      <c r="F296" s="90"/>
      <c r="G296" s="90"/>
      <c r="H296" s="90"/>
      <c r="I296" s="90"/>
      <c r="J296" s="90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</row>
    <row r="297" ht="15.75" customHeight="1">
      <c r="A297" s="90"/>
      <c r="B297" s="90"/>
      <c r="C297" s="90"/>
      <c r="D297" s="90"/>
      <c r="E297" s="57"/>
      <c r="F297" s="90"/>
      <c r="G297" s="90"/>
      <c r="H297" s="90"/>
      <c r="I297" s="90"/>
      <c r="J297" s="90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</row>
    <row r="298" ht="15.75" customHeight="1">
      <c r="A298" s="90"/>
      <c r="B298" s="90"/>
      <c r="C298" s="90"/>
      <c r="D298" s="90"/>
      <c r="E298" s="57"/>
      <c r="F298" s="90"/>
      <c r="G298" s="90"/>
      <c r="H298" s="90"/>
      <c r="I298" s="90"/>
      <c r="J298" s="90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</row>
    <row r="299" ht="15.75" customHeight="1">
      <c r="A299" s="90"/>
      <c r="B299" s="90"/>
      <c r="C299" s="90"/>
      <c r="D299" s="90"/>
      <c r="E299" s="57"/>
      <c r="F299" s="90"/>
      <c r="G299" s="90"/>
      <c r="H299" s="90"/>
      <c r="I299" s="90"/>
      <c r="J299" s="90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</row>
    <row r="300" ht="15.75" customHeight="1">
      <c r="A300" s="90"/>
      <c r="B300" s="90"/>
      <c r="C300" s="90"/>
      <c r="D300" s="90"/>
      <c r="E300" s="57"/>
      <c r="F300" s="90"/>
      <c r="G300" s="90"/>
      <c r="H300" s="90"/>
      <c r="I300" s="90"/>
      <c r="J300" s="90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</row>
    <row r="301" ht="15.75" customHeight="1">
      <c r="A301" s="90"/>
      <c r="B301" s="90"/>
      <c r="C301" s="90"/>
      <c r="D301" s="90"/>
      <c r="E301" s="57"/>
      <c r="F301" s="90"/>
      <c r="G301" s="90"/>
      <c r="H301" s="90"/>
      <c r="I301" s="90"/>
      <c r="J301" s="90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</row>
    <row r="302" ht="15.75" customHeight="1">
      <c r="A302" s="90"/>
      <c r="B302" s="90"/>
      <c r="C302" s="90"/>
      <c r="D302" s="90"/>
      <c r="E302" s="57"/>
      <c r="F302" s="90"/>
      <c r="G302" s="90"/>
      <c r="H302" s="90"/>
      <c r="I302" s="90"/>
      <c r="J302" s="90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</row>
    <row r="303" ht="15.75" customHeight="1">
      <c r="A303" s="90"/>
      <c r="B303" s="90"/>
      <c r="C303" s="90"/>
      <c r="D303" s="90"/>
      <c r="E303" s="57"/>
      <c r="F303" s="90"/>
      <c r="G303" s="90"/>
      <c r="H303" s="90"/>
      <c r="I303" s="90"/>
      <c r="J303" s="90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</row>
    <row r="304" ht="15.75" customHeight="1">
      <c r="A304" s="90"/>
      <c r="B304" s="90"/>
      <c r="C304" s="90"/>
      <c r="D304" s="90"/>
      <c r="E304" s="57"/>
      <c r="F304" s="90"/>
      <c r="G304" s="90"/>
      <c r="H304" s="90"/>
      <c r="I304" s="90"/>
      <c r="J304" s="90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</row>
    <row r="305" ht="15.75" customHeight="1">
      <c r="A305" s="90"/>
      <c r="B305" s="90"/>
      <c r="C305" s="90"/>
      <c r="D305" s="90"/>
      <c r="E305" s="57"/>
      <c r="F305" s="90"/>
      <c r="G305" s="90"/>
      <c r="H305" s="90"/>
      <c r="I305" s="90"/>
      <c r="J305" s="90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</row>
    <row r="306" ht="15.75" customHeight="1">
      <c r="A306" s="90"/>
      <c r="B306" s="90"/>
      <c r="C306" s="90"/>
      <c r="D306" s="90"/>
      <c r="E306" s="57"/>
      <c r="F306" s="90"/>
      <c r="G306" s="90"/>
      <c r="H306" s="90"/>
      <c r="I306" s="90"/>
      <c r="J306" s="90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</row>
    <row r="307" ht="15.75" customHeight="1">
      <c r="A307" s="90"/>
      <c r="B307" s="90"/>
      <c r="C307" s="90"/>
      <c r="D307" s="90"/>
      <c r="E307" s="57"/>
      <c r="F307" s="90"/>
      <c r="G307" s="90"/>
      <c r="H307" s="90"/>
      <c r="I307" s="90"/>
      <c r="J307" s="90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</row>
    <row r="308" ht="15.75" customHeight="1">
      <c r="A308" s="90"/>
      <c r="B308" s="90"/>
      <c r="C308" s="90"/>
      <c r="D308" s="90"/>
      <c r="E308" s="57"/>
      <c r="F308" s="90"/>
      <c r="G308" s="90"/>
      <c r="H308" s="90"/>
      <c r="I308" s="90"/>
      <c r="J308" s="90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</row>
    <row r="309" ht="15.75" customHeight="1">
      <c r="A309" s="90"/>
      <c r="B309" s="90"/>
      <c r="C309" s="90"/>
      <c r="D309" s="90"/>
      <c r="E309" s="57"/>
      <c r="F309" s="90"/>
      <c r="G309" s="90"/>
      <c r="H309" s="90"/>
      <c r="I309" s="90"/>
      <c r="J309" s="90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</row>
    <row r="310" ht="15.75" customHeight="1">
      <c r="A310" s="90"/>
      <c r="B310" s="90"/>
      <c r="C310" s="90"/>
      <c r="D310" s="90"/>
      <c r="E310" s="57"/>
      <c r="F310" s="90"/>
      <c r="G310" s="90"/>
      <c r="H310" s="90"/>
      <c r="I310" s="90"/>
      <c r="J310" s="90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</row>
    <row r="311" ht="15.75" customHeight="1">
      <c r="A311" s="90"/>
      <c r="B311" s="90"/>
      <c r="C311" s="90"/>
      <c r="D311" s="90"/>
      <c r="E311" s="57"/>
      <c r="F311" s="90"/>
      <c r="G311" s="90"/>
      <c r="H311" s="90"/>
      <c r="I311" s="90"/>
      <c r="J311" s="90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</row>
    <row r="312" ht="15.75" customHeight="1">
      <c r="A312" s="90"/>
      <c r="B312" s="90"/>
      <c r="C312" s="90"/>
      <c r="D312" s="90"/>
      <c r="E312" s="57"/>
      <c r="F312" s="90"/>
      <c r="G312" s="90"/>
      <c r="H312" s="90"/>
      <c r="I312" s="90"/>
      <c r="J312" s="90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</row>
    <row r="313" ht="15.75" customHeight="1">
      <c r="A313" s="90"/>
      <c r="B313" s="90"/>
      <c r="C313" s="90"/>
      <c r="D313" s="90"/>
      <c r="E313" s="57"/>
      <c r="F313" s="90"/>
      <c r="G313" s="90"/>
      <c r="H313" s="90"/>
      <c r="I313" s="90"/>
      <c r="J313" s="90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</row>
    <row r="314" ht="15.75" customHeight="1">
      <c r="A314" s="90"/>
      <c r="B314" s="90"/>
      <c r="C314" s="90"/>
      <c r="D314" s="90"/>
      <c r="E314" s="57"/>
      <c r="F314" s="90"/>
      <c r="G314" s="90"/>
      <c r="H314" s="90"/>
      <c r="I314" s="90"/>
      <c r="J314" s="90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</row>
    <row r="315" ht="15.75" customHeight="1">
      <c r="A315" s="90"/>
      <c r="B315" s="90"/>
      <c r="C315" s="90"/>
      <c r="D315" s="90"/>
      <c r="E315" s="57"/>
      <c r="F315" s="90"/>
      <c r="G315" s="90"/>
      <c r="H315" s="90"/>
      <c r="I315" s="90"/>
      <c r="J315" s="90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</row>
    <row r="316" ht="15.75" customHeight="1">
      <c r="A316" s="90"/>
      <c r="B316" s="90"/>
      <c r="C316" s="90"/>
      <c r="D316" s="90"/>
      <c r="E316" s="57"/>
      <c r="F316" s="90"/>
      <c r="G316" s="90"/>
      <c r="H316" s="90"/>
      <c r="I316" s="90"/>
      <c r="J316" s="90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</row>
    <row r="317" ht="15.75" customHeight="1">
      <c r="A317" s="90"/>
      <c r="B317" s="90"/>
      <c r="C317" s="90"/>
      <c r="D317" s="90"/>
      <c r="E317" s="57"/>
      <c r="F317" s="90"/>
      <c r="G317" s="90"/>
      <c r="H317" s="90"/>
      <c r="I317" s="90"/>
      <c r="J317" s="90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</row>
    <row r="318" ht="15.75" customHeight="1">
      <c r="A318" s="90"/>
      <c r="B318" s="90"/>
      <c r="C318" s="90"/>
      <c r="D318" s="90"/>
      <c r="E318" s="57"/>
      <c r="F318" s="90"/>
      <c r="G318" s="90"/>
      <c r="H318" s="90"/>
      <c r="I318" s="90"/>
      <c r="J318" s="90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</row>
    <row r="319" ht="15.75" customHeight="1">
      <c r="A319" s="90"/>
      <c r="B319" s="90"/>
      <c r="C319" s="90"/>
      <c r="D319" s="90"/>
      <c r="E319" s="57"/>
      <c r="F319" s="90"/>
      <c r="G319" s="90"/>
      <c r="H319" s="90"/>
      <c r="I319" s="90"/>
      <c r="J319" s="90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</row>
    <row r="320" ht="15.75" customHeight="1">
      <c r="A320" s="90"/>
      <c r="B320" s="90"/>
      <c r="C320" s="90"/>
      <c r="D320" s="90"/>
      <c r="E320" s="57"/>
      <c r="F320" s="90"/>
      <c r="G320" s="90"/>
      <c r="H320" s="90"/>
      <c r="I320" s="90"/>
      <c r="J320" s="90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</row>
    <row r="321" ht="15.75" customHeight="1">
      <c r="A321" s="90"/>
      <c r="B321" s="90"/>
      <c r="C321" s="90"/>
      <c r="D321" s="90"/>
      <c r="E321" s="57"/>
      <c r="F321" s="90"/>
      <c r="G321" s="90"/>
      <c r="H321" s="90"/>
      <c r="I321" s="90"/>
      <c r="J321" s="90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</row>
    <row r="322" ht="15.75" customHeight="1">
      <c r="A322" s="90"/>
      <c r="B322" s="90"/>
      <c r="C322" s="90"/>
      <c r="D322" s="90"/>
      <c r="E322" s="57"/>
      <c r="F322" s="90"/>
      <c r="G322" s="90"/>
      <c r="H322" s="90"/>
      <c r="I322" s="90"/>
      <c r="J322" s="90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</row>
    <row r="323" ht="15.75" customHeight="1">
      <c r="A323" s="90"/>
      <c r="B323" s="90"/>
      <c r="C323" s="90"/>
      <c r="D323" s="90"/>
      <c r="E323" s="57"/>
      <c r="F323" s="90"/>
      <c r="G323" s="90"/>
      <c r="H323" s="90"/>
      <c r="I323" s="90"/>
      <c r="J323" s="90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</row>
    <row r="324" ht="15.75" customHeight="1">
      <c r="A324" s="90"/>
      <c r="B324" s="90"/>
      <c r="C324" s="90"/>
      <c r="D324" s="90"/>
      <c r="E324" s="57"/>
      <c r="F324" s="90"/>
      <c r="G324" s="90"/>
      <c r="H324" s="90"/>
      <c r="I324" s="90"/>
      <c r="J324" s="90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</row>
    <row r="325" ht="15.75" customHeight="1">
      <c r="A325" s="90"/>
      <c r="B325" s="90"/>
      <c r="C325" s="90"/>
      <c r="D325" s="90"/>
      <c r="E325" s="57"/>
      <c r="F325" s="90"/>
      <c r="G325" s="90"/>
      <c r="H325" s="90"/>
      <c r="I325" s="90"/>
      <c r="J325" s="90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</row>
    <row r="326" ht="15.75" customHeight="1">
      <c r="A326" s="90"/>
      <c r="B326" s="90"/>
      <c r="C326" s="90"/>
      <c r="D326" s="90"/>
      <c r="E326" s="57"/>
      <c r="F326" s="90"/>
      <c r="G326" s="90"/>
      <c r="H326" s="90"/>
      <c r="I326" s="90"/>
      <c r="J326" s="90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</row>
    <row r="327" ht="15.75" customHeight="1">
      <c r="A327" s="90"/>
      <c r="B327" s="90"/>
      <c r="C327" s="90"/>
      <c r="D327" s="90"/>
      <c r="E327" s="57"/>
      <c r="F327" s="90"/>
      <c r="G327" s="90"/>
      <c r="H327" s="90"/>
      <c r="I327" s="90"/>
      <c r="J327" s="90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</row>
    <row r="328" ht="15.75" customHeight="1">
      <c r="A328" s="90"/>
      <c r="B328" s="90"/>
      <c r="C328" s="90"/>
      <c r="D328" s="90"/>
      <c r="E328" s="57"/>
      <c r="F328" s="90"/>
      <c r="G328" s="90"/>
      <c r="H328" s="90"/>
      <c r="I328" s="90"/>
      <c r="J328" s="90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</row>
    <row r="329" ht="15.75" customHeight="1">
      <c r="A329" s="90"/>
      <c r="B329" s="90"/>
      <c r="C329" s="90"/>
      <c r="D329" s="90"/>
      <c r="E329" s="57"/>
      <c r="F329" s="90"/>
      <c r="G329" s="90"/>
      <c r="H329" s="90"/>
      <c r="I329" s="90"/>
      <c r="J329" s="90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</row>
    <row r="330" ht="15.75" customHeight="1">
      <c r="A330" s="90"/>
      <c r="B330" s="90"/>
      <c r="C330" s="90"/>
      <c r="D330" s="90"/>
      <c r="E330" s="57"/>
      <c r="F330" s="90"/>
      <c r="G330" s="90"/>
      <c r="H330" s="90"/>
      <c r="I330" s="90"/>
      <c r="J330" s="90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</row>
    <row r="331" ht="15.75" customHeight="1">
      <c r="A331" s="90"/>
      <c r="B331" s="90"/>
      <c r="C331" s="90"/>
      <c r="D331" s="90"/>
      <c r="E331" s="57"/>
      <c r="F331" s="90"/>
      <c r="G331" s="90"/>
      <c r="H331" s="90"/>
      <c r="I331" s="90"/>
      <c r="J331" s="90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</row>
    <row r="332" ht="15.75" customHeight="1">
      <c r="A332" s="90"/>
      <c r="B332" s="90"/>
      <c r="C332" s="90"/>
      <c r="D332" s="90"/>
      <c r="E332" s="57"/>
      <c r="F332" s="90"/>
      <c r="G332" s="90"/>
      <c r="H332" s="90"/>
      <c r="I332" s="90"/>
      <c r="J332" s="90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</row>
    <row r="333" ht="15.75" customHeight="1">
      <c r="A333" s="90"/>
      <c r="B333" s="90"/>
      <c r="C333" s="90"/>
      <c r="D333" s="90"/>
      <c r="E333" s="57"/>
      <c r="F333" s="90"/>
      <c r="G333" s="90"/>
      <c r="H333" s="90"/>
      <c r="I333" s="90"/>
      <c r="J333" s="90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</row>
    <row r="334" ht="15.75" customHeight="1">
      <c r="A334" s="90"/>
      <c r="B334" s="90"/>
      <c r="C334" s="90"/>
      <c r="D334" s="90"/>
      <c r="E334" s="57"/>
      <c r="F334" s="90"/>
      <c r="G334" s="90"/>
      <c r="H334" s="90"/>
      <c r="I334" s="90"/>
      <c r="J334" s="90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</row>
    <row r="335" ht="15.75" customHeight="1">
      <c r="A335" s="90"/>
      <c r="B335" s="90"/>
      <c r="C335" s="90"/>
      <c r="D335" s="90"/>
      <c r="E335" s="57"/>
      <c r="F335" s="90"/>
      <c r="G335" s="90"/>
      <c r="H335" s="90"/>
      <c r="I335" s="90"/>
      <c r="J335" s="90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</row>
    <row r="336" ht="15.75" customHeight="1">
      <c r="A336" s="90"/>
      <c r="B336" s="90"/>
      <c r="C336" s="90"/>
      <c r="D336" s="90"/>
      <c r="E336" s="57"/>
      <c r="F336" s="90"/>
      <c r="G336" s="90"/>
      <c r="H336" s="90"/>
      <c r="I336" s="90"/>
      <c r="J336" s="90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</row>
    <row r="337" ht="15.75" customHeight="1">
      <c r="A337" s="90"/>
      <c r="B337" s="90"/>
      <c r="C337" s="90"/>
      <c r="D337" s="90"/>
      <c r="E337" s="57"/>
      <c r="F337" s="90"/>
      <c r="G337" s="90"/>
      <c r="H337" s="90"/>
      <c r="I337" s="90"/>
      <c r="J337" s="90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</row>
    <row r="338" ht="15.75" customHeight="1">
      <c r="A338" s="90"/>
      <c r="B338" s="90"/>
      <c r="C338" s="90"/>
      <c r="D338" s="90"/>
      <c r="E338" s="57"/>
      <c r="F338" s="90"/>
      <c r="G338" s="90"/>
      <c r="H338" s="90"/>
      <c r="I338" s="90"/>
      <c r="J338" s="90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</row>
    <row r="339" ht="15.75" customHeight="1">
      <c r="A339" s="90"/>
      <c r="B339" s="90"/>
      <c r="C339" s="90"/>
      <c r="D339" s="90"/>
      <c r="E339" s="57"/>
      <c r="F339" s="90"/>
      <c r="G339" s="90"/>
      <c r="H339" s="90"/>
      <c r="I339" s="90"/>
      <c r="J339" s="90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</row>
    <row r="340" ht="15.75" customHeight="1">
      <c r="A340" s="90"/>
      <c r="B340" s="90"/>
      <c r="C340" s="90"/>
      <c r="D340" s="90"/>
      <c r="E340" s="57"/>
      <c r="F340" s="90"/>
      <c r="G340" s="90"/>
      <c r="H340" s="90"/>
      <c r="I340" s="90"/>
      <c r="J340" s="90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</row>
    <row r="341" ht="15.75" customHeight="1">
      <c r="A341" s="90"/>
      <c r="B341" s="90"/>
      <c r="C341" s="90"/>
      <c r="D341" s="90"/>
      <c r="E341" s="57"/>
      <c r="F341" s="90"/>
      <c r="G341" s="90"/>
      <c r="H341" s="90"/>
      <c r="I341" s="90"/>
      <c r="J341" s="90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</row>
    <row r="342" ht="15.75" customHeight="1">
      <c r="A342" s="90"/>
      <c r="B342" s="90"/>
      <c r="C342" s="90"/>
      <c r="D342" s="90"/>
      <c r="E342" s="57"/>
      <c r="F342" s="90"/>
      <c r="G342" s="90"/>
      <c r="H342" s="90"/>
      <c r="I342" s="90"/>
      <c r="J342" s="90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</row>
    <row r="343" ht="15.75" customHeight="1">
      <c r="A343" s="90"/>
      <c r="B343" s="90"/>
      <c r="C343" s="90"/>
      <c r="D343" s="90"/>
      <c r="E343" s="57"/>
      <c r="F343" s="90"/>
      <c r="G343" s="90"/>
      <c r="H343" s="90"/>
      <c r="I343" s="90"/>
      <c r="J343" s="90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</row>
    <row r="344" ht="15.75" customHeight="1">
      <c r="A344" s="90"/>
      <c r="B344" s="90"/>
      <c r="C344" s="90"/>
      <c r="D344" s="90"/>
      <c r="E344" s="57"/>
      <c r="F344" s="90"/>
      <c r="G344" s="90"/>
      <c r="H344" s="90"/>
      <c r="I344" s="90"/>
      <c r="J344" s="90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</row>
    <row r="345" ht="15.75" customHeight="1">
      <c r="A345" s="90"/>
      <c r="B345" s="90"/>
      <c r="C345" s="90"/>
      <c r="D345" s="90"/>
      <c r="E345" s="57"/>
      <c r="F345" s="90"/>
      <c r="G345" s="90"/>
      <c r="H345" s="90"/>
      <c r="I345" s="90"/>
      <c r="J345" s="90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</row>
    <row r="346" ht="15.75" customHeight="1">
      <c r="A346" s="90"/>
      <c r="B346" s="90"/>
      <c r="C346" s="90"/>
      <c r="D346" s="90"/>
      <c r="E346" s="57"/>
      <c r="F346" s="90"/>
      <c r="G346" s="90"/>
      <c r="H346" s="90"/>
      <c r="I346" s="90"/>
      <c r="J346" s="90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</row>
    <row r="347" ht="15.75" customHeight="1">
      <c r="A347" s="90"/>
      <c r="B347" s="90"/>
      <c r="C347" s="90"/>
      <c r="D347" s="90"/>
      <c r="E347" s="57"/>
      <c r="F347" s="90"/>
      <c r="G347" s="90"/>
      <c r="H347" s="90"/>
      <c r="I347" s="90"/>
      <c r="J347" s="90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</row>
    <row r="348" ht="15.75" customHeight="1">
      <c r="A348" s="90"/>
      <c r="B348" s="90"/>
      <c r="C348" s="90"/>
      <c r="D348" s="90"/>
      <c r="E348" s="57"/>
      <c r="F348" s="90"/>
      <c r="G348" s="90"/>
      <c r="H348" s="90"/>
      <c r="I348" s="90"/>
      <c r="J348" s="90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</row>
    <row r="349" ht="15.75" customHeight="1">
      <c r="A349" s="90"/>
      <c r="B349" s="90"/>
      <c r="C349" s="90"/>
      <c r="D349" s="90"/>
      <c r="E349" s="57"/>
      <c r="F349" s="90"/>
      <c r="G349" s="90"/>
      <c r="H349" s="90"/>
      <c r="I349" s="90"/>
      <c r="J349" s="90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</row>
    <row r="350" ht="15.75" customHeight="1">
      <c r="A350" s="90"/>
      <c r="B350" s="90"/>
      <c r="C350" s="90"/>
      <c r="D350" s="90"/>
      <c r="E350" s="57"/>
      <c r="F350" s="90"/>
      <c r="G350" s="90"/>
      <c r="H350" s="90"/>
      <c r="I350" s="90"/>
      <c r="J350" s="90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</row>
    <row r="351" ht="15.75" customHeight="1">
      <c r="A351" s="90"/>
      <c r="B351" s="90"/>
      <c r="C351" s="90"/>
      <c r="D351" s="90"/>
      <c r="E351" s="57"/>
      <c r="F351" s="90"/>
      <c r="G351" s="90"/>
      <c r="H351" s="90"/>
      <c r="I351" s="90"/>
      <c r="J351" s="90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</row>
    <row r="352" ht="15.75" customHeight="1">
      <c r="A352" s="90"/>
      <c r="B352" s="90"/>
      <c r="C352" s="90"/>
      <c r="D352" s="90"/>
      <c r="E352" s="57"/>
      <c r="F352" s="90"/>
      <c r="G352" s="90"/>
      <c r="H352" s="90"/>
      <c r="I352" s="90"/>
      <c r="J352" s="90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</row>
    <row r="353" ht="15.75" customHeight="1">
      <c r="A353" s="90"/>
      <c r="B353" s="90"/>
      <c r="C353" s="90"/>
      <c r="D353" s="90"/>
      <c r="E353" s="57"/>
      <c r="F353" s="90"/>
      <c r="G353" s="90"/>
      <c r="H353" s="90"/>
      <c r="I353" s="90"/>
      <c r="J353" s="90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</row>
    <row r="354" ht="15.75" customHeight="1">
      <c r="A354" s="90"/>
      <c r="B354" s="90"/>
      <c r="C354" s="90"/>
      <c r="D354" s="90"/>
      <c r="E354" s="57"/>
      <c r="F354" s="90"/>
      <c r="G354" s="90"/>
      <c r="H354" s="90"/>
      <c r="I354" s="90"/>
      <c r="J354" s="90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</row>
    <row r="355" ht="15.75" customHeight="1">
      <c r="A355" s="90"/>
      <c r="B355" s="90"/>
      <c r="C355" s="90"/>
      <c r="D355" s="90"/>
      <c r="E355" s="57"/>
      <c r="F355" s="90"/>
      <c r="G355" s="90"/>
      <c r="H355" s="90"/>
      <c r="I355" s="90"/>
      <c r="J355" s="90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</row>
    <row r="356" ht="15.75" customHeight="1">
      <c r="A356" s="90"/>
      <c r="B356" s="90"/>
      <c r="C356" s="90"/>
      <c r="D356" s="90"/>
      <c r="E356" s="57"/>
      <c r="F356" s="90"/>
      <c r="G356" s="90"/>
      <c r="H356" s="90"/>
      <c r="I356" s="90"/>
      <c r="J356" s="90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</row>
    <row r="357" ht="15.75" customHeight="1">
      <c r="A357" s="90"/>
      <c r="B357" s="90"/>
      <c r="C357" s="90"/>
      <c r="D357" s="90"/>
      <c r="E357" s="57"/>
      <c r="F357" s="90"/>
      <c r="G357" s="90"/>
      <c r="H357" s="90"/>
      <c r="I357" s="90"/>
      <c r="J357" s="90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</row>
    <row r="358" ht="15.75" customHeight="1">
      <c r="A358" s="90"/>
      <c r="B358" s="90"/>
      <c r="C358" s="90"/>
      <c r="D358" s="90"/>
      <c r="E358" s="57"/>
      <c r="F358" s="90"/>
      <c r="G358" s="90"/>
      <c r="H358" s="90"/>
      <c r="I358" s="90"/>
      <c r="J358" s="90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</row>
    <row r="359" ht="15.75" customHeight="1">
      <c r="A359" s="90"/>
      <c r="B359" s="90"/>
      <c r="C359" s="90"/>
      <c r="D359" s="90"/>
      <c r="E359" s="57"/>
      <c r="F359" s="90"/>
      <c r="G359" s="90"/>
      <c r="H359" s="90"/>
      <c r="I359" s="90"/>
      <c r="J359" s="90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</row>
    <row r="360" ht="15.75" customHeight="1">
      <c r="A360" s="90"/>
      <c r="B360" s="90"/>
      <c r="C360" s="90"/>
      <c r="D360" s="90"/>
      <c r="E360" s="57"/>
      <c r="F360" s="90"/>
      <c r="G360" s="90"/>
      <c r="H360" s="90"/>
      <c r="I360" s="90"/>
      <c r="J360" s="90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</row>
    <row r="361" ht="15.75" customHeight="1">
      <c r="A361" s="90"/>
      <c r="B361" s="90"/>
      <c r="C361" s="90"/>
      <c r="D361" s="90"/>
      <c r="E361" s="57"/>
      <c r="F361" s="90"/>
      <c r="G361" s="90"/>
      <c r="H361" s="90"/>
      <c r="I361" s="90"/>
      <c r="J361" s="90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</row>
    <row r="362" ht="15.75" customHeight="1">
      <c r="A362" s="90"/>
      <c r="B362" s="90"/>
      <c r="C362" s="90"/>
      <c r="D362" s="90"/>
      <c r="E362" s="57"/>
      <c r="F362" s="90"/>
      <c r="G362" s="90"/>
      <c r="H362" s="90"/>
      <c r="I362" s="90"/>
      <c r="J362" s="90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</row>
    <row r="363" ht="15.75" customHeight="1">
      <c r="A363" s="90"/>
      <c r="B363" s="90"/>
      <c r="C363" s="90"/>
      <c r="D363" s="90"/>
      <c r="E363" s="57"/>
      <c r="F363" s="90"/>
      <c r="G363" s="90"/>
      <c r="H363" s="90"/>
      <c r="I363" s="90"/>
      <c r="J363" s="90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</row>
    <row r="364" ht="15.75" customHeight="1">
      <c r="A364" s="90"/>
      <c r="B364" s="90"/>
      <c r="C364" s="90"/>
      <c r="D364" s="90"/>
      <c r="E364" s="57"/>
      <c r="F364" s="90"/>
      <c r="G364" s="90"/>
      <c r="H364" s="90"/>
      <c r="I364" s="90"/>
      <c r="J364" s="90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</row>
    <row r="365" ht="15.75" customHeight="1">
      <c r="A365" s="90"/>
      <c r="B365" s="90"/>
      <c r="C365" s="90"/>
      <c r="D365" s="90"/>
      <c r="E365" s="57"/>
      <c r="F365" s="90"/>
      <c r="G365" s="90"/>
      <c r="H365" s="90"/>
      <c r="I365" s="90"/>
      <c r="J365" s="90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</row>
    <row r="366" ht="15.75" customHeight="1">
      <c r="A366" s="90"/>
      <c r="B366" s="90"/>
      <c r="C366" s="90"/>
      <c r="D366" s="90"/>
      <c r="E366" s="57"/>
      <c r="F366" s="90"/>
      <c r="G366" s="90"/>
      <c r="H366" s="90"/>
      <c r="I366" s="90"/>
      <c r="J366" s="90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</row>
    <row r="367" ht="15.75" customHeight="1">
      <c r="A367" s="90"/>
      <c r="B367" s="90"/>
      <c r="C367" s="90"/>
      <c r="D367" s="90"/>
      <c r="E367" s="57"/>
      <c r="F367" s="90"/>
      <c r="G367" s="90"/>
      <c r="H367" s="90"/>
      <c r="I367" s="90"/>
      <c r="J367" s="90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</row>
    <row r="368" ht="15.75" customHeight="1">
      <c r="A368" s="90"/>
      <c r="B368" s="90"/>
      <c r="C368" s="90"/>
      <c r="D368" s="90"/>
      <c r="E368" s="57"/>
      <c r="F368" s="90"/>
      <c r="G368" s="90"/>
      <c r="H368" s="90"/>
      <c r="I368" s="90"/>
      <c r="J368" s="90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</row>
    <row r="369" ht="15.75" customHeight="1">
      <c r="A369" s="90"/>
      <c r="B369" s="90"/>
      <c r="C369" s="90"/>
      <c r="D369" s="90"/>
      <c r="E369" s="57"/>
      <c r="F369" s="90"/>
      <c r="G369" s="90"/>
      <c r="H369" s="90"/>
      <c r="I369" s="90"/>
      <c r="J369" s="90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</row>
    <row r="370" ht="15.75" customHeight="1">
      <c r="A370" s="90"/>
      <c r="B370" s="90"/>
      <c r="C370" s="90"/>
      <c r="D370" s="90"/>
      <c r="E370" s="57"/>
      <c r="F370" s="90"/>
      <c r="G370" s="90"/>
      <c r="H370" s="90"/>
      <c r="I370" s="90"/>
      <c r="J370" s="90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</row>
    <row r="371" ht="15.75" customHeight="1">
      <c r="A371" s="90"/>
      <c r="B371" s="90"/>
      <c r="C371" s="90"/>
      <c r="D371" s="90"/>
      <c r="E371" s="57"/>
      <c r="F371" s="90"/>
      <c r="G371" s="90"/>
      <c r="H371" s="90"/>
      <c r="I371" s="90"/>
      <c r="J371" s="90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</row>
    <row r="372" ht="15.75" customHeight="1">
      <c r="A372" s="90"/>
      <c r="B372" s="90"/>
      <c r="C372" s="90"/>
      <c r="D372" s="90"/>
      <c r="E372" s="57"/>
      <c r="F372" s="90"/>
      <c r="G372" s="90"/>
      <c r="H372" s="90"/>
      <c r="I372" s="90"/>
      <c r="J372" s="90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</row>
    <row r="373" ht="15.75" customHeight="1">
      <c r="A373" s="90"/>
      <c r="B373" s="90"/>
      <c r="C373" s="90"/>
      <c r="D373" s="90"/>
      <c r="E373" s="57"/>
      <c r="F373" s="90"/>
      <c r="G373" s="90"/>
      <c r="H373" s="90"/>
      <c r="I373" s="90"/>
      <c r="J373" s="90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</row>
    <row r="374" ht="15.75" customHeight="1">
      <c r="A374" s="90"/>
      <c r="B374" s="90"/>
      <c r="C374" s="90"/>
      <c r="D374" s="90"/>
      <c r="E374" s="57"/>
      <c r="F374" s="90"/>
      <c r="G374" s="90"/>
      <c r="H374" s="90"/>
      <c r="I374" s="90"/>
      <c r="J374" s="90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</row>
    <row r="375" ht="15.75" customHeight="1">
      <c r="A375" s="90"/>
      <c r="B375" s="90"/>
      <c r="C375" s="90"/>
      <c r="D375" s="90"/>
      <c r="E375" s="57"/>
      <c r="F375" s="90"/>
      <c r="G375" s="90"/>
      <c r="H375" s="90"/>
      <c r="I375" s="90"/>
      <c r="J375" s="90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</row>
    <row r="376" ht="15.75" customHeight="1">
      <c r="A376" s="90"/>
      <c r="B376" s="90"/>
      <c r="C376" s="90"/>
      <c r="D376" s="90"/>
      <c r="E376" s="57"/>
      <c r="F376" s="90"/>
      <c r="G376" s="90"/>
      <c r="H376" s="90"/>
      <c r="I376" s="90"/>
      <c r="J376" s="90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</row>
    <row r="377" ht="15.75" customHeight="1">
      <c r="A377" s="90"/>
      <c r="B377" s="90"/>
      <c r="C377" s="90"/>
      <c r="D377" s="90"/>
      <c r="E377" s="57"/>
      <c r="F377" s="90"/>
      <c r="G377" s="90"/>
      <c r="H377" s="90"/>
      <c r="I377" s="90"/>
      <c r="J377" s="90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</row>
    <row r="378" ht="15.75" customHeight="1">
      <c r="A378" s="90"/>
      <c r="B378" s="90"/>
      <c r="C378" s="90"/>
      <c r="D378" s="90"/>
      <c r="E378" s="57"/>
      <c r="F378" s="90"/>
      <c r="G378" s="90"/>
      <c r="H378" s="90"/>
      <c r="I378" s="90"/>
      <c r="J378" s="90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</row>
    <row r="379" ht="15.75" customHeight="1">
      <c r="A379" s="90"/>
      <c r="B379" s="90"/>
      <c r="C379" s="90"/>
      <c r="D379" s="90"/>
      <c r="E379" s="57"/>
      <c r="F379" s="90"/>
      <c r="G379" s="90"/>
      <c r="H379" s="90"/>
      <c r="I379" s="90"/>
      <c r="J379" s="90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</row>
    <row r="380" ht="15.75" customHeight="1">
      <c r="A380" s="90"/>
      <c r="B380" s="90"/>
      <c r="C380" s="90"/>
      <c r="D380" s="90"/>
      <c r="E380" s="57"/>
      <c r="F380" s="90"/>
      <c r="G380" s="90"/>
      <c r="H380" s="90"/>
      <c r="I380" s="90"/>
      <c r="J380" s="90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</row>
    <row r="381" ht="15.75" customHeight="1">
      <c r="A381" s="90"/>
      <c r="B381" s="90"/>
      <c r="C381" s="90"/>
      <c r="D381" s="90"/>
      <c r="E381" s="57"/>
      <c r="F381" s="90"/>
      <c r="G381" s="90"/>
      <c r="H381" s="90"/>
      <c r="I381" s="90"/>
      <c r="J381" s="90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</row>
    <row r="382" ht="15.75" customHeight="1">
      <c r="A382" s="90"/>
      <c r="B382" s="90"/>
      <c r="C382" s="90"/>
      <c r="D382" s="90"/>
      <c r="E382" s="57"/>
      <c r="F382" s="90"/>
      <c r="G382" s="90"/>
      <c r="H382" s="90"/>
      <c r="I382" s="90"/>
      <c r="J382" s="90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</row>
    <row r="383" ht="15.75" customHeight="1">
      <c r="A383" s="90"/>
      <c r="B383" s="90"/>
      <c r="C383" s="90"/>
      <c r="D383" s="90"/>
      <c r="E383" s="57"/>
      <c r="F383" s="90"/>
      <c r="G383" s="90"/>
      <c r="H383" s="90"/>
      <c r="I383" s="90"/>
      <c r="J383" s="90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</row>
    <row r="384" ht="15.75" customHeight="1">
      <c r="A384" s="90"/>
      <c r="B384" s="90"/>
      <c r="C384" s="90"/>
      <c r="D384" s="90"/>
      <c r="E384" s="57"/>
      <c r="F384" s="90"/>
      <c r="G384" s="90"/>
      <c r="H384" s="90"/>
      <c r="I384" s="90"/>
      <c r="J384" s="90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</row>
    <row r="385" ht="15.75" customHeight="1">
      <c r="A385" s="90"/>
      <c r="B385" s="90"/>
      <c r="C385" s="90"/>
      <c r="D385" s="90"/>
      <c r="E385" s="57"/>
      <c r="F385" s="90"/>
      <c r="G385" s="90"/>
      <c r="H385" s="90"/>
      <c r="I385" s="90"/>
      <c r="J385" s="90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</row>
    <row r="386" ht="15.75" customHeight="1">
      <c r="A386" s="90"/>
      <c r="B386" s="90"/>
      <c r="C386" s="90"/>
      <c r="D386" s="90"/>
      <c r="E386" s="57"/>
      <c r="F386" s="90"/>
      <c r="G386" s="90"/>
      <c r="H386" s="90"/>
      <c r="I386" s="90"/>
      <c r="J386" s="90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</row>
    <row r="387" ht="15.75" customHeight="1">
      <c r="A387" s="90"/>
      <c r="B387" s="90"/>
      <c r="C387" s="90"/>
      <c r="D387" s="90"/>
      <c r="E387" s="57"/>
      <c r="F387" s="90"/>
      <c r="G387" s="90"/>
      <c r="H387" s="90"/>
      <c r="I387" s="90"/>
      <c r="J387" s="90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</row>
    <row r="388" ht="15.75" customHeight="1">
      <c r="A388" s="90"/>
      <c r="B388" s="90"/>
      <c r="C388" s="90"/>
      <c r="D388" s="90"/>
      <c r="E388" s="57"/>
      <c r="F388" s="90"/>
      <c r="G388" s="90"/>
      <c r="H388" s="90"/>
      <c r="I388" s="90"/>
      <c r="J388" s="90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</row>
    <row r="389" ht="15.75" customHeight="1">
      <c r="A389" s="90"/>
      <c r="B389" s="90"/>
      <c r="C389" s="90"/>
      <c r="D389" s="90"/>
      <c r="E389" s="57"/>
      <c r="F389" s="90"/>
      <c r="G389" s="90"/>
      <c r="H389" s="90"/>
      <c r="I389" s="90"/>
      <c r="J389" s="90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</row>
    <row r="390" ht="15.75" customHeight="1">
      <c r="A390" s="90"/>
      <c r="B390" s="90"/>
      <c r="C390" s="90"/>
      <c r="D390" s="90"/>
      <c r="E390" s="57"/>
      <c r="F390" s="90"/>
      <c r="G390" s="90"/>
      <c r="H390" s="90"/>
      <c r="I390" s="90"/>
      <c r="J390" s="90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</row>
    <row r="391" ht="15.75" customHeight="1">
      <c r="A391" s="90"/>
      <c r="B391" s="90"/>
      <c r="C391" s="90"/>
      <c r="D391" s="90"/>
      <c r="E391" s="57"/>
      <c r="F391" s="90"/>
      <c r="G391" s="90"/>
      <c r="H391" s="90"/>
      <c r="I391" s="90"/>
      <c r="J391" s="90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</row>
    <row r="392" ht="15.75" customHeight="1">
      <c r="A392" s="90"/>
      <c r="B392" s="90"/>
      <c r="C392" s="90"/>
      <c r="D392" s="90"/>
      <c r="E392" s="57"/>
      <c r="F392" s="90"/>
      <c r="G392" s="90"/>
      <c r="H392" s="90"/>
      <c r="I392" s="90"/>
      <c r="J392" s="90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</row>
    <row r="393" ht="15.75" customHeight="1">
      <c r="A393" s="90"/>
      <c r="B393" s="90"/>
      <c r="C393" s="90"/>
      <c r="D393" s="90"/>
      <c r="E393" s="57"/>
      <c r="F393" s="90"/>
      <c r="G393" s="90"/>
      <c r="H393" s="90"/>
      <c r="I393" s="90"/>
      <c r="J393" s="90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</row>
    <row r="394" ht="15.75" customHeight="1">
      <c r="A394" s="90"/>
      <c r="B394" s="90"/>
      <c r="C394" s="90"/>
      <c r="D394" s="90"/>
      <c r="E394" s="57"/>
      <c r="F394" s="90"/>
      <c r="G394" s="90"/>
      <c r="H394" s="90"/>
      <c r="I394" s="90"/>
      <c r="J394" s="90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</row>
    <row r="395" ht="15.75" customHeight="1">
      <c r="A395" s="90"/>
      <c r="B395" s="90"/>
      <c r="C395" s="90"/>
      <c r="D395" s="90"/>
      <c r="E395" s="57"/>
      <c r="F395" s="90"/>
      <c r="G395" s="90"/>
      <c r="H395" s="90"/>
      <c r="I395" s="90"/>
      <c r="J395" s="90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</row>
    <row r="396" ht="15.75" customHeight="1">
      <c r="A396" s="90"/>
      <c r="B396" s="90"/>
      <c r="C396" s="90"/>
      <c r="D396" s="90"/>
      <c r="E396" s="57"/>
      <c r="F396" s="90"/>
      <c r="G396" s="90"/>
      <c r="H396" s="90"/>
      <c r="I396" s="90"/>
      <c r="J396" s="90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</row>
    <row r="397" ht="15.75" customHeight="1">
      <c r="A397" s="90"/>
      <c r="B397" s="90"/>
      <c r="C397" s="90"/>
      <c r="D397" s="90"/>
      <c r="E397" s="57"/>
      <c r="F397" s="90"/>
      <c r="G397" s="90"/>
      <c r="H397" s="90"/>
      <c r="I397" s="90"/>
      <c r="J397" s="90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</row>
    <row r="398" ht="15.75" customHeight="1">
      <c r="A398" s="90"/>
      <c r="B398" s="90"/>
      <c r="C398" s="90"/>
      <c r="D398" s="90"/>
      <c r="E398" s="57"/>
      <c r="F398" s="90"/>
      <c r="G398" s="90"/>
      <c r="H398" s="90"/>
      <c r="I398" s="90"/>
      <c r="J398" s="90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</row>
    <row r="399" ht="15.75" customHeight="1">
      <c r="A399" s="90"/>
      <c r="B399" s="90"/>
      <c r="C399" s="90"/>
      <c r="D399" s="90"/>
      <c r="E399" s="57"/>
      <c r="F399" s="90"/>
      <c r="G399" s="90"/>
      <c r="H399" s="90"/>
      <c r="I399" s="90"/>
      <c r="J399" s="90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</row>
    <row r="400" ht="15.75" customHeight="1">
      <c r="A400" s="90"/>
      <c r="B400" s="90"/>
      <c r="C400" s="90"/>
      <c r="D400" s="90"/>
      <c r="E400" s="57"/>
      <c r="F400" s="90"/>
      <c r="G400" s="90"/>
      <c r="H400" s="90"/>
      <c r="I400" s="90"/>
      <c r="J400" s="90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</row>
    <row r="401" ht="15.75" customHeight="1">
      <c r="A401" s="90"/>
      <c r="B401" s="90"/>
      <c r="C401" s="90"/>
      <c r="D401" s="90"/>
      <c r="E401" s="57"/>
      <c r="F401" s="90"/>
      <c r="G401" s="90"/>
      <c r="H401" s="90"/>
      <c r="I401" s="90"/>
      <c r="J401" s="90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</row>
    <row r="402" ht="15.75" customHeight="1">
      <c r="A402" s="90"/>
      <c r="B402" s="90"/>
      <c r="C402" s="90"/>
      <c r="D402" s="90"/>
      <c r="E402" s="57"/>
      <c r="F402" s="90"/>
      <c r="G402" s="90"/>
      <c r="H402" s="90"/>
      <c r="I402" s="90"/>
      <c r="J402" s="90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</row>
    <row r="403" ht="15.75" customHeight="1">
      <c r="A403" s="90"/>
      <c r="B403" s="90"/>
      <c r="C403" s="90"/>
      <c r="D403" s="90"/>
      <c r="E403" s="57"/>
      <c r="F403" s="90"/>
      <c r="G403" s="90"/>
      <c r="H403" s="90"/>
      <c r="I403" s="90"/>
      <c r="J403" s="90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</row>
    <row r="404" ht="15.75" customHeight="1">
      <c r="A404" s="90"/>
      <c r="B404" s="90"/>
      <c r="C404" s="90"/>
      <c r="D404" s="90"/>
      <c r="E404" s="57"/>
      <c r="F404" s="90"/>
      <c r="G404" s="90"/>
      <c r="H404" s="90"/>
      <c r="I404" s="90"/>
      <c r="J404" s="90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</sheetData>
  <autoFilter ref="$B$3:$J$174"/>
  <mergeCells count="1">
    <mergeCell ref="B1:J1"/>
  </mergeCells>
  <conditionalFormatting sqref="C4:C204">
    <cfRule type="expression" dxfId="1" priority="1">
      <formula>OR($C4="down",$C4="Down",$C4="offline",$C4="Offline",$C4="DOWN")</formula>
    </cfRule>
  </conditionalFormatting>
  <conditionalFormatting sqref="C4:C204">
    <cfRule type="expression" dxfId="0" priority="2">
      <formula>OR($C4="up",$C4="Up",$C4="online",$C4="Online",$C4="UP")</formula>
    </cfRule>
  </conditionalFormatting>
  <conditionalFormatting sqref="A4:B174">
    <cfRule type="expression" dxfId="1" priority="3">
      <formula>$C4="DOWN"</formula>
    </cfRule>
  </conditionalFormatting>
  <conditionalFormatting sqref="A4:B174">
    <cfRule type="expression" dxfId="0" priority="4">
      <formula>$C4="UP"</formula>
    </cfRule>
  </conditionalFormatting>
  <dataValidations>
    <dataValidation type="list" allowBlank="1" showErrorMessage="1" sqref="C4:C174">
      <formula1>"DOWN,UP"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1.29"/>
    <col customWidth="1" min="2" max="2" width="16.0"/>
    <col customWidth="1" min="3" max="3" width="22.0"/>
    <col customWidth="1" min="4" max="4" width="14.57"/>
    <col customWidth="1" min="5" max="5" width="21.57"/>
    <col customWidth="1" min="6" max="16" width="12.0"/>
    <col customWidth="1" min="17" max="17" width="13.0"/>
    <col customWidth="1" min="18" max="18" width="16.0"/>
  </cols>
  <sheetData>
    <row r="1" ht="17.25" customHeight="1">
      <c r="A1" s="160" t="s">
        <v>1872</v>
      </c>
      <c r="R1" s="47"/>
      <c r="S1" s="47"/>
      <c r="T1" s="47"/>
      <c r="U1" s="47"/>
      <c r="V1" s="47"/>
      <c r="W1" s="47"/>
      <c r="X1" s="47"/>
      <c r="Y1" s="47"/>
      <c r="Z1" s="47"/>
    </row>
    <row r="2" ht="15.0" customHeight="1">
      <c r="A2" s="2" t="s">
        <v>1873</v>
      </c>
      <c r="R2" s="47"/>
      <c r="S2" s="47"/>
      <c r="T2" s="47"/>
      <c r="U2" s="47"/>
      <c r="V2" s="47"/>
      <c r="W2" s="47"/>
      <c r="X2" s="47"/>
      <c r="Y2" s="47"/>
      <c r="Z2" s="47"/>
    </row>
    <row r="3" ht="15.0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1.75" customHeight="1">
      <c r="A4" s="93" t="s">
        <v>144</v>
      </c>
      <c r="B4" s="93" t="s">
        <v>1874</v>
      </c>
      <c r="C4" s="93" t="s">
        <v>147</v>
      </c>
      <c r="D4" s="93" t="s">
        <v>1853</v>
      </c>
      <c r="E4" s="93" t="s">
        <v>1875</v>
      </c>
      <c r="F4" s="93" t="s">
        <v>1876</v>
      </c>
      <c r="G4" s="93" t="s">
        <v>1877</v>
      </c>
      <c r="H4" s="93" t="s">
        <v>1878</v>
      </c>
      <c r="I4" s="93" t="s">
        <v>1879</v>
      </c>
      <c r="J4" s="93" t="s">
        <v>1880</v>
      </c>
      <c r="K4" s="93" t="s">
        <v>1881</v>
      </c>
      <c r="L4" s="93" t="s">
        <v>1882</v>
      </c>
      <c r="M4" s="93" t="s">
        <v>1883</v>
      </c>
      <c r="N4" s="93" t="s">
        <v>1884</v>
      </c>
      <c r="O4" s="93" t="s">
        <v>1885</v>
      </c>
      <c r="P4" s="93" t="s">
        <v>1886</v>
      </c>
      <c r="Q4" s="93" t="s">
        <v>1887</v>
      </c>
      <c r="R4" s="93" t="s">
        <v>1888</v>
      </c>
      <c r="S4" s="47"/>
      <c r="T4" s="47"/>
      <c r="U4" s="47"/>
      <c r="V4" s="47"/>
      <c r="W4" s="47"/>
      <c r="X4" s="47"/>
      <c r="Y4" s="47"/>
      <c r="Z4" s="47"/>
    </row>
    <row r="5" ht="15.0" customHeight="1">
      <c r="A5" s="290">
        <f>IF(C5="","",1)</f>
        <v>1</v>
      </c>
      <c r="B5" s="122" t="str">
        <f>IF('2_Data_Pelanggan'!D5="","",'2_Data_Pelanggan'!B5)</f>
        <v>ARM-0001</v>
      </c>
      <c r="C5" s="291" t="str">
        <f>IF('2_Data_Pelanggan'!D5="","",'2_Data_Pelanggan'!D5)</f>
        <v>KANTOR</v>
      </c>
      <c r="D5" s="279">
        <f>IF('2_Data_Pelanggan'!D5="","",'2_Data_Pelanggan'!M5)</f>
        <v>100</v>
      </c>
      <c r="E5" s="292">
        <f>IF('2_Data_Pelanggan'!D5="","",'2_Data_Pelanggan'!N5)</f>
        <v>330000</v>
      </c>
      <c r="F5" s="293" t="s">
        <v>1605</v>
      </c>
      <c r="G5" s="293" t="s">
        <v>1605</v>
      </c>
      <c r="H5" s="293" t="s">
        <v>1605</v>
      </c>
      <c r="I5" s="293" t="s">
        <v>1605</v>
      </c>
      <c r="J5" s="293" t="s">
        <v>1605</v>
      </c>
      <c r="K5" s="293" t="s">
        <v>1605</v>
      </c>
      <c r="L5" s="293" t="s">
        <v>1605</v>
      </c>
      <c r="M5" s="293" t="s">
        <v>1605</v>
      </c>
      <c r="N5" s="293" t="s">
        <v>1605</v>
      </c>
      <c r="O5" s="293" t="s">
        <v>1605</v>
      </c>
      <c r="P5" s="293" t="s">
        <v>1605</v>
      </c>
      <c r="Q5" s="293" t="s">
        <v>1605</v>
      </c>
      <c r="R5" s="294">
        <f t="shared" ref="R5:R98" si="1">SUM(F5:Q5)</f>
        <v>0</v>
      </c>
      <c r="S5" s="47"/>
      <c r="T5" s="47"/>
      <c r="U5" s="47"/>
      <c r="V5" s="47"/>
      <c r="W5" s="47"/>
      <c r="X5" s="47"/>
      <c r="Y5" s="47"/>
      <c r="Z5" s="47"/>
    </row>
    <row r="6" ht="15.0" customHeight="1">
      <c r="A6" s="295">
        <f>IF(C6="","",2)</f>
        <v>2</v>
      </c>
      <c r="B6" s="117" t="str">
        <f>IF('2_Data_Pelanggan'!D6="","",'2_Data_Pelanggan'!B6)</f>
        <v>ARM-0002</v>
      </c>
      <c r="C6" s="296" t="str">
        <f>IF('2_Data_Pelanggan'!D6="","",'2_Data_Pelanggan'!D6)</f>
        <v>PERTASHOP</v>
      </c>
      <c r="D6" s="282">
        <f>IF('2_Data_Pelanggan'!D6="","",'2_Data_Pelanggan'!M6)</f>
        <v>50</v>
      </c>
      <c r="E6" s="292">
        <f>IF('2_Data_Pelanggan'!D6="","",'2_Data_Pelanggan'!N6)</f>
        <v>182000</v>
      </c>
      <c r="F6" s="297" t="s">
        <v>1605</v>
      </c>
      <c r="G6" s="297" t="s">
        <v>1605</v>
      </c>
      <c r="H6" s="297" t="s">
        <v>1605</v>
      </c>
      <c r="I6" s="297" t="s">
        <v>1605</v>
      </c>
      <c r="J6" s="297" t="s">
        <v>1605</v>
      </c>
      <c r="K6" s="297" t="s">
        <v>1605</v>
      </c>
      <c r="L6" s="297" t="s">
        <v>1605</v>
      </c>
      <c r="M6" s="297" t="s">
        <v>1605</v>
      </c>
      <c r="N6" s="297" t="s">
        <v>1605</v>
      </c>
      <c r="O6" s="297" t="s">
        <v>1605</v>
      </c>
      <c r="P6" s="297" t="s">
        <v>1605</v>
      </c>
      <c r="Q6" s="297" t="s">
        <v>1605</v>
      </c>
      <c r="R6" s="298">
        <f t="shared" si="1"/>
        <v>0</v>
      </c>
      <c r="S6" s="47"/>
      <c r="T6" s="47"/>
      <c r="U6" s="47"/>
      <c r="V6" s="47"/>
      <c r="W6" s="47"/>
      <c r="X6" s="47"/>
      <c r="Y6" s="47"/>
      <c r="Z6" s="47"/>
    </row>
    <row r="7" ht="15.0" customHeight="1">
      <c r="A7" s="290">
        <f>IF(C7="","",3)</f>
        <v>3</v>
      </c>
      <c r="B7" s="122" t="str">
        <f>IF('2_Data_Pelanggan'!D7="","",'2_Data_Pelanggan'!B7)</f>
        <v>ARM-0003</v>
      </c>
      <c r="C7" s="291" t="str">
        <f>IF('2_Data_Pelanggan'!D7="","",'2_Data_Pelanggan'!D7)</f>
        <v>JUNO</v>
      </c>
      <c r="D7" s="279">
        <f>IF('2_Data_Pelanggan'!D7="","",'2_Data_Pelanggan'!M7)</f>
        <v>30</v>
      </c>
      <c r="E7" s="292">
        <f>IF('2_Data_Pelanggan'!D7="","",'2_Data_Pelanggan'!N7)</f>
        <v>142000</v>
      </c>
      <c r="F7" s="293" t="s">
        <v>1605</v>
      </c>
      <c r="G7" s="293" t="s">
        <v>1605</v>
      </c>
      <c r="H7" s="293" t="s">
        <v>1605</v>
      </c>
      <c r="I7" s="293" t="s">
        <v>1605</v>
      </c>
      <c r="J7" s="299">
        <v>143100.0</v>
      </c>
      <c r="K7" s="299">
        <v>143100.0</v>
      </c>
      <c r="L7" s="299">
        <v>143100.0</v>
      </c>
      <c r="M7" s="299">
        <v>143100.0</v>
      </c>
      <c r="N7" s="299">
        <v>143100.0</v>
      </c>
      <c r="O7" s="299">
        <v>143100.0</v>
      </c>
      <c r="P7" s="299">
        <v>143100.0</v>
      </c>
      <c r="Q7" s="299">
        <v>143100.0</v>
      </c>
      <c r="R7" s="294">
        <f t="shared" si="1"/>
        <v>1144800</v>
      </c>
      <c r="S7" s="47"/>
      <c r="T7" s="47"/>
      <c r="U7" s="47"/>
      <c r="V7" s="47"/>
      <c r="W7" s="47"/>
      <c r="X7" s="47"/>
      <c r="Y7" s="47"/>
      <c r="Z7" s="47"/>
    </row>
    <row r="8" ht="15.0" customHeight="1">
      <c r="A8" s="295">
        <f>IF(C8="","",4)</f>
        <v>4</v>
      </c>
      <c r="B8" s="117" t="str">
        <f>IF('2_Data_Pelanggan'!D8="","",'2_Data_Pelanggan'!B8)</f>
        <v>ARM-0004</v>
      </c>
      <c r="C8" s="296" t="str">
        <f>IF('2_Data_Pelanggan'!D8="","",'2_Data_Pelanggan'!D8)</f>
        <v>TAMIRAH</v>
      </c>
      <c r="D8" s="282">
        <f>IF('2_Data_Pelanggan'!D8="","",'2_Data_Pelanggan'!M8)</f>
        <v>20</v>
      </c>
      <c r="E8" s="292">
        <f>IF('2_Data_Pelanggan'!D8="","",'2_Data_Pelanggan'!N8)</f>
        <v>115000</v>
      </c>
      <c r="F8" s="297" t="s">
        <v>1605</v>
      </c>
      <c r="G8" s="297" t="s">
        <v>1605</v>
      </c>
      <c r="H8" s="297" t="s">
        <v>1605</v>
      </c>
      <c r="I8" s="297" t="s">
        <v>1605</v>
      </c>
      <c r="J8" s="300">
        <v>125000.0</v>
      </c>
      <c r="K8" s="300">
        <v>115000.0</v>
      </c>
      <c r="L8" s="300">
        <v>116100.0</v>
      </c>
      <c r="M8" s="300">
        <v>116100.0</v>
      </c>
      <c r="N8" s="300">
        <v>116100.0</v>
      </c>
      <c r="O8" s="300">
        <v>116100.0</v>
      </c>
      <c r="P8" s="300">
        <v>116100.0</v>
      </c>
      <c r="Q8" s="300">
        <v>116100.0</v>
      </c>
      <c r="R8" s="298">
        <f t="shared" si="1"/>
        <v>936600</v>
      </c>
      <c r="S8" s="47"/>
      <c r="T8" s="47"/>
      <c r="U8" s="47"/>
      <c r="V8" s="47"/>
      <c r="W8" s="47"/>
      <c r="X8" s="47"/>
      <c r="Y8" s="47"/>
      <c r="Z8" s="47"/>
    </row>
    <row r="9" ht="15.0" customHeight="1">
      <c r="A9" s="290">
        <f>IF(C9="","",5)</f>
        <v>5</v>
      </c>
      <c r="B9" s="122" t="str">
        <f>IF('2_Data_Pelanggan'!D9="","",'2_Data_Pelanggan'!B9)</f>
        <v>ARM-0005</v>
      </c>
      <c r="C9" s="291" t="str">
        <f>IF('2_Data_Pelanggan'!D9="","",'2_Data_Pelanggan'!D9)</f>
        <v>SARWO</v>
      </c>
      <c r="D9" s="279">
        <f>IF('2_Data_Pelanggan'!D9="","",'2_Data_Pelanggan'!M9)</f>
        <v>30</v>
      </c>
      <c r="E9" s="292">
        <f>IF('2_Data_Pelanggan'!D9="","",'2_Data_Pelanggan'!N9)</f>
        <v>142000</v>
      </c>
      <c r="F9" s="293" t="s">
        <v>1605</v>
      </c>
      <c r="G9" s="293" t="s">
        <v>1605</v>
      </c>
      <c r="H9" s="293" t="s">
        <v>1605</v>
      </c>
      <c r="I9" s="293" t="s">
        <v>1605</v>
      </c>
      <c r="J9" s="299">
        <v>125000.0</v>
      </c>
      <c r="K9" s="299">
        <v>115000.0</v>
      </c>
      <c r="L9" s="299">
        <v>143101.0</v>
      </c>
      <c r="M9" s="299">
        <v>143101.0</v>
      </c>
      <c r="N9" s="299">
        <v>143101.0</v>
      </c>
      <c r="O9" s="299">
        <v>143101.0</v>
      </c>
      <c r="P9" s="299">
        <v>143101.0</v>
      </c>
      <c r="Q9" s="299">
        <v>143101.0</v>
      </c>
      <c r="R9" s="294">
        <f t="shared" si="1"/>
        <v>1098606</v>
      </c>
      <c r="S9" s="47"/>
      <c r="T9" s="47"/>
      <c r="U9" s="47"/>
      <c r="V9" s="47"/>
      <c r="W9" s="47"/>
      <c r="X9" s="47"/>
      <c r="Y9" s="47"/>
      <c r="Z9" s="47"/>
    </row>
    <row r="10" ht="15.0" customHeight="1">
      <c r="A10" s="295">
        <f>IF(C10="","",6)</f>
        <v>6</v>
      </c>
      <c r="B10" s="117" t="str">
        <f>IF('2_Data_Pelanggan'!D10="","",'2_Data_Pelanggan'!B10)</f>
        <v>ARM-0006</v>
      </c>
      <c r="C10" s="296" t="str">
        <f>IF('2_Data_Pelanggan'!D10="","",'2_Data_Pelanggan'!D10)</f>
        <v>TRIYONO</v>
      </c>
      <c r="D10" s="282">
        <f>IF('2_Data_Pelanggan'!D10="","",'2_Data_Pelanggan'!M10)</f>
        <v>20</v>
      </c>
      <c r="E10" s="292">
        <f>IF('2_Data_Pelanggan'!D10="","",'2_Data_Pelanggan'!N10)</f>
        <v>115000</v>
      </c>
      <c r="F10" s="297" t="s">
        <v>1605</v>
      </c>
      <c r="G10" s="297" t="s">
        <v>1605</v>
      </c>
      <c r="H10" s="297" t="s">
        <v>1605</v>
      </c>
      <c r="I10" s="297" t="s">
        <v>1605</v>
      </c>
      <c r="J10" s="300">
        <v>125000.0</v>
      </c>
      <c r="K10" s="300">
        <v>115000.0</v>
      </c>
      <c r="L10" s="300">
        <v>116101.0</v>
      </c>
      <c r="M10" s="300">
        <v>116101.0</v>
      </c>
      <c r="N10" s="300">
        <v>116101.0</v>
      </c>
      <c r="O10" s="300">
        <v>116101.0</v>
      </c>
      <c r="P10" s="300">
        <v>116101.0</v>
      </c>
      <c r="Q10" s="300">
        <v>116101.0</v>
      </c>
      <c r="R10" s="298">
        <f t="shared" si="1"/>
        <v>936606</v>
      </c>
      <c r="S10" s="47"/>
      <c r="T10" s="47"/>
      <c r="U10" s="47"/>
      <c r="V10" s="47"/>
      <c r="W10" s="47"/>
      <c r="X10" s="47"/>
      <c r="Y10" s="47"/>
      <c r="Z10" s="47"/>
    </row>
    <row r="11" ht="15.0" customHeight="1">
      <c r="A11" s="290">
        <f>IF(C11="","",7)</f>
        <v>7</v>
      </c>
      <c r="B11" s="122" t="str">
        <f>IF('2_Data_Pelanggan'!D11="","",'2_Data_Pelanggan'!B11)</f>
        <v>ARM-0007</v>
      </c>
      <c r="C11" s="291" t="str">
        <f>IF('2_Data_Pelanggan'!D11="","",'2_Data_Pelanggan'!D11)</f>
        <v>WAIFRON</v>
      </c>
      <c r="D11" s="279">
        <f>IF('2_Data_Pelanggan'!D11="","",'2_Data_Pelanggan'!M11)</f>
        <v>20</v>
      </c>
      <c r="E11" s="292">
        <f>IF('2_Data_Pelanggan'!D11="","",'2_Data_Pelanggan'!N11)</f>
        <v>115000</v>
      </c>
      <c r="F11" s="293" t="s">
        <v>1605</v>
      </c>
      <c r="G11" s="293" t="s">
        <v>1605</v>
      </c>
      <c r="H11" s="293" t="s">
        <v>1605</v>
      </c>
      <c r="I11" s="293" t="s">
        <v>1605</v>
      </c>
      <c r="J11" s="299">
        <v>125000.0</v>
      </c>
      <c r="K11" s="299">
        <v>116102.0</v>
      </c>
      <c r="L11" s="299">
        <v>116102.0</v>
      </c>
      <c r="M11" s="299">
        <v>116102.0</v>
      </c>
      <c r="N11" s="299">
        <v>116102.0</v>
      </c>
      <c r="O11" s="299">
        <v>116102.0</v>
      </c>
      <c r="P11" s="299">
        <v>116102.0</v>
      </c>
      <c r="Q11" s="299">
        <v>116102.0</v>
      </c>
      <c r="R11" s="294">
        <f t="shared" si="1"/>
        <v>937714</v>
      </c>
      <c r="S11" s="47"/>
      <c r="T11" s="47"/>
      <c r="U11" s="47"/>
      <c r="V11" s="47"/>
      <c r="W11" s="47"/>
      <c r="X11" s="47"/>
      <c r="Y11" s="47"/>
      <c r="Z11" s="47"/>
    </row>
    <row r="12" ht="15.0" customHeight="1">
      <c r="A12" s="295">
        <f>IF(C12="","",8)</f>
        <v>8</v>
      </c>
      <c r="B12" s="117" t="str">
        <f>IF('2_Data_Pelanggan'!D12="","",'2_Data_Pelanggan'!B12)</f>
        <v>ARM-0008</v>
      </c>
      <c r="C12" s="296" t="str">
        <f>IF('2_Data_Pelanggan'!D12="","",'2_Data_Pelanggan'!D12)</f>
        <v>WARSITO</v>
      </c>
      <c r="D12" s="282">
        <f>IF('2_Data_Pelanggan'!D12="","",'2_Data_Pelanggan'!M12)</f>
        <v>20</v>
      </c>
      <c r="E12" s="292">
        <f>IF('2_Data_Pelanggan'!D12="","",'2_Data_Pelanggan'!N12)</f>
        <v>115000</v>
      </c>
      <c r="F12" s="297" t="s">
        <v>1605</v>
      </c>
      <c r="G12" s="297" t="s">
        <v>1605</v>
      </c>
      <c r="H12" s="297" t="s">
        <v>1605</v>
      </c>
      <c r="I12" s="297" t="s">
        <v>1605</v>
      </c>
      <c r="J12" s="300">
        <v>125000.0</v>
      </c>
      <c r="K12" s="300">
        <v>115000.0</v>
      </c>
      <c r="L12" s="300">
        <v>116103.0</v>
      </c>
      <c r="M12" s="300">
        <v>116103.0</v>
      </c>
      <c r="N12" s="300">
        <v>116103.0</v>
      </c>
      <c r="O12" s="300">
        <v>116103.0</v>
      </c>
      <c r="P12" s="300">
        <v>116103.0</v>
      </c>
      <c r="Q12" s="300">
        <v>116103.0</v>
      </c>
      <c r="R12" s="298">
        <f t="shared" si="1"/>
        <v>936618</v>
      </c>
      <c r="S12" s="47"/>
      <c r="T12" s="47"/>
      <c r="U12" s="47"/>
      <c r="V12" s="47"/>
      <c r="W12" s="47"/>
      <c r="X12" s="47"/>
      <c r="Y12" s="47"/>
      <c r="Z12" s="47"/>
    </row>
    <row r="13" ht="15.0" customHeight="1">
      <c r="A13" s="290">
        <f>IF(C13="","",9)</f>
        <v>9</v>
      </c>
      <c r="B13" s="122" t="str">
        <f>IF('2_Data_Pelanggan'!D13="","",'2_Data_Pelanggan'!B13)</f>
        <v>ARM-0009</v>
      </c>
      <c r="C13" s="291" t="str">
        <f>IF('2_Data_Pelanggan'!D13="","",'2_Data_Pelanggan'!D13)</f>
        <v>RUMINAH</v>
      </c>
      <c r="D13" s="279">
        <f>IF('2_Data_Pelanggan'!D13="","",'2_Data_Pelanggan'!M13)</f>
        <v>20</v>
      </c>
      <c r="E13" s="292">
        <f>IF('2_Data_Pelanggan'!D13="","",'2_Data_Pelanggan'!N13)</f>
        <v>115000</v>
      </c>
      <c r="F13" s="293" t="s">
        <v>1605</v>
      </c>
      <c r="G13" s="293" t="s">
        <v>1605</v>
      </c>
      <c r="H13" s="293" t="s">
        <v>1605</v>
      </c>
      <c r="I13" s="293" t="s">
        <v>1605</v>
      </c>
      <c r="J13" s="299">
        <v>125000.0</v>
      </c>
      <c r="K13" s="299">
        <v>117000.0</v>
      </c>
      <c r="L13" s="299">
        <v>116104.0</v>
      </c>
      <c r="M13" s="299">
        <v>116104.0</v>
      </c>
      <c r="N13" s="299">
        <v>116104.0</v>
      </c>
      <c r="O13" s="299">
        <v>116104.0</v>
      </c>
      <c r="P13" s="299">
        <v>116104.0</v>
      </c>
      <c r="Q13" s="299">
        <v>116104.0</v>
      </c>
      <c r="R13" s="294">
        <f t="shared" si="1"/>
        <v>938624</v>
      </c>
      <c r="S13" s="47"/>
      <c r="T13" s="47"/>
      <c r="U13" s="47"/>
      <c r="V13" s="47"/>
      <c r="W13" s="47"/>
      <c r="X13" s="47"/>
      <c r="Y13" s="47"/>
      <c r="Z13" s="47"/>
    </row>
    <row r="14" ht="15.0" customHeight="1">
      <c r="A14" s="295">
        <f>IF(C14="","",10)</f>
        <v>10</v>
      </c>
      <c r="B14" s="117" t="str">
        <f>IF('2_Data_Pelanggan'!D14="","",'2_Data_Pelanggan'!B14)</f>
        <v>ARM-0010</v>
      </c>
      <c r="C14" s="296" t="str">
        <f>IF('2_Data_Pelanggan'!D14="","",'2_Data_Pelanggan'!D14)</f>
        <v>SUDIRMAN</v>
      </c>
      <c r="D14" s="282">
        <f>IF('2_Data_Pelanggan'!D14="","",'2_Data_Pelanggan'!M14)</f>
        <v>20</v>
      </c>
      <c r="E14" s="292">
        <f>IF('2_Data_Pelanggan'!D14="","",'2_Data_Pelanggan'!N14)</f>
        <v>115000</v>
      </c>
      <c r="F14" s="297" t="s">
        <v>1605</v>
      </c>
      <c r="G14" s="297" t="s">
        <v>1605</v>
      </c>
      <c r="H14" s="297" t="s">
        <v>1605</v>
      </c>
      <c r="I14" s="297" t="s">
        <v>1605</v>
      </c>
      <c r="J14" s="300">
        <v>125000.0</v>
      </c>
      <c r="K14" s="300">
        <v>125000.0</v>
      </c>
      <c r="L14" s="300">
        <v>116105.0</v>
      </c>
      <c r="M14" s="300">
        <v>116105.0</v>
      </c>
      <c r="N14" s="300">
        <v>116105.0</v>
      </c>
      <c r="O14" s="300">
        <v>116105.0</v>
      </c>
      <c r="P14" s="300">
        <v>116105.0</v>
      </c>
      <c r="Q14" s="300">
        <v>116105.0</v>
      </c>
      <c r="R14" s="298">
        <f t="shared" si="1"/>
        <v>946630</v>
      </c>
      <c r="S14" s="47"/>
      <c r="T14" s="47"/>
      <c r="U14" s="47"/>
      <c r="V14" s="47"/>
      <c r="W14" s="47"/>
      <c r="X14" s="47"/>
      <c r="Y14" s="47"/>
      <c r="Z14" s="47"/>
    </row>
    <row r="15" ht="15.0" customHeight="1">
      <c r="A15" s="290">
        <f>IF(C15="","",11)</f>
        <v>11</v>
      </c>
      <c r="B15" s="122" t="str">
        <f>IF('2_Data_Pelanggan'!D15="","",'2_Data_Pelanggan'!B15)</f>
        <v>ARM-0011</v>
      </c>
      <c r="C15" s="291" t="str">
        <f>IF('2_Data_Pelanggan'!D15="","",'2_Data_Pelanggan'!D15)</f>
        <v>ROMSIACH</v>
      </c>
      <c r="D15" s="279">
        <f>IF('2_Data_Pelanggan'!D15="","",'2_Data_Pelanggan'!M15)</f>
        <v>20</v>
      </c>
      <c r="E15" s="292">
        <f>IF('2_Data_Pelanggan'!D15="","",'2_Data_Pelanggan'!N15)</f>
        <v>115000</v>
      </c>
      <c r="F15" s="293" t="s">
        <v>1605</v>
      </c>
      <c r="G15" s="293" t="s">
        <v>1605</v>
      </c>
      <c r="H15" s="293" t="s">
        <v>1605</v>
      </c>
      <c r="I15" s="293" t="s">
        <v>1605</v>
      </c>
      <c r="J15" s="299">
        <v>125000.0</v>
      </c>
      <c r="K15" s="299">
        <v>115000.0</v>
      </c>
      <c r="L15" s="299">
        <v>116106.0</v>
      </c>
      <c r="M15" s="299">
        <v>116106.0</v>
      </c>
      <c r="N15" s="299">
        <v>116106.0</v>
      </c>
      <c r="O15" s="299">
        <v>116106.0</v>
      </c>
      <c r="P15" s="299">
        <v>116106.0</v>
      </c>
      <c r="Q15" s="299">
        <v>116106.0</v>
      </c>
      <c r="R15" s="294">
        <f t="shared" si="1"/>
        <v>936636</v>
      </c>
      <c r="S15" s="47"/>
      <c r="T15" s="47"/>
      <c r="U15" s="47"/>
      <c r="V15" s="47"/>
      <c r="W15" s="47"/>
      <c r="X15" s="47"/>
      <c r="Y15" s="47"/>
      <c r="Z15" s="47"/>
    </row>
    <row r="16" ht="15.0" customHeight="1">
      <c r="A16" s="295">
        <f>IF(C16="","",12)</f>
        <v>12</v>
      </c>
      <c r="B16" s="117" t="str">
        <f>IF('2_Data_Pelanggan'!D16="","",'2_Data_Pelanggan'!B16)</f>
        <v>ARM-0012</v>
      </c>
      <c r="C16" s="296" t="str">
        <f>IF('2_Data_Pelanggan'!D16="","",'2_Data_Pelanggan'!D16)</f>
        <v>MAMO</v>
      </c>
      <c r="D16" s="282">
        <f>IF('2_Data_Pelanggan'!D16="","",'2_Data_Pelanggan'!M16)</f>
        <v>20</v>
      </c>
      <c r="E16" s="292">
        <f>IF('2_Data_Pelanggan'!D16="","",'2_Data_Pelanggan'!N16)</f>
        <v>115000</v>
      </c>
      <c r="F16" s="297" t="s">
        <v>1605</v>
      </c>
      <c r="G16" s="297" t="s">
        <v>1605</v>
      </c>
      <c r="H16" s="297" t="s">
        <v>1605</v>
      </c>
      <c r="I16" s="297" t="s">
        <v>1605</v>
      </c>
      <c r="J16" s="300">
        <v>125000.0</v>
      </c>
      <c r="K16" s="300">
        <v>115000.0</v>
      </c>
      <c r="L16" s="300">
        <v>116107.0</v>
      </c>
      <c r="M16" s="300">
        <v>116107.0</v>
      </c>
      <c r="N16" s="300">
        <v>116107.0</v>
      </c>
      <c r="O16" s="300">
        <v>116107.0</v>
      </c>
      <c r="P16" s="300">
        <v>116107.0</v>
      </c>
      <c r="Q16" s="300">
        <v>116107.0</v>
      </c>
      <c r="R16" s="298">
        <f t="shared" si="1"/>
        <v>936642</v>
      </c>
      <c r="S16" s="47"/>
      <c r="T16" s="47"/>
      <c r="U16" s="47"/>
      <c r="V16" s="47"/>
      <c r="W16" s="47"/>
      <c r="X16" s="47"/>
      <c r="Y16" s="47"/>
      <c r="Z16" s="47"/>
    </row>
    <row r="17" ht="15.0" customHeight="1">
      <c r="A17" s="290">
        <f>IF(C17="","",13)</f>
        <v>13</v>
      </c>
      <c r="B17" s="122" t="str">
        <f>IF('2_Data_Pelanggan'!D17="","",'2_Data_Pelanggan'!B17)</f>
        <v>ARM-0013</v>
      </c>
      <c r="C17" s="291" t="str">
        <f>IF('2_Data_Pelanggan'!D17="","",'2_Data_Pelanggan'!D17)</f>
        <v>NURAISYIAH HARAHAP</v>
      </c>
      <c r="D17" s="279">
        <f>IF('2_Data_Pelanggan'!D17="","",'2_Data_Pelanggan'!M17)</f>
        <v>20</v>
      </c>
      <c r="E17" s="292">
        <f>IF('2_Data_Pelanggan'!D17="","",'2_Data_Pelanggan'!N17)</f>
        <v>115000</v>
      </c>
      <c r="F17" s="293" t="s">
        <v>1605</v>
      </c>
      <c r="G17" s="293" t="s">
        <v>1605</v>
      </c>
      <c r="H17" s="293" t="s">
        <v>1605</v>
      </c>
      <c r="I17" s="293" t="s">
        <v>1605</v>
      </c>
      <c r="J17" s="299">
        <v>125000.0</v>
      </c>
      <c r="K17" s="299">
        <v>115000.0</v>
      </c>
      <c r="L17" s="299">
        <v>116108.0</v>
      </c>
      <c r="M17" s="299">
        <v>116108.0</v>
      </c>
      <c r="N17" s="299">
        <v>116108.0</v>
      </c>
      <c r="O17" s="299">
        <v>116108.0</v>
      </c>
      <c r="P17" s="299">
        <v>116108.0</v>
      </c>
      <c r="Q17" s="299">
        <v>116108.0</v>
      </c>
      <c r="R17" s="294">
        <f t="shared" si="1"/>
        <v>936648</v>
      </c>
      <c r="S17" s="47"/>
      <c r="T17" s="47"/>
      <c r="U17" s="47"/>
      <c r="V17" s="47"/>
      <c r="W17" s="47"/>
      <c r="X17" s="47"/>
      <c r="Y17" s="47"/>
      <c r="Z17" s="47"/>
    </row>
    <row r="18" ht="15.0" customHeight="1">
      <c r="A18" s="295">
        <f>IF(C18="","",14)</f>
        <v>14</v>
      </c>
      <c r="B18" s="117" t="str">
        <f>IF('2_Data_Pelanggan'!D18="","",'2_Data_Pelanggan'!B18)</f>
        <v>ARM-0014</v>
      </c>
      <c r="C18" s="296" t="str">
        <f>IF('2_Data_Pelanggan'!D18="","",'2_Data_Pelanggan'!D18)</f>
        <v>DIARJO</v>
      </c>
      <c r="D18" s="282">
        <f>IF('2_Data_Pelanggan'!D18="","",'2_Data_Pelanggan'!M18)</f>
        <v>20</v>
      </c>
      <c r="E18" s="292">
        <f>IF('2_Data_Pelanggan'!D18="","",'2_Data_Pelanggan'!N18)</f>
        <v>115000</v>
      </c>
      <c r="F18" s="297" t="s">
        <v>1605</v>
      </c>
      <c r="G18" s="297" t="s">
        <v>1605</v>
      </c>
      <c r="H18" s="297" t="s">
        <v>1605</v>
      </c>
      <c r="I18" s="297" t="s">
        <v>1605</v>
      </c>
      <c r="J18" s="300">
        <v>125000.0</v>
      </c>
      <c r="K18" s="300">
        <v>115000.0</v>
      </c>
      <c r="L18" s="300">
        <v>115000.0</v>
      </c>
      <c r="M18" s="300">
        <v>116109.0</v>
      </c>
      <c r="N18" s="300">
        <v>116109.0</v>
      </c>
      <c r="O18" s="300">
        <v>116109.0</v>
      </c>
      <c r="P18" s="300">
        <v>116109.0</v>
      </c>
      <c r="Q18" s="300">
        <v>116109.0</v>
      </c>
      <c r="R18" s="298">
        <f t="shared" si="1"/>
        <v>935545</v>
      </c>
      <c r="S18" s="47"/>
      <c r="T18" s="47"/>
      <c r="U18" s="47"/>
      <c r="V18" s="47"/>
      <c r="W18" s="47"/>
      <c r="X18" s="47"/>
      <c r="Y18" s="47"/>
      <c r="Z18" s="47"/>
    </row>
    <row r="19" ht="15.0" customHeight="1">
      <c r="A19" s="290">
        <f>IF(C19="","",15)</f>
        <v>15</v>
      </c>
      <c r="B19" s="122" t="str">
        <f>IF('2_Data_Pelanggan'!D19="","",'2_Data_Pelanggan'!B19)</f>
        <v>ARM-0015</v>
      </c>
      <c r="C19" s="291" t="str">
        <f>IF('2_Data_Pelanggan'!D19="","",'2_Data_Pelanggan'!D19)</f>
        <v>DARIKEM</v>
      </c>
      <c r="D19" s="279">
        <f>IF('2_Data_Pelanggan'!D19="","",'2_Data_Pelanggan'!M19)</f>
        <v>20</v>
      </c>
      <c r="E19" s="292">
        <f>IF('2_Data_Pelanggan'!D19="","",'2_Data_Pelanggan'!N19)</f>
        <v>115000</v>
      </c>
      <c r="F19" s="293" t="s">
        <v>1605</v>
      </c>
      <c r="G19" s="293" t="s">
        <v>1605</v>
      </c>
      <c r="H19" s="293" t="s">
        <v>1605</v>
      </c>
      <c r="I19" s="293" t="s">
        <v>1605</v>
      </c>
      <c r="J19" s="299">
        <v>125000.0</v>
      </c>
      <c r="K19" s="299">
        <v>115000.0</v>
      </c>
      <c r="L19" s="299">
        <v>116110.0</v>
      </c>
      <c r="M19" s="299">
        <v>116110.0</v>
      </c>
      <c r="N19" s="299">
        <v>116110.0</v>
      </c>
      <c r="O19" s="299">
        <v>116110.0</v>
      </c>
      <c r="P19" s="299">
        <v>116110.0</v>
      </c>
      <c r="Q19" s="299">
        <v>116110.0</v>
      </c>
      <c r="R19" s="294">
        <f t="shared" si="1"/>
        <v>936660</v>
      </c>
      <c r="S19" s="47"/>
      <c r="T19" s="47"/>
      <c r="U19" s="47"/>
      <c r="V19" s="47"/>
      <c r="W19" s="47"/>
      <c r="X19" s="47"/>
      <c r="Y19" s="47"/>
      <c r="Z19" s="47"/>
    </row>
    <row r="20" ht="15.0" customHeight="1">
      <c r="A20" s="295">
        <f>IF(C20="","",16)</f>
        <v>16</v>
      </c>
      <c r="B20" s="117" t="str">
        <f>IF('2_Data_Pelanggan'!D20="","",'2_Data_Pelanggan'!B20)</f>
        <v>ARM-0016</v>
      </c>
      <c r="C20" s="296" t="str">
        <f>IF('2_Data_Pelanggan'!D20="","",'2_Data_Pelanggan'!D20)</f>
        <v>SUSONO</v>
      </c>
      <c r="D20" s="282">
        <f>IF('2_Data_Pelanggan'!D20="","",'2_Data_Pelanggan'!M20)</f>
        <v>20</v>
      </c>
      <c r="E20" s="292">
        <f>IF('2_Data_Pelanggan'!D20="","",'2_Data_Pelanggan'!N20)</f>
        <v>115000</v>
      </c>
      <c r="F20" s="297" t="s">
        <v>1605</v>
      </c>
      <c r="G20" s="297" t="s">
        <v>1605</v>
      </c>
      <c r="H20" s="297" t="s">
        <v>1605</v>
      </c>
      <c r="I20" s="297" t="s">
        <v>1605</v>
      </c>
      <c r="J20" s="300">
        <v>116111.0</v>
      </c>
      <c r="K20" s="300">
        <v>115000.0</v>
      </c>
      <c r="L20" s="300">
        <v>116111.0</v>
      </c>
      <c r="M20" s="300">
        <v>116111.0</v>
      </c>
      <c r="N20" s="300">
        <v>116111.0</v>
      </c>
      <c r="O20" s="300">
        <v>116111.0</v>
      </c>
      <c r="P20" s="300">
        <v>116111.0</v>
      </c>
      <c r="Q20" s="300">
        <v>115000.0</v>
      </c>
      <c r="R20" s="298">
        <f t="shared" si="1"/>
        <v>926666</v>
      </c>
      <c r="S20" s="47"/>
      <c r="T20" s="47"/>
      <c r="U20" s="47"/>
      <c r="V20" s="47"/>
      <c r="W20" s="47"/>
      <c r="X20" s="47"/>
      <c r="Y20" s="47"/>
      <c r="Z20" s="47"/>
    </row>
    <row r="21" ht="15.0" customHeight="1">
      <c r="A21" s="290">
        <f>IF(C21="","",17)</f>
        <v>17</v>
      </c>
      <c r="B21" s="122" t="str">
        <f>IF('2_Data_Pelanggan'!D21="","",'2_Data_Pelanggan'!B21)</f>
        <v>ARM-0017</v>
      </c>
      <c r="C21" s="291" t="str">
        <f>IF('2_Data_Pelanggan'!D21="","",'2_Data_Pelanggan'!D21)</f>
        <v>RATIMAH</v>
      </c>
      <c r="D21" s="279">
        <f>IF('2_Data_Pelanggan'!D21="","",'2_Data_Pelanggan'!M21)</f>
        <v>20</v>
      </c>
      <c r="E21" s="292">
        <f>IF('2_Data_Pelanggan'!D21="","",'2_Data_Pelanggan'!N21)</f>
        <v>115000</v>
      </c>
      <c r="F21" s="293" t="s">
        <v>1605</v>
      </c>
      <c r="G21" s="293" t="s">
        <v>1605</v>
      </c>
      <c r="H21" s="293" t="s">
        <v>1605</v>
      </c>
      <c r="I21" s="293" t="s">
        <v>1605</v>
      </c>
      <c r="J21" s="299">
        <v>125000.0</v>
      </c>
      <c r="K21" s="299">
        <v>115000.0</v>
      </c>
      <c r="L21" s="299">
        <v>116112.0</v>
      </c>
      <c r="M21" s="299">
        <v>116112.0</v>
      </c>
      <c r="N21" s="299">
        <v>116112.0</v>
      </c>
      <c r="O21" s="299">
        <v>116112.0</v>
      </c>
      <c r="P21" s="299">
        <v>116112.0</v>
      </c>
      <c r="Q21" s="299">
        <v>116112.0</v>
      </c>
      <c r="R21" s="294">
        <f t="shared" si="1"/>
        <v>936672</v>
      </c>
      <c r="S21" s="47"/>
      <c r="T21" s="47"/>
      <c r="U21" s="47"/>
      <c r="V21" s="47"/>
      <c r="W21" s="47"/>
      <c r="X21" s="47"/>
      <c r="Y21" s="47"/>
      <c r="Z21" s="47"/>
    </row>
    <row r="22" ht="15.0" customHeight="1">
      <c r="A22" s="295">
        <f>IF(C22="","",18)</f>
        <v>18</v>
      </c>
      <c r="B22" s="117" t="str">
        <f>IF('2_Data_Pelanggan'!D22="","",'2_Data_Pelanggan'!B22)</f>
        <v>ARM-0018</v>
      </c>
      <c r="C22" s="296" t="str">
        <f>IF('2_Data_Pelanggan'!D22="","",'2_Data_Pelanggan'!D22)</f>
        <v>KHADIS WAHYONO</v>
      </c>
      <c r="D22" s="282">
        <f>IF('2_Data_Pelanggan'!D22="","",'2_Data_Pelanggan'!M22)</f>
        <v>20</v>
      </c>
      <c r="E22" s="292">
        <f>IF('2_Data_Pelanggan'!D22="","",'2_Data_Pelanggan'!N22)</f>
        <v>115000</v>
      </c>
      <c r="F22" s="297" t="s">
        <v>1605</v>
      </c>
      <c r="G22" s="297" t="s">
        <v>1605</v>
      </c>
      <c r="H22" s="297" t="s">
        <v>1605</v>
      </c>
      <c r="I22" s="297" t="s">
        <v>1605</v>
      </c>
      <c r="J22" s="300">
        <v>116113.0</v>
      </c>
      <c r="K22" s="300">
        <v>116113.0</v>
      </c>
      <c r="L22" s="300">
        <v>116113.0</v>
      </c>
      <c r="M22" s="300">
        <v>116113.0</v>
      </c>
      <c r="N22" s="300">
        <v>116113.0</v>
      </c>
      <c r="O22" s="300">
        <v>116113.0</v>
      </c>
      <c r="P22" s="300">
        <v>116113.0</v>
      </c>
      <c r="Q22" s="300">
        <v>116113.0</v>
      </c>
      <c r="R22" s="298">
        <f t="shared" si="1"/>
        <v>928904</v>
      </c>
      <c r="S22" s="47"/>
      <c r="T22" s="47"/>
      <c r="U22" s="47"/>
      <c r="V22" s="47"/>
      <c r="W22" s="47"/>
      <c r="X22" s="47"/>
      <c r="Y22" s="47"/>
      <c r="Z22" s="47"/>
    </row>
    <row r="23" ht="15.0" customHeight="1">
      <c r="A23" s="290">
        <f>IF(C23="","",19)</f>
        <v>19</v>
      </c>
      <c r="B23" s="122" t="str">
        <f>IF('2_Data_Pelanggan'!D23="","",'2_Data_Pelanggan'!B23)</f>
        <v>ARM-0019</v>
      </c>
      <c r="C23" s="291" t="str">
        <f>IF('2_Data_Pelanggan'!D23="","",'2_Data_Pelanggan'!D23)</f>
        <v>HERIYADI</v>
      </c>
      <c r="D23" s="279">
        <f>IF('2_Data_Pelanggan'!D23="","",'2_Data_Pelanggan'!M23)</f>
        <v>20</v>
      </c>
      <c r="E23" s="292">
        <f>IF('2_Data_Pelanggan'!D23="","",'2_Data_Pelanggan'!N23)</f>
        <v>115000</v>
      </c>
      <c r="F23" s="293" t="s">
        <v>1605</v>
      </c>
      <c r="G23" s="293" t="s">
        <v>1605</v>
      </c>
      <c r="H23" s="293" t="s">
        <v>1605</v>
      </c>
      <c r="I23" s="293" t="s">
        <v>1605</v>
      </c>
      <c r="J23" s="299">
        <v>125000.0</v>
      </c>
      <c r="K23" s="299">
        <v>125000.0</v>
      </c>
      <c r="L23" s="299">
        <v>116114.0</v>
      </c>
      <c r="M23" s="299">
        <v>116114.0</v>
      </c>
      <c r="N23" s="299">
        <v>116114.0</v>
      </c>
      <c r="O23" s="299">
        <v>116114.0</v>
      </c>
      <c r="P23" s="299">
        <v>116114.0</v>
      </c>
      <c r="Q23" s="299">
        <v>116114.0</v>
      </c>
      <c r="R23" s="294">
        <f t="shared" si="1"/>
        <v>946684</v>
      </c>
      <c r="S23" s="47"/>
      <c r="T23" s="47"/>
      <c r="U23" s="47"/>
      <c r="V23" s="47"/>
      <c r="W23" s="47"/>
      <c r="X23" s="47"/>
      <c r="Y23" s="47"/>
      <c r="Z23" s="47"/>
    </row>
    <row r="24" ht="15.0" customHeight="1">
      <c r="A24" s="295">
        <f>IF(C24="","",20)</f>
        <v>20</v>
      </c>
      <c r="B24" s="117" t="str">
        <f>IF('2_Data_Pelanggan'!D24="","",'2_Data_Pelanggan'!B24)</f>
        <v>ARM-0020</v>
      </c>
      <c r="C24" s="296" t="str">
        <f>IF('2_Data_Pelanggan'!D24="","",'2_Data_Pelanggan'!D24)</f>
        <v>DARYANTI</v>
      </c>
      <c r="D24" s="282">
        <f>IF('2_Data_Pelanggan'!D24="","",'2_Data_Pelanggan'!M24)</f>
        <v>20</v>
      </c>
      <c r="E24" s="292">
        <f>IF('2_Data_Pelanggan'!D24="","",'2_Data_Pelanggan'!N24)</f>
        <v>115000</v>
      </c>
      <c r="F24" s="297" t="s">
        <v>1605</v>
      </c>
      <c r="G24" s="297" t="s">
        <v>1605</v>
      </c>
      <c r="H24" s="297" t="s">
        <v>1605</v>
      </c>
      <c r="I24" s="297" t="s">
        <v>1605</v>
      </c>
      <c r="J24" s="300">
        <v>125000.0</v>
      </c>
      <c r="K24" s="300">
        <v>115000.0</v>
      </c>
      <c r="L24" s="300">
        <v>116115.0</v>
      </c>
      <c r="M24" s="300">
        <v>116115.0</v>
      </c>
      <c r="N24" s="300">
        <v>116115.0</v>
      </c>
      <c r="O24" s="300">
        <v>116115.0</v>
      </c>
      <c r="P24" s="300">
        <v>116115.0</v>
      </c>
      <c r="Q24" s="300">
        <v>116115.0</v>
      </c>
      <c r="R24" s="298">
        <f t="shared" si="1"/>
        <v>936690</v>
      </c>
      <c r="S24" s="47"/>
      <c r="T24" s="47"/>
      <c r="U24" s="47"/>
      <c r="V24" s="47"/>
      <c r="W24" s="47"/>
      <c r="X24" s="47"/>
      <c r="Y24" s="47"/>
      <c r="Z24" s="47"/>
    </row>
    <row r="25" ht="15.0" customHeight="1">
      <c r="A25" s="290">
        <f>IF(C25="","",21)</f>
        <v>21</v>
      </c>
      <c r="B25" s="122" t="str">
        <f>IF('2_Data_Pelanggan'!D25="","",'2_Data_Pelanggan'!B25)</f>
        <v>ARM-0021</v>
      </c>
      <c r="C25" s="291" t="str">
        <f>IF('2_Data_Pelanggan'!D25="","",'2_Data_Pelanggan'!D25)</f>
        <v>RUJININGSIH</v>
      </c>
      <c r="D25" s="279">
        <f>IF('2_Data_Pelanggan'!D25="","",'2_Data_Pelanggan'!M25)</f>
        <v>50</v>
      </c>
      <c r="E25" s="292">
        <f>IF('2_Data_Pelanggan'!D25="","",'2_Data_Pelanggan'!N25)</f>
        <v>182000</v>
      </c>
      <c r="F25" s="293" t="s">
        <v>1605</v>
      </c>
      <c r="G25" s="293" t="s">
        <v>1605</v>
      </c>
      <c r="H25" s="293" t="s">
        <v>1605</v>
      </c>
      <c r="I25" s="293" t="s">
        <v>1605</v>
      </c>
      <c r="J25" s="299">
        <v>183100.0</v>
      </c>
      <c r="K25" s="299">
        <v>210000.0</v>
      </c>
      <c r="L25" s="299">
        <v>183100.0</v>
      </c>
      <c r="M25" s="299">
        <v>183100.0</v>
      </c>
      <c r="N25" s="299">
        <v>183100.0</v>
      </c>
      <c r="O25" s="299">
        <v>183100.0</v>
      </c>
      <c r="P25" s="299">
        <v>183100.0</v>
      </c>
      <c r="Q25" s="299">
        <v>183100.0</v>
      </c>
      <c r="R25" s="294">
        <f t="shared" si="1"/>
        <v>1491700</v>
      </c>
      <c r="S25" s="47"/>
      <c r="T25" s="47"/>
      <c r="U25" s="47"/>
      <c r="V25" s="47"/>
      <c r="W25" s="47"/>
      <c r="X25" s="47"/>
      <c r="Y25" s="47"/>
      <c r="Z25" s="47"/>
    </row>
    <row r="26" ht="15.0" customHeight="1">
      <c r="A26" s="295">
        <f>IF(C26="","",22)</f>
        <v>22</v>
      </c>
      <c r="B26" s="117" t="str">
        <f>IF('2_Data_Pelanggan'!D26="","",'2_Data_Pelanggan'!B26)</f>
        <v>ARM-0022</v>
      </c>
      <c r="C26" s="296" t="str">
        <f>IF('2_Data_Pelanggan'!D26="","",'2_Data_Pelanggan'!D26)</f>
        <v>RAGIL NONO DARSONO</v>
      </c>
      <c r="D26" s="282">
        <f>IF('2_Data_Pelanggan'!D26="","",'2_Data_Pelanggan'!M26)</f>
        <v>20</v>
      </c>
      <c r="E26" s="292">
        <f>IF('2_Data_Pelanggan'!D26="","",'2_Data_Pelanggan'!N26)</f>
        <v>115000</v>
      </c>
      <c r="F26" s="297" t="s">
        <v>1605</v>
      </c>
      <c r="G26" s="297" t="s">
        <v>1605</v>
      </c>
      <c r="H26" s="297" t="s">
        <v>1605</v>
      </c>
      <c r="I26" s="297" t="s">
        <v>1605</v>
      </c>
      <c r="J26" s="300">
        <v>116116.0</v>
      </c>
      <c r="K26" s="300">
        <v>115000.0</v>
      </c>
      <c r="L26" s="300">
        <v>116116.0</v>
      </c>
      <c r="M26" s="300">
        <v>116116.0</v>
      </c>
      <c r="N26" s="300">
        <v>116116.0</v>
      </c>
      <c r="O26" s="300">
        <v>116116.0</v>
      </c>
      <c r="P26" s="300">
        <v>115000.0</v>
      </c>
      <c r="Q26" s="300">
        <v>115000.0</v>
      </c>
      <c r="R26" s="298">
        <f t="shared" si="1"/>
        <v>925580</v>
      </c>
      <c r="S26" s="47"/>
      <c r="T26" s="47"/>
      <c r="U26" s="47"/>
      <c r="V26" s="47"/>
      <c r="W26" s="47"/>
      <c r="X26" s="47"/>
      <c r="Y26" s="47"/>
      <c r="Z26" s="47"/>
    </row>
    <row r="27" ht="15.0" customHeight="1">
      <c r="A27" s="290">
        <f>IF(C27="","",23)</f>
        <v>23</v>
      </c>
      <c r="B27" s="122" t="str">
        <f>IF('2_Data_Pelanggan'!D27="","",'2_Data_Pelanggan'!B27)</f>
        <v>ARM-0023</v>
      </c>
      <c r="C27" s="291" t="str">
        <f>IF('2_Data_Pelanggan'!D27="","",'2_Data_Pelanggan'!D27)</f>
        <v>DESTI DWI HARIYANTO</v>
      </c>
      <c r="D27" s="279">
        <f>IF('2_Data_Pelanggan'!D27="","",'2_Data_Pelanggan'!M27)</f>
        <v>20</v>
      </c>
      <c r="E27" s="292">
        <f>IF('2_Data_Pelanggan'!D27="","",'2_Data_Pelanggan'!N27)</f>
        <v>115000</v>
      </c>
      <c r="F27" s="293" t="s">
        <v>1605</v>
      </c>
      <c r="G27" s="293" t="s">
        <v>1605</v>
      </c>
      <c r="H27" s="293" t="s">
        <v>1605</v>
      </c>
      <c r="I27" s="293" t="s">
        <v>1605</v>
      </c>
      <c r="J27" s="299">
        <v>125000.0</v>
      </c>
      <c r="K27" s="299">
        <v>125000.0</v>
      </c>
      <c r="L27" s="299">
        <v>116117.0</v>
      </c>
      <c r="M27" s="299">
        <v>116117.0</v>
      </c>
      <c r="N27" s="299">
        <v>116117.0</v>
      </c>
      <c r="O27" s="299">
        <v>116117.0</v>
      </c>
      <c r="P27" s="299">
        <v>116117.0</v>
      </c>
      <c r="Q27" s="299">
        <v>116117.0</v>
      </c>
      <c r="R27" s="294">
        <f t="shared" si="1"/>
        <v>946702</v>
      </c>
      <c r="S27" s="47"/>
      <c r="T27" s="47"/>
      <c r="U27" s="47"/>
      <c r="V27" s="47"/>
      <c r="W27" s="47"/>
      <c r="X27" s="47"/>
      <c r="Y27" s="47"/>
      <c r="Z27" s="47"/>
    </row>
    <row r="28" ht="15.0" customHeight="1">
      <c r="A28" s="295">
        <f>IF(C28="","",24)</f>
        <v>24</v>
      </c>
      <c r="B28" s="117" t="str">
        <f>IF('2_Data_Pelanggan'!D28="","",'2_Data_Pelanggan'!B28)</f>
        <v>ARM-0024</v>
      </c>
      <c r="C28" s="296" t="str">
        <f>IF('2_Data_Pelanggan'!D28="","",'2_Data_Pelanggan'!D28)</f>
        <v>MAKIR</v>
      </c>
      <c r="D28" s="282">
        <f>IF('2_Data_Pelanggan'!D28="","",'2_Data_Pelanggan'!M28)</f>
        <v>20</v>
      </c>
      <c r="E28" s="292">
        <f>IF('2_Data_Pelanggan'!D28="","",'2_Data_Pelanggan'!N28)</f>
        <v>115000</v>
      </c>
      <c r="F28" s="297" t="s">
        <v>1605</v>
      </c>
      <c r="G28" s="297" t="s">
        <v>1605</v>
      </c>
      <c r="H28" s="297" t="s">
        <v>1605</v>
      </c>
      <c r="I28" s="297" t="s">
        <v>1605</v>
      </c>
      <c r="J28" s="300">
        <v>116118.0</v>
      </c>
      <c r="K28" s="300">
        <v>115000.0</v>
      </c>
      <c r="L28" s="300">
        <v>116118.0</v>
      </c>
      <c r="M28" s="300">
        <v>116118.0</v>
      </c>
      <c r="N28" s="300">
        <v>116118.0</v>
      </c>
      <c r="O28" s="300">
        <v>116118.0</v>
      </c>
      <c r="P28" s="300">
        <v>116118.0</v>
      </c>
      <c r="Q28" s="300">
        <v>116118.0</v>
      </c>
      <c r="R28" s="298">
        <f t="shared" si="1"/>
        <v>927826</v>
      </c>
      <c r="S28" s="47"/>
      <c r="T28" s="47"/>
      <c r="U28" s="47"/>
      <c r="V28" s="47"/>
      <c r="W28" s="47"/>
      <c r="X28" s="47"/>
      <c r="Y28" s="47"/>
      <c r="Z28" s="47"/>
    </row>
    <row r="29" ht="15.0" customHeight="1">
      <c r="A29" s="290">
        <f>IF(C29="","",25)</f>
        <v>25</v>
      </c>
      <c r="B29" s="122" t="str">
        <f>IF('2_Data_Pelanggan'!D29="","",'2_Data_Pelanggan'!B29)</f>
        <v>ARM-0025</v>
      </c>
      <c r="C29" s="291" t="str">
        <f>IF('2_Data_Pelanggan'!D29="","",'2_Data_Pelanggan'!D29)</f>
        <v>RUDI</v>
      </c>
      <c r="D29" s="279">
        <f>IF('2_Data_Pelanggan'!D29="","",'2_Data_Pelanggan'!M29)</f>
        <v>20</v>
      </c>
      <c r="E29" s="292">
        <f>IF('2_Data_Pelanggan'!D29="","",'2_Data_Pelanggan'!N29)</f>
        <v>115000</v>
      </c>
      <c r="F29" s="293" t="s">
        <v>1605</v>
      </c>
      <c r="G29" s="293" t="s">
        <v>1605</v>
      </c>
      <c r="H29" s="293" t="s">
        <v>1605</v>
      </c>
      <c r="I29" s="293" t="s">
        <v>1605</v>
      </c>
      <c r="J29" s="299">
        <v>125000.0</v>
      </c>
      <c r="K29" s="299">
        <v>115000.0</v>
      </c>
      <c r="L29" s="299">
        <v>116119.0</v>
      </c>
      <c r="M29" s="299">
        <v>116119.0</v>
      </c>
      <c r="N29" s="299">
        <v>116119.0</v>
      </c>
      <c r="O29" s="299">
        <v>116119.0</v>
      </c>
      <c r="P29" s="299">
        <v>116119.0</v>
      </c>
      <c r="Q29" s="299">
        <v>116119.0</v>
      </c>
      <c r="R29" s="294">
        <f t="shared" si="1"/>
        <v>936714</v>
      </c>
      <c r="S29" s="47"/>
      <c r="T29" s="47"/>
      <c r="U29" s="47"/>
      <c r="V29" s="47"/>
      <c r="W29" s="47"/>
      <c r="X29" s="47"/>
      <c r="Y29" s="47"/>
      <c r="Z29" s="47"/>
    </row>
    <row r="30" ht="15.0" customHeight="1">
      <c r="A30" s="295">
        <f>IF(C30="","",26)</f>
        <v>26</v>
      </c>
      <c r="B30" s="117" t="str">
        <f>IF('2_Data_Pelanggan'!D30="","",'2_Data_Pelanggan'!B30)</f>
        <v>ARM-0026</v>
      </c>
      <c r="C30" s="296" t="str">
        <f>IF('2_Data_Pelanggan'!D30="","",'2_Data_Pelanggan'!D30)</f>
        <v>KIRWONO</v>
      </c>
      <c r="D30" s="282">
        <f>IF('2_Data_Pelanggan'!D30="","",'2_Data_Pelanggan'!M30)</f>
        <v>20</v>
      </c>
      <c r="E30" s="292">
        <f>IF('2_Data_Pelanggan'!D30="","",'2_Data_Pelanggan'!N30)</f>
        <v>115000</v>
      </c>
      <c r="F30" s="297" t="s">
        <v>1605</v>
      </c>
      <c r="G30" s="297" t="s">
        <v>1605</v>
      </c>
      <c r="H30" s="297" t="s">
        <v>1605</v>
      </c>
      <c r="I30" s="297" t="s">
        <v>1605</v>
      </c>
      <c r="J30" s="300">
        <v>125000.0</v>
      </c>
      <c r="K30" s="300">
        <v>115000.0</v>
      </c>
      <c r="L30" s="300">
        <v>116120.0</v>
      </c>
      <c r="M30" s="300">
        <v>116120.0</v>
      </c>
      <c r="N30" s="300">
        <v>116120.0</v>
      </c>
      <c r="O30" s="300">
        <v>116120.0</v>
      </c>
      <c r="P30" s="300">
        <v>116120.0</v>
      </c>
      <c r="Q30" s="300">
        <v>116120.0</v>
      </c>
      <c r="R30" s="298">
        <f t="shared" si="1"/>
        <v>936720</v>
      </c>
      <c r="S30" s="47"/>
      <c r="T30" s="47"/>
      <c r="U30" s="47"/>
      <c r="V30" s="47"/>
      <c r="W30" s="47"/>
      <c r="X30" s="47"/>
      <c r="Y30" s="47"/>
      <c r="Z30" s="47"/>
    </row>
    <row r="31" ht="15.0" customHeight="1">
      <c r="A31" s="290">
        <f>IF(C31="","",27)</f>
        <v>27</v>
      </c>
      <c r="B31" s="122" t="str">
        <f>IF('2_Data_Pelanggan'!D31="","",'2_Data_Pelanggan'!B31)</f>
        <v>ARM-0027</v>
      </c>
      <c r="C31" s="291" t="str">
        <f>IF('2_Data_Pelanggan'!D31="","",'2_Data_Pelanggan'!D31)</f>
        <v>SUHARDONO</v>
      </c>
      <c r="D31" s="279">
        <f>IF('2_Data_Pelanggan'!D31="","",'2_Data_Pelanggan'!M31)</f>
        <v>30</v>
      </c>
      <c r="E31" s="292">
        <f>IF('2_Data_Pelanggan'!D31="","",'2_Data_Pelanggan'!N31)</f>
        <v>142000</v>
      </c>
      <c r="F31" s="293" t="s">
        <v>1605</v>
      </c>
      <c r="G31" s="293" t="s">
        <v>1605</v>
      </c>
      <c r="H31" s="293" t="s">
        <v>1605</v>
      </c>
      <c r="I31" s="293" t="s">
        <v>1605</v>
      </c>
      <c r="J31" s="299">
        <v>165000.0</v>
      </c>
      <c r="K31" s="299">
        <v>143102.0</v>
      </c>
      <c r="L31" s="299">
        <v>143102.0</v>
      </c>
      <c r="M31" s="299">
        <v>143102.0</v>
      </c>
      <c r="N31" s="299">
        <v>143102.0</v>
      </c>
      <c r="O31" s="299">
        <v>143102.0</v>
      </c>
      <c r="P31" s="299">
        <v>143102.0</v>
      </c>
      <c r="Q31" s="299">
        <v>143102.0</v>
      </c>
      <c r="R31" s="294">
        <f t="shared" si="1"/>
        <v>1166714</v>
      </c>
      <c r="S31" s="47"/>
      <c r="T31" s="47"/>
      <c r="U31" s="47"/>
      <c r="V31" s="47"/>
      <c r="W31" s="47"/>
      <c r="X31" s="47"/>
      <c r="Y31" s="47"/>
      <c r="Z31" s="47"/>
    </row>
    <row r="32" ht="15.0" customHeight="1">
      <c r="A32" s="295">
        <f>IF(C32="","",28)</f>
        <v>28</v>
      </c>
      <c r="B32" s="117" t="str">
        <f>IF('2_Data_Pelanggan'!D32="","",'2_Data_Pelanggan'!B32)</f>
        <v>ARM-0028</v>
      </c>
      <c r="C32" s="296" t="str">
        <f>IF('2_Data_Pelanggan'!D32="","",'2_Data_Pelanggan'!D32)</f>
        <v>KISLAM</v>
      </c>
      <c r="D32" s="282">
        <f>IF('2_Data_Pelanggan'!D32="","",'2_Data_Pelanggan'!M32)</f>
        <v>20</v>
      </c>
      <c r="E32" s="292">
        <f>IF('2_Data_Pelanggan'!D32="","",'2_Data_Pelanggan'!N32)</f>
        <v>115000</v>
      </c>
      <c r="F32" s="297" t="s">
        <v>1605</v>
      </c>
      <c r="G32" s="297" t="s">
        <v>1605</v>
      </c>
      <c r="H32" s="297" t="s">
        <v>1605</v>
      </c>
      <c r="I32" s="297" t="s">
        <v>1605</v>
      </c>
      <c r="J32" s="300">
        <v>125000.0</v>
      </c>
      <c r="K32" s="300">
        <v>125000.0</v>
      </c>
      <c r="L32" s="300">
        <v>125000.0</v>
      </c>
      <c r="M32" s="300">
        <v>116122.0</v>
      </c>
      <c r="N32" s="300">
        <v>116122.0</v>
      </c>
      <c r="O32" s="300">
        <v>116122.0</v>
      </c>
      <c r="P32" s="300">
        <v>116122.0</v>
      </c>
      <c r="Q32" s="300">
        <v>116122.0</v>
      </c>
      <c r="R32" s="298">
        <f t="shared" si="1"/>
        <v>955610</v>
      </c>
      <c r="S32" s="47"/>
      <c r="T32" s="47"/>
      <c r="U32" s="47"/>
      <c r="V32" s="47"/>
      <c r="W32" s="47"/>
      <c r="X32" s="47"/>
      <c r="Y32" s="47"/>
      <c r="Z32" s="47"/>
    </row>
    <row r="33" ht="15.0" customHeight="1">
      <c r="A33" s="290">
        <f>IF(C33="","",29)</f>
        <v>29</v>
      </c>
      <c r="B33" s="122" t="str">
        <f>IF('2_Data_Pelanggan'!D33="","",'2_Data_Pelanggan'!B33)</f>
        <v>ARM-0029</v>
      </c>
      <c r="C33" s="291" t="str">
        <f>IF('2_Data_Pelanggan'!D33="","",'2_Data_Pelanggan'!D33)</f>
        <v>KUSWORO</v>
      </c>
      <c r="D33" s="279">
        <f>IF('2_Data_Pelanggan'!D33="","",'2_Data_Pelanggan'!M33)</f>
        <v>20</v>
      </c>
      <c r="E33" s="292">
        <f>IF('2_Data_Pelanggan'!D33="","",'2_Data_Pelanggan'!N33)</f>
        <v>115000</v>
      </c>
      <c r="F33" s="293" t="s">
        <v>1605</v>
      </c>
      <c r="G33" s="293" t="s">
        <v>1605</v>
      </c>
      <c r="H33" s="293" t="s">
        <v>1605</v>
      </c>
      <c r="I33" s="293" t="s">
        <v>1605</v>
      </c>
      <c r="J33" s="293" t="s">
        <v>1605</v>
      </c>
      <c r="K33" s="293" t="s">
        <v>1605</v>
      </c>
      <c r="L33" s="293" t="s">
        <v>1605</v>
      </c>
      <c r="M33" s="293" t="s">
        <v>1605</v>
      </c>
      <c r="N33" s="293" t="s">
        <v>1605</v>
      </c>
      <c r="O33" s="293" t="s">
        <v>1605</v>
      </c>
      <c r="P33" s="293" t="s">
        <v>1605</v>
      </c>
      <c r="Q33" s="293" t="s">
        <v>1605</v>
      </c>
      <c r="R33" s="294">
        <f t="shared" si="1"/>
        <v>0</v>
      </c>
      <c r="S33" s="47"/>
      <c r="T33" s="47"/>
      <c r="U33" s="47"/>
      <c r="V33" s="47"/>
      <c r="W33" s="47"/>
      <c r="X33" s="47"/>
      <c r="Y33" s="47"/>
      <c r="Z33" s="47"/>
    </row>
    <row r="34" ht="15.0" customHeight="1">
      <c r="A34" s="295">
        <f>IF(C34="","",30)</f>
        <v>30</v>
      </c>
      <c r="B34" s="117" t="str">
        <f>IF('2_Data_Pelanggan'!D34="","",'2_Data_Pelanggan'!B34)</f>
        <v>ARM-0030</v>
      </c>
      <c r="C34" s="296" t="str">
        <f>IF('2_Data_Pelanggan'!D34="","",'2_Data_Pelanggan'!D34)</f>
        <v>CARSUM</v>
      </c>
      <c r="D34" s="282">
        <f>IF('2_Data_Pelanggan'!D34="","",'2_Data_Pelanggan'!M34)</f>
        <v>20</v>
      </c>
      <c r="E34" s="292">
        <f>IF('2_Data_Pelanggan'!D34="","",'2_Data_Pelanggan'!N34)</f>
        <v>115000</v>
      </c>
      <c r="F34" s="297" t="s">
        <v>1605</v>
      </c>
      <c r="G34" s="297" t="s">
        <v>1605</v>
      </c>
      <c r="H34" s="297" t="s">
        <v>1605</v>
      </c>
      <c r="I34" s="297" t="s">
        <v>1605</v>
      </c>
      <c r="J34" s="300">
        <v>125000.0</v>
      </c>
      <c r="K34" s="300">
        <v>125000.0</v>
      </c>
      <c r="L34" s="300">
        <v>125000.0</v>
      </c>
      <c r="M34" s="300">
        <v>116123.0</v>
      </c>
      <c r="N34" s="300">
        <v>116123.0</v>
      </c>
      <c r="O34" s="300">
        <v>116123.0</v>
      </c>
      <c r="P34" s="300">
        <v>116123.0</v>
      </c>
      <c r="Q34" s="300">
        <v>116123.0</v>
      </c>
      <c r="R34" s="298">
        <f t="shared" si="1"/>
        <v>955615</v>
      </c>
      <c r="S34" s="47"/>
      <c r="T34" s="47"/>
      <c r="U34" s="47"/>
      <c r="V34" s="47"/>
      <c r="W34" s="47"/>
      <c r="X34" s="47"/>
      <c r="Y34" s="47"/>
      <c r="Z34" s="47"/>
    </row>
    <row r="35" ht="15.0" customHeight="1">
      <c r="A35" s="290">
        <f>IF(C35="","",31)</f>
        <v>31</v>
      </c>
      <c r="B35" s="122" t="str">
        <f>IF('2_Data_Pelanggan'!D35="","",'2_Data_Pelanggan'!B35)</f>
        <v>ARM-0031</v>
      </c>
      <c r="C35" s="291" t="str">
        <f>IF('2_Data_Pelanggan'!D35="","",'2_Data_Pelanggan'!D35)</f>
        <v>JONI SAPUTRA</v>
      </c>
      <c r="D35" s="279">
        <f>IF('2_Data_Pelanggan'!D35="","",'2_Data_Pelanggan'!M35)</f>
        <v>20</v>
      </c>
      <c r="E35" s="292">
        <f>IF('2_Data_Pelanggan'!D35="","",'2_Data_Pelanggan'!N35)</f>
        <v>115000</v>
      </c>
      <c r="F35" s="293" t="s">
        <v>1605</v>
      </c>
      <c r="G35" s="293" t="s">
        <v>1605</v>
      </c>
      <c r="H35" s="293" t="s">
        <v>1605</v>
      </c>
      <c r="I35" s="293" t="s">
        <v>1605</v>
      </c>
      <c r="J35" s="299">
        <v>125000.0</v>
      </c>
      <c r="K35" s="299">
        <v>115000.0</v>
      </c>
      <c r="L35" s="299">
        <v>116124.0</v>
      </c>
      <c r="M35" s="299">
        <v>116124.0</v>
      </c>
      <c r="N35" s="299">
        <v>116124.0</v>
      </c>
      <c r="O35" s="299">
        <v>116124.0</v>
      </c>
      <c r="P35" s="299">
        <v>116124.0</v>
      </c>
      <c r="Q35" s="299">
        <v>116124.0</v>
      </c>
      <c r="R35" s="294">
        <f t="shared" si="1"/>
        <v>936744</v>
      </c>
      <c r="S35" s="47"/>
      <c r="T35" s="47"/>
      <c r="U35" s="47"/>
      <c r="V35" s="47"/>
      <c r="W35" s="47"/>
      <c r="X35" s="47"/>
      <c r="Y35" s="47"/>
      <c r="Z35" s="47"/>
    </row>
    <row r="36" ht="15.0" customHeight="1">
      <c r="A36" s="295">
        <f>IF(C36="","",32)</f>
        <v>32</v>
      </c>
      <c r="B36" s="117" t="str">
        <f>IF('2_Data_Pelanggan'!D36="","",'2_Data_Pelanggan'!B36)</f>
        <v>ARM-0032</v>
      </c>
      <c r="C36" s="296" t="str">
        <f>IF('2_Data_Pelanggan'!D36="","",'2_Data_Pelanggan'!D36)</f>
        <v>P YUSUF</v>
      </c>
      <c r="D36" s="282">
        <f>IF('2_Data_Pelanggan'!D36="","",'2_Data_Pelanggan'!M36)</f>
        <v>30</v>
      </c>
      <c r="E36" s="292">
        <f>IF('2_Data_Pelanggan'!D36="","",'2_Data_Pelanggan'!N36)</f>
        <v>142000</v>
      </c>
      <c r="F36" s="297" t="s">
        <v>1605</v>
      </c>
      <c r="G36" s="297" t="s">
        <v>1605</v>
      </c>
      <c r="H36" s="297" t="s">
        <v>1605</v>
      </c>
      <c r="I36" s="297" t="s">
        <v>1605</v>
      </c>
      <c r="J36" s="300">
        <v>143103.0</v>
      </c>
      <c r="K36" s="300">
        <v>143103.0</v>
      </c>
      <c r="L36" s="300">
        <v>143103.0</v>
      </c>
      <c r="M36" s="300">
        <v>143103.0</v>
      </c>
      <c r="N36" s="300">
        <v>143103.0</v>
      </c>
      <c r="O36" s="300">
        <v>143103.0</v>
      </c>
      <c r="P36" s="300">
        <v>143103.0</v>
      </c>
      <c r="Q36" s="300">
        <v>143103.0</v>
      </c>
      <c r="R36" s="298">
        <f t="shared" si="1"/>
        <v>1144824</v>
      </c>
      <c r="S36" s="47"/>
      <c r="T36" s="47"/>
      <c r="U36" s="47"/>
      <c r="V36" s="47"/>
      <c r="W36" s="47"/>
      <c r="X36" s="47"/>
      <c r="Y36" s="47"/>
      <c r="Z36" s="47"/>
    </row>
    <row r="37" ht="15.0" customHeight="1">
      <c r="A37" s="290">
        <f>IF(C37="","",33)</f>
        <v>33</v>
      </c>
      <c r="B37" s="122" t="str">
        <f>IF('2_Data_Pelanggan'!D37="","",'2_Data_Pelanggan'!B37)</f>
        <v>ARM-0033</v>
      </c>
      <c r="C37" s="291" t="str">
        <f>IF('2_Data_Pelanggan'!D37="","",'2_Data_Pelanggan'!D37)</f>
        <v>SUSANTO</v>
      </c>
      <c r="D37" s="279">
        <f>IF('2_Data_Pelanggan'!D37="","",'2_Data_Pelanggan'!M37)</f>
        <v>20</v>
      </c>
      <c r="E37" s="292">
        <f>IF('2_Data_Pelanggan'!D37="","",'2_Data_Pelanggan'!N37)</f>
        <v>115000</v>
      </c>
      <c r="F37" s="293" t="s">
        <v>1605</v>
      </c>
      <c r="G37" s="293" t="s">
        <v>1605</v>
      </c>
      <c r="H37" s="293" t="s">
        <v>1605</v>
      </c>
      <c r="I37" s="293" t="s">
        <v>1605</v>
      </c>
      <c r="J37" s="299">
        <v>125000.0</v>
      </c>
      <c r="K37" s="299">
        <v>115000.0</v>
      </c>
      <c r="L37" s="299">
        <v>116125.0</v>
      </c>
      <c r="M37" s="299">
        <v>116125.0</v>
      </c>
      <c r="N37" s="299">
        <v>116125.0</v>
      </c>
      <c r="O37" s="299">
        <v>116125.0</v>
      </c>
      <c r="P37" s="299">
        <v>116125.0</v>
      </c>
      <c r="Q37" s="299">
        <v>116125.0</v>
      </c>
      <c r="R37" s="294">
        <f t="shared" si="1"/>
        <v>936750</v>
      </c>
      <c r="S37" s="47"/>
      <c r="T37" s="47"/>
      <c r="U37" s="47"/>
      <c r="V37" s="47"/>
      <c r="W37" s="47"/>
      <c r="X37" s="47"/>
      <c r="Y37" s="47"/>
      <c r="Z37" s="47"/>
    </row>
    <row r="38" ht="15.0" customHeight="1">
      <c r="A38" s="295">
        <f>IF(C38="","",34)</f>
        <v>34</v>
      </c>
      <c r="B38" s="117" t="str">
        <f>IF('2_Data_Pelanggan'!D38="","",'2_Data_Pelanggan'!B38)</f>
        <v>ARM-0034</v>
      </c>
      <c r="C38" s="296" t="str">
        <f>IF('2_Data_Pelanggan'!D38="","",'2_Data_Pelanggan'!D38)</f>
        <v>SRI MULYONO</v>
      </c>
      <c r="D38" s="282">
        <f>IF('2_Data_Pelanggan'!D38="","",'2_Data_Pelanggan'!M38)</f>
        <v>20</v>
      </c>
      <c r="E38" s="292">
        <f>IF('2_Data_Pelanggan'!D38="","",'2_Data_Pelanggan'!N38)</f>
        <v>115000</v>
      </c>
      <c r="F38" s="297" t="s">
        <v>1605</v>
      </c>
      <c r="G38" s="297" t="s">
        <v>1605</v>
      </c>
      <c r="H38" s="297" t="s">
        <v>1605</v>
      </c>
      <c r="I38" s="297" t="s">
        <v>1605</v>
      </c>
      <c r="J38" s="300">
        <v>125000.0</v>
      </c>
      <c r="K38" s="300">
        <v>115000.0</v>
      </c>
      <c r="L38" s="300">
        <v>116126.0</v>
      </c>
      <c r="M38" s="300">
        <v>116126.0</v>
      </c>
      <c r="N38" s="300">
        <v>116126.0</v>
      </c>
      <c r="O38" s="300">
        <v>116126.0</v>
      </c>
      <c r="P38" s="300">
        <v>116126.0</v>
      </c>
      <c r="Q38" s="300">
        <v>116126.0</v>
      </c>
      <c r="R38" s="298">
        <f t="shared" si="1"/>
        <v>936756</v>
      </c>
      <c r="S38" s="47"/>
      <c r="T38" s="47"/>
      <c r="U38" s="47"/>
      <c r="V38" s="47"/>
      <c r="W38" s="47"/>
      <c r="X38" s="47"/>
      <c r="Y38" s="47"/>
      <c r="Z38" s="47"/>
    </row>
    <row r="39" ht="15.0" customHeight="1">
      <c r="A39" s="290">
        <f>IF(C39="","",35)</f>
        <v>35</v>
      </c>
      <c r="B39" s="122" t="str">
        <f>IF('2_Data_Pelanggan'!D39="","",'2_Data_Pelanggan'!B39)</f>
        <v>ARM-0035</v>
      </c>
      <c r="C39" s="291" t="str">
        <f>IF('2_Data_Pelanggan'!D39="","",'2_Data_Pelanggan'!D39)</f>
        <v>SURIPTO/RIDHO</v>
      </c>
      <c r="D39" s="279">
        <f>IF('2_Data_Pelanggan'!D39="","",'2_Data_Pelanggan'!M39)</f>
        <v>20</v>
      </c>
      <c r="E39" s="292">
        <f>IF('2_Data_Pelanggan'!D39="","",'2_Data_Pelanggan'!N39)</f>
        <v>115000</v>
      </c>
      <c r="F39" s="293" t="s">
        <v>1605</v>
      </c>
      <c r="G39" s="293" t="s">
        <v>1605</v>
      </c>
      <c r="H39" s="293" t="s">
        <v>1605</v>
      </c>
      <c r="I39" s="293" t="s">
        <v>1605</v>
      </c>
      <c r="J39" s="299">
        <v>125000.0</v>
      </c>
      <c r="K39" s="299">
        <v>125000.0</v>
      </c>
      <c r="L39" s="299">
        <v>105000.0</v>
      </c>
      <c r="M39" s="299">
        <v>116127.0</v>
      </c>
      <c r="N39" s="299">
        <v>116127.0</v>
      </c>
      <c r="O39" s="299">
        <v>116127.0</v>
      </c>
      <c r="P39" s="299">
        <v>116127.0</v>
      </c>
      <c r="Q39" s="299">
        <v>116127.0</v>
      </c>
      <c r="R39" s="294">
        <f t="shared" si="1"/>
        <v>935635</v>
      </c>
      <c r="S39" s="47"/>
      <c r="T39" s="47"/>
      <c r="U39" s="47"/>
      <c r="V39" s="47"/>
      <c r="W39" s="47"/>
      <c r="X39" s="47"/>
      <c r="Y39" s="47"/>
      <c r="Z39" s="47"/>
    </row>
    <row r="40" ht="15.0" customHeight="1">
      <c r="A40" s="295">
        <f>IF(C40="","",36)</f>
        <v>36</v>
      </c>
      <c r="B40" s="117" t="str">
        <f>IF('2_Data_Pelanggan'!D40="","",'2_Data_Pelanggan'!B40)</f>
        <v>ARM-0036</v>
      </c>
      <c r="C40" s="296" t="str">
        <f>IF('2_Data_Pelanggan'!D40="","",'2_Data_Pelanggan'!D40)</f>
        <v>SUPRIYANTO</v>
      </c>
      <c r="D40" s="282">
        <f>IF('2_Data_Pelanggan'!D40="","",'2_Data_Pelanggan'!M40)</f>
        <v>20</v>
      </c>
      <c r="E40" s="292">
        <f>IF('2_Data_Pelanggan'!D40="","",'2_Data_Pelanggan'!N40)</f>
        <v>115000</v>
      </c>
      <c r="F40" s="297" t="s">
        <v>1605</v>
      </c>
      <c r="G40" s="297" t="s">
        <v>1605</v>
      </c>
      <c r="H40" s="297" t="s">
        <v>1605</v>
      </c>
      <c r="I40" s="297" t="s">
        <v>1605</v>
      </c>
      <c r="J40" s="300">
        <v>116128.0</v>
      </c>
      <c r="K40" s="300">
        <v>116128.0</v>
      </c>
      <c r="L40" s="300">
        <v>116128.0</v>
      </c>
      <c r="M40" s="300">
        <v>116128.0</v>
      </c>
      <c r="N40" s="300">
        <v>116128.0</v>
      </c>
      <c r="O40" s="300">
        <v>116128.0</v>
      </c>
      <c r="P40" s="300">
        <v>116128.0</v>
      </c>
      <c r="Q40" s="300">
        <v>116128.0</v>
      </c>
      <c r="R40" s="298">
        <f t="shared" si="1"/>
        <v>929024</v>
      </c>
      <c r="S40" s="47"/>
      <c r="T40" s="47"/>
      <c r="U40" s="47"/>
      <c r="V40" s="47"/>
      <c r="W40" s="47"/>
      <c r="X40" s="47"/>
      <c r="Y40" s="47"/>
      <c r="Z40" s="47"/>
    </row>
    <row r="41" ht="15.0" customHeight="1">
      <c r="A41" s="290">
        <f>IF(C41="","",37)</f>
        <v>37</v>
      </c>
      <c r="B41" s="122" t="str">
        <f>IF('2_Data_Pelanggan'!D41="","",'2_Data_Pelanggan'!B41)</f>
        <v>ARM-0037</v>
      </c>
      <c r="C41" s="291" t="str">
        <f>IF('2_Data_Pelanggan'!D41="","",'2_Data_Pelanggan'!D41)</f>
        <v>SUSIYAH</v>
      </c>
      <c r="D41" s="279">
        <f>IF('2_Data_Pelanggan'!D41="","",'2_Data_Pelanggan'!M41)</f>
        <v>20</v>
      </c>
      <c r="E41" s="292">
        <f>IF('2_Data_Pelanggan'!D41="","",'2_Data_Pelanggan'!N41)</f>
        <v>115000</v>
      </c>
      <c r="F41" s="293" t="s">
        <v>1605</v>
      </c>
      <c r="G41" s="293" t="s">
        <v>1605</v>
      </c>
      <c r="H41" s="293" t="s">
        <v>1605</v>
      </c>
      <c r="I41" s="293" t="s">
        <v>1605</v>
      </c>
      <c r="J41" s="299">
        <v>116129.0</v>
      </c>
      <c r="K41" s="299">
        <v>115000.0</v>
      </c>
      <c r="L41" s="299">
        <v>116129.0</v>
      </c>
      <c r="M41" s="299">
        <v>116129.0</v>
      </c>
      <c r="N41" s="299">
        <v>116129.0</v>
      </c>
      <c r="O41" s="299">
        <v>116129.0</v>
      </c>
      <c r="P41" s="299">
        <v>116129.0</v>
      </c>
      <c r="Q41" s="299">
        <v>116129.0</v>
      </c>
      <c r="R41" s="294">
        <f t="shared" si="1"/>
        <v>927903</v>
      </c>
      <c r="S41" s="47"/>
      <c r="T41" s="47"/>
      <c r="U41" s="47"/>
      <c r="V41" s="47"/>
      <c r="W41" s="47"/>
      <c r="X41" s="47"/>
      <c r="Y41" s="47"/>
      <c r="Z41" s="47"/>
    </row>
    <row r="42" ht="15.0" customHeight="1">
      <c r="A42" s="295">
        <f>IF(C42="","",38)</f>
        <v>38</v>
      </c>
      <c r="B42" s="117" t="str">
        <f>IF('2_Data_Pelanggan'!D42="","",'2_Data_Pelanggan'!B42)</f>
        <v>ARM-0038</v>
      </c>
      <c r="C42" s="296" t="str">
        <f>IF('2_Data_Pelanggan'!D42="","",'2_Data_Pelanggan'!D42)</f>
        <v>ADITIA</v>
      </c>
      <c r="D42" s="282">
        <f>IF('2_Data_Pelanggan'!D42="","",'2_Data_Pelanggan'!M42)</f>
        <v>20</v>
      </c>
      <c r="E42" s="292">
        <f>IF('2_Data_Pelanggan'!D42="","",'2_Data_Pelanggan'!N42)</f>
        <v>115000</v>
      </c>
      <c r="F42" s="297" t="s">
        <v>1605</v>
      </c>
      <c r="G42" s="297" t="s">
        <v>1605</v>
      </c>
      <c r="H42" s="297" t="s">
        <v>1605</v>
      </c>
      <c r="I42" s="297" t="s">
        <v>1605</v>
      </c>
      <c r="J42" s="300">
        <v>125000.0</v>
      </c>
      <c r="K42" s="300">
        <v>116130.0</v>
      </c>
      <c r="L42" s="300">
        <v>116130.0</v>
      </c>
      <c r="M42" s="300">
        <v>116130.0</v>
      </c>
      <c r="N42" s="300">
        <v>116130.0</v>
      </c>
      <c r="O42" s="300">
        <v>116130.0</v>
      </c>
      <c r="P42" s="300">
        <v>116130.0</v>
      </c>
      <c r="Q42" s="300">
        <v>116130.0</v>
      </c>
      <c r="R42" s="298">
        <f t="shared" si="1"/>
        <v>937910</v>
      </c>
      <c r="S42" s="47"/>
      <c r="T42" s="47"/>
      <c r="U42" s="47"/>
      <c r="V42" s="47"/>
      <c r="W42" s="47"/>
      <c r="X42" s="47"/>
      <c r="Y42" s="47"/>
      <c r="Z42" s="47"/>
    </row>
    <row r="43" ht="15.0" customHeight="1">
      <c r="A43" s="290">
        <f>IF(C43="","",39)</f>
        <v>39</v>
      </c>
      <c r="B43" s="122" t="str">
        <f>IF('2_Data_Pelanggan'!D43="","",'2_Data_Pelanggan'!B43)</f>
        <v>ARM-0039</v>
      </c>
      <c r="C43" s="291" t="str">
        <f>IF('2_Data_Pelanggan'!D43="","",'2_Data_Pelanggan'!D43)</f>
        <v>BALAI DESA CIHONJE</v>
      </c>
      <c r="D43" s="279">
        <f>IF('2_Data_Pelanggan'!D43="","",'2_Data_Pelanggan'!M43)</f>
        <v>20</v>
      </c>
      <c r="E43" s="292">
        <f>IF('2_Data_Pelanggan'!D43="","",'2_Data_Pelanggan'!N43)</f>
        <v>115000</v>
      </c>
      <c r="F43" s="293" t="s">
        <v>1605</v>
      </c>
      <c r="G43" s="293" t="s">
        <v>1605</v>
      </c>
      <c r="H43" s="293" t="s">
        <v>1605</v>
      </c>
      <c r="I43" s="293" t="s">
        <v>1605</v>
      </c>
      <c r="J43" s="293" t="s">
        <v>1605</v>
      </c>
      <c r="K43" s="299">
        <v>116131.0</v>
      </c>
      <c r="L43" s="299">
        <v>116131.0</v>
      </c>
      <c r="M43" s="299">
        <v>116131.0</v>
      </c>
      <c r="N43" s="299">
        <v>116131.0</v>
      </c>
      <c r="O43" s="299">
        <v>116131.0</v>
      </c>
      <c r="P43" s="299">
        <v>116131.0</v>
      </c>
      <c r="Q43" s="299">
        <v>116131.0</v>
      </c>
      <c r="R43" s="294">
        <f t="shared" si="1"/>
        <v>812917</v>
      </c>
      <c r="S43" s="47"/>
      <c r="T43" s="47"/>
      <c r="U43" s="47"/>
      <c r="V43" s="47"/>
      <c r="W43" s="47"/>
      <c r="X43" s="47"/>
      <c r="Y43" s="47"/>
      <c r="Z43" s="47"/>
    </row>
    <row r="44" ht="15.0" customHeight="1">
      <c r="A44" s="295">
        <f>IF(C44="","",40)</f>
        <v>40</v>
      </c>
      <c r="B44" s="117" t="str">
        <f>IF('2_Data_Pelanggan'!D44="","",'2_Data_Pelanggan'!B44)</f>
        <v>ARM-0040</v>
      </c>
      <c r="C44" s="296" t="str">
        <f>IF('2_Data_Pelanggan'!D44="","",'2_Data_Pelanggan'!D44)</f>
        <v>IPUNG PURWANINGSIH</v>
      </c>
      <c r="D44" s="282">
        <f>IF('2_Data_Pelanggan'!D44="","",'2_Data_Pelanggan'!M44)</f>
        <v>20</v>
      </c>
      <c r="E44" s="292">
        <f>IF('2_Data_Pelanggan'!D44="","",'2_Data_Pelanggan'!N44)</f>
        <v>115000</v>
      </c>
      <c r="F44" s="297" t="s">
        <v>1605</v>
      </c>
      <c r="G44" s="297" t="s">
        <v>1605</v>
      </c>
      <c r="H44" s="297" t="s">
        <v>1605</v>
      </c>
      <c r="I44" s="297" t="s">
        <v>1605</v>
      </c>
      <c r="J44" s="297" t="s">
        <v>1605</v>
      </c>
      <c r="K44" s="300">
        <v>115000.0</v>
      </c>
      <c r="L44" s="300">
        <v>116132.0</v>
      </c>
      <c r="M44" s="300">
        <v>116132.0</v>
      </c>
      <c r="N44" s="300">
        <v>116132.0</v>
      </c>
      <c r="O44" s="300">
        <v>116132.0</v>
      </c>
      <c r="P44" s="300">
        <v>116132.0</v>
      </c>
      <c r="Q44" s="300">
        <v>116132.0</v>
      </c>
      <c r="R44" s="298">
        <f t="shared" si="1"/>
        <v>811792</v>
      </c>
      <c r="S44" s="47"/>
      <c r="T44" s="47"/>
      <c r="U44" s="47"/>
      <c r="V44" s="47"/>
      <c r="W44" s="47"/>
      <c r="X44" s="47"/>
      <c r="Y44" s="47"/>
      <c r="Z44" s="47"/>
    </row>
    <row r="45" ht="15.0" customHeight="1">
      <c r="A45" s="290">
        <f>IF(C45="","",41)</f>
        <v>41</v>
      </c>
      <c r="B45" s="122" t="str">
        <f>IF('2_Data_Pelanggan'!D45="","",'2_Data_Pelanggan'!B45)</f>
        <v>ARM-0041</v>
      </c>
      <c r="C45" s="291" t="str">
        <f>IF('2_Data_Pelanggan'!D45="","",'2_Data_Pelanggan'!D45)</f>
        <v>HERI SUTRISNO</v>
      </c>
      <c r="D45" s="279">
        <f>IF('2_Data_Pelanggan'!D45="","",'2_Data_Pelanggan'!M45)</f>
        <v>20</v>
      </c>
      <c r="E45" s="292">
        <f>IF('2_Data_Pelanggan'!D45="","",'2_Data_Pelanggan'!N45)</f>
        <v>115000</v>
      </c>
      <c r="F45" s="293" t="s">
        <v>1605</v>
      </c>
      <c r="G45" s="293" t="s">
        <v>1605</v>
      </c>
      <c r="H45" s="293" t="s">
        <v>1605</v>
      </c>
      <c r="I45" s="293" t="s">
        <v>1605</v>
      </c>
      <c r="J45" s="293" t="s">
        <v>1605</v>
      </c>
      <c r="K45" s="299">
        <v>115000.0</v>
      </c>
      <c r="L45" s="299">
        <v>116133.0</v>
      </c>
      <c r="M45" s="299">
        <v>116133.0</v>
      </c>
      <c r="N45" s="299">
        <v>116133.0</v>
      </c>
      <c r="O45" s="299">
        <v>116133.0</v>
      </c>
      <c r="P45" s="299">
        <v>116133.0</v>
      </c>
      <c r="Q45" s="299">
        <v>116133.0</v>
      </c>
      <c r="R45" s="294">
        <f t="shared" si="1"/>
        <v>811798</v>
      </c>
      <c r="S45" s="47"/>
      <c r="T45" s="47"/>
      <c r="U45" s="47"/>
      <c r="V45" s="47"/>
      <c r="W45" s="47"/>
      <c r="X45" s="47"/>
      <c r="Y45" s="47"/>
      <c r="Z45" s="47"/>
    </row>
    <row r="46" ht="15.0" customHeight="1">
      <c r="A46" s="295">
        <f>IF(C46="","",42)</f>
        <v>42</v>
      </c>
      <c r="B46" s="117" t="str">
        <f>IF('2_Data_Pelanggan'!D46="","",'2_Data_Pelanggan'!B46)</f>
        <v>ARM-0042</v>
      </c>
      <c r="C46" s="296" t="str">
        <f>IF('2_Data_Pelanggan'!D46="","",'2_Data_Pelanggan'!D46)</f>
        <v>WATIM WALUYO</v>
      </c>
      <c r="D46" s="282">
        <f>IF('2_Data_Pelanggan'!D46="","",'2_Data_Pelanggan'!M46)</f>
        <v>20</v>
      </c>
      <c r="E46" s="292">
        <f>IF('2_Data_Pelanggan'!D46="","",'2_Data_Pelanggan'!N46)</f>
        <v>115000</v>
      </c>
      <c r="F46" s="297" t="s">
        <v>1605</v>
      </c>
      <c r="G46" s="297" t="s">
        <v>1605</v>
      </c>
      <c r="H46" s="297" t="s">
        <v>1605</v>
      </c>
      <c r="I46" s="297" t="s">
        <v>1605</v>
      </c>
      <c r="J46" s="297" t="s">
        <v>1605</v>
      </c>
      <c r="K46" s="300">
        <v>115000.0</v>
      </c>
      <c r="L46" s="300">
        <v>116134.0</v>
      </c>
      <c r="M46" s="300">
        <v>116134.0</v>
      </c>
      <c r="N46" s="300">
        <v>116134.0</v>
      </c>
      <c r="O46" s="300">
        <v>116134.0</v>
      </c>
      <c r="P46" s="300">
        <v>116134.0</v>
      </c>
      <c r="Q46" s="300">
        <v>116134.0</v>
      </c>
      <c r="R46" s="298">
        <f t="shared" si="1"/>
        <v>811804</v>
      </c>
      <c r="S46" s="47"/>
      <c r="T46" s="47"/>
      <c r="U46" s="47"/>
      <c r="V46" s="47"/>
      <c r="W46" s="47"/>
      <c r="X46" s="47"/>
      <c r="Y46" s="47"/>
      <c r="Z46" s="47"/>
    </row>
    <row r="47" ht="15.0" customHeight="1">
      <c r="A47" s="290">
        <f>IF(C47="","",43)</f>
        <v>43</v>
      </c>
      <c r="B47" s="122" t="str">
        <f>IF('2_Data_Pelanggan'!D47="","",'2_Data_Pelanggan'!B47)</f>
        <v>ARM-0043</v>
      </c>
      <c r="C47" s="291" t="str">
        <f>IF('2_Data_Pelanggan'!D47="","",'2_Data_Pelanggan'!D47)</f>
        <v>RASUM</v>
      </c>
      <c r="D47" s="279">
        <f>IF('2_Data_Pelanggan'!D47="","",'2_Data_Pelanggan'!M47)</f>
        <v>20</v>
      </c>
      <c r="E47" s="292">
        <f>IF('2_Data_Pelanggan'!D47="","",'2_Data_Pelanggan'!N47)</f>
        <v>115000</v>
      </c>
      <c r="F47" s="293" t="s">
        <v>1605</v>
      </c>
      <c r="G47" s="293" t="s">
        <v>1605</v>
      </c>
      <c r="H47" s="293" t="s">
        <v>1605</v>
      </c>
      <c r="I47" s="293" t="s">
        <v>1605</v>
      </c>
      <c r="J47" s="293" t="s">
        <v>1605</v>
      </c>
      <c r="K47" s="299">
        <v>115000.0</v>
      </c>
      <c r="L47" s="299">
        <v>115150.0</v>
      </c>
      <c r="M47" s="299">
        <v>115150.0</v>
      </c>
      <c r="N47" s="299">
        <v>115150.0</v>
      </c>
      <c r="O47" s="299">
        <v>115150.0</v>
      </c>
      <c r="P47" s="299">
        <v>115150.0</v>
      </c>
      <c r="Q47" s="299">
        <v>115150.0</v>
      </c>
      <c r="R47" s="294">
        <f t="shared" si="1"/>
        <v>805900</v>
      </c>
      <c r="S47" s="47"/>
      <c r="T47" s="47"/>
      <c r="U47" s="47"/>
      <c r="V47" s="47"/>
      <c r="W47" s="47"/>
      <c r="X47" s="47"/>
      <c r="Y47" s="47"/>
      <c r="Z47" s="47"/>
    </row>
    <row r="48" ht="15.0" customHeight="1">
      <c r="A48" s="295">
        <f>IF(C48="","",44)</f>
        <v>44</v>
      </c>
      <c r="B48" s="117" t="str">
        <f>IF('2_Data_Pelanggan'!D48="","",'2_Data_Pelanggan'!B48)</f>
        <v>ARM-0044</v>
      </c>
      <c r="C48" s="296" t="str">
        <f>IF('2_Data_Pelanggan'!D48="","",'2_Data_Pelanggan'!D48)</f>
        <v>ESTININGSIH</v>
      </c>
      <c r="D48" s="282">
        <f>IF('2_Data_Pelanggan'!D48="","",'2_Data_Pelanggan'!M48)</f>
        <v>20</v>
      </c>
      <c r="E48" s="292">
        <f>IF('2_Data_Pelanggan'!D48="","",'2_Data_Pelanggan'!N48)</f>
        <v>115000</v>
      </c>
      <c r="F48" s="297" t="s">
        <v>1605</v>
      </c>
      <c r="G48" s="297" t="s">
        <v>1605</v>
      </c>
      <c r="H48" s="297" t="s">
        <v>1605</v>
      </c>
      <c r="I48" s="297" t="s">
        <v>1605</v>
      </c>
      <c r="J48" s="297" t="s">
        <v>1605</v>
      </c>
      <c r="K48" s="300">
        <v>115000.0</v>
      </c>
      <c r="L48" s="300">
        <v>115151.0</v>
      </c>
      <c r="M48" s="300">
        <v>115151.0</v>
      </c>
      <c r="N48" s="300">
        <v>115151.0</v>
      </c>
      <c r="O48" s="300">
        <v>115151.0</v>
      </c>
      <c r="P48" s="300">
        <v>115151.0</v>
      </c>
      <c r="Q48" s="300">
        <v>115151.0</v>
      </c>
      <c r="R48" s="298">
        <f t="shared" si="1"/>
        <v>805906</v>
      </c>
      <c r="S48" s="47"/>
      <c r="T48" s="47"/>
      <c r="U48" s="47"/>
      <c r="V48" s="47"/>
      <c r="W48" s="47"/>
      <c r="X48" s="47"/>
      <c r="Y48" s="47"/>
      <c r="Z48" s="47"/>
    </row>
    <row r="49" ht="15.0" customHeight="1">
      <c r="A49" s="290">
        <f>IF(C49="","",45)</f>
        <v>45</v>
      </c>
      <c r="B49" s="122" t="str">
        <f>IF('2_Data_Pelanggan'!D49="","",'2_Data_Pelanggan'!B49)</f>
        <v>ARM-0045</v>
      </c>
      <c r="C49" s="291" t="str">
        <f>IF('2_Data_Pelanggan'!D49="","",'2_Data_Pelanggan'!D49)</f>
        <v>DARTAM</v>
      </c>
      <c r="D49" s="279">
        <f>IF('2_Data_Pelanggan'!D49="","",'2_Data_Pelanggan'!M49)</f>
        <v>20</v>
      </c>
      <c r="E49" s="292">
        <f>IF('2_Data_Pelanggan'!D49="","",'2_Data_Pelanggan'!N49)</f>
        <v>115000</v>
      </c>
      <c r="F49" s="293" t="s">
        <v>1605</v>
      </c>
      <c r="G49" s="293" t="s">
        <v>1605</v>
      </c>
      <c r="H49" s="293" t="s">
        <v>1605</v>
      </c>
      <c r="I49" s="293" t="s">
        <v>1605</v>
      </c>
      <c r="J49" s="293" t="s">
        <v>1605</v>
      </c>
      <c r="K49" s="299">
        <v>115152.0</v>
      </c>
      <c r="L49" s="299">
        <v>115152.0</v>
      </c>
      <c r="M49" s="299">
        <v>115152.0</v>
      </c>
      <c r="N49" s="299">
        <v>115152.0</v>
      </c>
      <c r="O49" s="299">
        <v>115152.0</v>
      </c>
      <c r="P49" s="299">
        <v>115152.0</v>
      </c>
      <c r="Q49" s="299">
        <v>115152.0</v>
      </c>
      <c r="R49" s="294">
        <f t="shared" si="1"/>
        <v>806064</v>
      </c>
      <c r="S49" s="47"/>
      <c r="T49" s="47"/>
      <c r="U49" s="47"/>
      <c r="V49" s="47"/>
      <c r="W49" s="47"/>
      <c r="X49" s="47"/>
      <c r="Y49" s="47"/>
      <c r="Z49" s="47"/>
    </row>
    <row r="50" ht="15.0" customHeight="1">
      <c r="A50" s="295">
        <f>IF(C50="","",46)</f>
        <v>46</v>
      </c>
      <c r="B50" s="117" t="str">
        <f>IF('2_Data_Pelanggan'!D50="","",'2_Data_Pelanggan'!B50)</f>
        <v>ARM-0046</v>
      </c>
      <c r="C50" s="296" t="str">
        <f>IF('2_Data_Pelanggan'!D50="","",'2_Data_Pelanggan'!D50)</f>
        <v>MIFTAHUL UMAM</v>
      </c>
      <c r="D50" s="282">
        <f>IF('2_Data_Pelanggan'!D50="","",'2_Data_Pelanggan'!M50)</f>
        <v>30</v>
      </c>
      <c r="E50" s="292">
        <f>IF('2_Data_Pelanggan'!D50="","",'2_Data_Pelanggan'!N50)</f>
        <v>142000</v>
      </c>
      <c r="F50" s="297" t="s">
        <v>1605</v>
      </c>
      <c r="G50" s="297" t="s">
        <v>1605</v>
      </c>
      <c r="H50" s="297" t="s">
        <v>1605</v>
      </c>
      <c r="I50" s="297" t="s">
        <v>1605</v>
      </c>
      <c r="J50" s="297" t="s">
        <v>1605</v>
      </c>
      <c r="K50" s="300">
        <v>142150.0</v>
      </c>
      <c r="L50" s="300">
        <v>142150.0</v>
      </c>
      <c r="M50" s="300">
        <v>142150.0</v>
      </c>
      <c r="N50" s="300">
        <v>142150.0</v>
      </c>
      <c r="O50" s="300">
        <v>142150.0</v>
      </c>
      <c r="P50" s="300">
        <v>142150.0</v>
      </c>
      <c r="Q50" s="300">
        <v>142150.0</v>
      </c>
      <c r="R50" s="298">
        <f t="shared" si="1"/>
        <v>995050</v>
      </c>
      <c r="S50" s="47"/>
      <c r="T50" s="47"/>
      <c r="U50" s="47"/>
      <c r="V50" s="47"/>
      <c r="W50" s="47"/>
      <c r="X50" s="47"/>
      <c r="Y50" s="47"/>
      <c r="Z50" s="47"/>
    </row>
    <row r="51" ht="15.0" customHeight="1">
      <c r="A51" s="290">
        <f>IF(C51="","",47)</f>
        <v>47</v>
      </c>
      <c r="B51" s="122" t="str">
        <f>IF('2_Data_Pelanggan'!D51="","",'2_Data_Pelanggan'!B51)</f>
        <v>ARM-0047</v>
      </c>
      <c r="C51" s="291" t="str">
        <f>IF('2_Data_Pelanggan'!D51="","",'2_Data_Pelanggan'!D51)</f>
        <v>TAMIARJO TARSIWAN</v>
      </c>
      <c r="D51" s="279">
        <f>IF('2_Data_Pelanggan'!D51="","",'2_Data_Pelanggan'!M51)</f>
        <v>20</v>
      </c>
      <c r="E51" s="292">
        <f>IF('2_Data_Pelanggan'!D51="","",'2_Data_Pelanggan'!N51)</f>
        <v>115000</v>
      </c>
      <c r="F51" s="293" t="s">
        <v>1605</v>
      </c>
      <c r="G51" s="293" t="s">
        <v>1605</v>
      </c>
      <c r="H51" s="293" t="s">
        <v>1605</v>
      </c>
      <c r="I51" s="293" t="s">
        <v>1605</v>
      </c>
      <c r="J51" s="293" t="s">
        <v>1605</v>
      </c>
      <c r="K51" s="299">
        <v>115000.0</v>
      </c>
      <c r="L51" s="299">
        <v>115153.0</v>
      </c>
      <c r="M51" s="299">
        <v>115153.0</v>
      </c>
      <c r="N51" s="299">
        <v>115153.0</v>
      </c>
      <c r="O51" s="299">
        <v>115153.0</v>
      </c>
      <c r="P51" s="299">
        <v>115153.0</v>
      </c>
      <c r="Q51" s="299">
        <v>115153.0</v>
      </c>
      <c r="R51" s="294">
        <f t="shared" si="1"/>
        <v>805918</v>
      </c>
      <c r="S51" s="47"/>
      <c r="T51" s="47"/>
      <c r="U51" s="47"/>
      <c r="V51" s="47"/>
      <c r="W51" s="47"/>
      <c r="X51" s="47"/>
      <c r="Y51" s="47"/>
      <c r="Z51" s="47"/>
    </row>
    <row r="52" ht="15.0" customHeight="1">
      <c r="A52" s="295">
        <f>IF(C52="","",48)</f>
        <v>48</v>
      </c>
      <c r="B52" s="117" t="str">
        <f>IF('2_Data_Pelanggan'!D52="","",'2_Data_Pelanggan'!B52)</f>
        <v>ARM-0048</v>
      </c>
      <c r="C52" s="296" t="str">
        <f>IF('2_Data_Pelanggan'!D52="","",'2_Data_Pelanggan'!D52)</f>
        <v>WARGIYATI</v>
      </c>
      <c r="D52" s="282">
        <f>IF('2_Data_Pelanggan'!D52="","",'2_Data_Pelanggan'!M52)</f>
        <v>20</v>
      </c>
      <c r="E52" s="292">
        <f>IF('2_Data_Pelanggan'!D52="","",'2_Data_Pelanggan'!N52)</f>
        <v>115000</v>
      </c>
      <c r="F52" s="297" t="s">
        <v>1605</v>
      </c>
      <c r="G52" s="297" t="s">
        <v>1605</v>
      </c>
      <c r="H52" s="297" t="s">
        <v>1605</v>
      </c>
      <c r="I52" s="297" t="s">
        <v>1605</v>
      </c>
      <c r="J52" s="297" t="s">
        <v>1605</v>
      </c>
      <c r="K52" s="300">
        <v>115000.0</v>
      </c>
      <c r="L52" s="300">
        <v>115154.0</v>
      </c>
      <c r="M52" s="300">
        <v>115154.0</v>
      </c>
      <c r="N52" s="300">
        <v>115154.0</v>
      </c>
      <c r="O52" s="300">
        <v>115154.0</v>
      </c>
      <c r="P52" s="300">
        <v>115154.0</v>
      </c>
      <c r="Q52" s="300">
        <v>115154.0</v>
      </c>
      <c r="R52" s="298">
        <f t="shared" si="1"/>
        <v>805924</v>
      </c>
      <c r="S52" s="47"/>
      <c r="T52" s="47"/>
      <c r="U52" s="47"/>
      <c r="V52" s="47"/>
      <c r="W52" s="47"/>
      <c r="X52" s="47"/>
      <c r="Y52" s="47"/>
      <c r="Z52" s="47"/>
    </row>
    <row r="53" ht="15.0" customHeight="1">
      <c r="A53" s="290">
        <f>IF(C53="","",49)</f>
        <v>49</v>
      </c>
      <c r="B53" s="122" t="str">
        <f>IF('2_Data_Pelanggan'!D53="","",'2_Data_Pelanggan'!B53)</f>
        <v>ARM-0049</v>
      </c>
      <c r="C53" s="291" t="str">
        <f>IF('2_Data_Pelanggan'!D53="","",'2_Data_Pelanggan'!D53)</f>
        <v>SUSMIATI-DARTO</v>
      </c>
      <c r="D53" s="279">
        <f>IF('2_Data_Pelanggan'!D53="","",'2_Data_Pelanggan'!M53)</f>
        <v>20</v>
      </c>
      <c r="E53" s="292">
        <f>IF('2_Data_Pelanggan'!D53="","",'2_Data_Pelanggan'!N53)</f>
        <v>115000</v>
      </c>
      <c r="F53" s="293" t="s">
        <v>1605</v>
      </c>
      <c r="G53" s="293" t="s">
        <v>1605</v>
      </c>
      <c r="H53" s="293" t="s">
        <v>1605</v>
      </c>
      <c r="I53" s="293" t="s">
        <v>1605</v>
      </c>
      <c r="J53" s="293" t="s">
        <v>1605</v>
      </c>
      <c r="K53" s="299">
        <v>115000.0</v>
      </c>
      <c r="L53" s="299">
        <v>115155.0</v>
      </c>
      <c r="M53" s="299">
        <v>115155.0</v>
      </c>
      <c r="N53" s="299">
        <v>115155.0</v>
      </c>
      <c r="O53" s="299">
        <v>115155.0</v>
      </c>
      <c r="P53" s="299">
        <v>115155.0</v>
      </c>
      <c r="Q53" s="299">
        <v>115155.0</v>
      </c>
      <c r="R53" s="294">
        <f t="shared" si="1"/>
        <v>805930</v>
      </c>
      <c r="S53" s="47"/>
      <c r="T53" s="47"/>
      <c r="U53" s="47"/>
      <c r="V53" s="47"/>
      <c r="W53" s="47"/>
      <c r="X53" s="47"/>
      <c r="Y53" s="47"/>
      <c r="Z53" s="47"/>
    </row>
    <row r="54" ht="15.0" customHeight="1">
      <c r="A54" s="295">
        <f>IF(C54="","",50)</f>
        <v>50</v>
      </c>
      <c r="B54" s="117" t="str">
        <f>IF('2_Data_Pelanggan'!D54="","",'2_Data_Pelanggan'!B54)</f>
        <v>ARM-0050</v>
      </c>
      <c r="C54" s="296" t="str">
        <f>IF('2_Data_Pelanggan'!D54="","",'2_Data_Pelanggan'!D54)</f>
        <v>KARSUN</v>
      </c>
      <c r="D54" s="282">
        <f>IF('2_Data_Pelanggan'!D54="","",'2_Data_Pelanggan'!M54)</f>
        <v>20</v>
      </c>
      <c r="E54" s="292">
        <f>IF('2_Data_Pelanggan'!D54="","",'2_Data_Pelanggan'!N54)</f>
        <v>115000</v>
      </c>
      <c r="F54" s="297" t="s">
        <v>1605</v>
      </c>
      <c r="G54" s="297" t="s">
        <v>1605</v>
      </c>
      <c r="H54" s="297" t="s">
        <v>1605</v>
      </c>
      <c r="I54" s="297" t="s">
        <v>1605</v>
      </c>
      <c r="J54" s="297" t="s">
        <v>1605</v>
      </c>
      <c r="K54" s="300">
        <v>115000.0</v>
      </c>
      <c r="L54" s="300">
        <v>115156.0</v>
      </c>
      <c r="M54" s="300">
        <v>115156.0</v>
      </c>
      <c r="N54" s="300">
        <v>115156.0</v>
      </c>
      <c r="O54" s="300">
        <v>115156.0</v>
      </c>
      <c r="P54" s="300">
        <v>115156.0</v>
      </c>
      <c r="Q54" s="300">
        <v>115156.0</v>
      </c>
      <c r="R54" s="298">
        <f t="shared" si="1"/>
        <v>805936</v>
      </c>
      <c r="S54" s="47"/>
      <c r="T54" s="47"/>
      <c r="U54" s="47"/>
      <c r="V54" s="47"/>
      <c r="W54" s="47"/>
      <c r="X54" s="47"/>
      <c r="Y54" s="47"/>
      <c r="Z54" s="47"/>
    </row>
    <row r="55" ht="15.0" customHeight="1">
      <c r="A55" s="290">
        <f>IF(C55="","",51)</f>
        <v>51</v>
      </c>
      <c r="B55" s="122" t="str">
        <f>IF('2_Data_Pelanggan'!D55="","",'2_Data_Pelanggan'!B55)</f>
        <v>ARM-0051</v>
      </c>
      <c r="C55" s="291" t="str">
        <f>IF('2_Data_Pelanggan'!D55="","",'2_Data_Pelanggan'!D55)</f>
        <v>NARSO</v>
      </c>
      <c r="D55" s="279">
        <f>IF('2_Data_Pelanggan'!D55="","",'2_Data_Pelanggan'!M55)</f>
        <v>20</v>
      </c>
      <c r="E55" s="292">
        <f>IF('2_Data_Pelanggan'!D55="","",'2_Data_Pelanggan'!N55)</f>
        <v>115000</v>
      </c>
      <c r="F55" s="293" t="s">
        <v>1605</v>
      </c>
      <c r="G55" s="293" t="s">
        <v>1605</v>
      </c>
      <c r="H55" s="293" t="s">
        <v>1605</v>
      </c>
      <c r="I55" s="293" t="s">
        <v>1605</v>
      </c>
      <c r="J55" s="293" t="s">
        <v>1605</v>
      </c>
      <c r="K55" s="299">
        <v>115157.0</v>
      </c>
      <c r="L55" s="299">
        <v>115157.0</v>
      </c>
      <c r="M55" s="299">
        <v>115157.0</v>
      </c>
      <c r="N55" s="299">
        <v>115157.0</v>
      </c>
      <c r="O55" s="299">
        <v>115157.0</v>
      </c>
      <c r="P55" s="299">
        <v>115157.0</v>
      </c>
      <c r="Q55" s="299">
        <v>115157.0</v>
      </c>
      <c r="R55" s="294">
        <f t="shared" si="1"/>
        <v>806099</v>
      </c>
      <c r="S55" s="47"/>
      <c r="T55" s="47"/>
      <c r="U55" s="47"/>
      <c r="V55" s="47"/>
      <c r="W55" s="47"/>
      <c r="X55" s="47"/>
      <c r="Y55" s="47"/>
      <c r="Z55" s="47"/>
    </row>
    <row r="56" ht="15.0" customHeight="1">
      <c r="A56" s="295">
        <f>IF(C56="","",52)</f>
        <v>52</v>
      </c>
      <c r="B56" s="117" t="str">
        <f>IF('2_Data_Pelanggan'!D56="","",'2_Data_Pelanggan'!B56)</f>
        <v>ARM-0052</v>
      </c>
      <c r="C56" s="296" t="str">
        <f>IF('2_Data_Pelanggan'!D56="","",'2_Data_Pelanggan'!D56)</f>
        <v>RAPIN</v>
      </c>
      <c r="D56" s="282">
        <f>IF('2_Data_Pelanggan'!D56="","",'2_Data_Pelanggan'!M56)</f>
        <v>20</v>
      </c>
      <c r="E56" s="292">
        <f>IF('2_Data_Pelanggan'!D56="","",'2_Data_Pelanggan'!N56)</f>
        <v>115000</v>
      </c>
      <c r="F56" s="297" t="s">
        <v>1605</v>
      </c>
      <c r="G56" s="297" t="s">
        <v>1605</v>
      </c>
      <c r="H56" s="297" t="s">
        <v>1605</v>
      </c>
      <c r="I56" s="297" t="s">
        <v>1605</v>
      </c>
      <c r="J56" s="297" t="s">
        <v>1605</v>
      </c>
      <c r="K56" s="300">
        <v>115158.0</v>
      </c>
      <c r="L56" s="300">
        <v>115158.0</v>
      </c>
      <c r="M56" s="300">
        <v>115158.0</v>
      </c>
      <c r="N56" s="300">
        <v>115158.0</v>
      </c>
      <c r="O56" s="300">
        <v>115158.0</v>
      </c>
      <c r="P56" s="300">
        <v>115158.0</v>
      </c>
      <c r="Q56" s="300">
        <v>115158.0</v>
      </c>
      <c r="R56" s="298">
        <f t="shared" si="1"/>
        <v>806106</v>
      </c>
      <c r="S56" s="47"/>
      <c r="T56" s="47"/>
      <c r="U56" s="47"/>
      <c r="V56" s="47"/>
      <c r="W56" s="47"/>
      <c r="X56" s="47"/>
      <c r="Y56" s="47"/>
      <c r="Z56" s="47"/>
    </row>
    <row r="57" ht="15.0" customHeight="1">
      <c r="A57" s="290">
        <f>IF(C57="","",53)</f>
        <v>53</v>
      </c>
      <c r="B57" s="122" t="str">
        <f>IF('2_Data_Pelanggan'!D57="","",'2_Data_Pelanggan'!B57)</f>
        <v>ARM-0053</v>
      </c>
      <c r="C57" s="291" t="str">
        <f>IF('2_Data_Pelanggan'!D57="","",'2_Data_Pelanggan'!D57)</f>
        <v>KAMINAH</v>
      </c>
      <c r="D57" s="279">
        <f>IF('2_Data_Pelanggan'!D57="","",'2_Data_Pelanggan'!M57)</f>
        <v>20</v>
      </c>
      <c r="E57" s="292">
        <f>IF('2_Data_Pelanggan'!D57="","",'2_Data_Pelanggan'!N57)</f>
        <v>115000</v>
      </c>
      <c r="F57" s="293" t="s">
        <v>1605</v>
      </c>
      <c r="G57" s="293" t="s">
        <v>1605</v>
      </c>
      <c r="H57" s="293" t="s">
        <v>1605</v>
      </c>
      <c r="I57" s="293" t="s">
        <v>1605</v>
      </c>
      <c r="J57" s="293" t="s">
        <v>1605</v>
      </c>
      <c r="K57" s="299">
        <v>115000.0</v>
      </c>
      <c r="L57" s="299">
        <v>115159.0</v>
      </c>
      <c r="M57" s="299">
        <v>115159.0</v>
      </c>
      <c r="N57" s="299">
        <v>115159.0</v>
      </c>
      <c r="O57" s="299">
        <v>115159.0</v>
      </c>
      <c r="P57" s="299">
        <v>115159.0</v>
      </c>
      <c r="Q57" s="299">
        <v>115159.0</v>
      </c>
      <c r="R57" s="294">
        <f t="shared" si="1"/>
        <v>805954</v>
      </c>
      <c r="S57" s="47"/>
      <c r="T57" s="47"/>
      <c r="U57" s="47"/>
      <c r="V57" s="47"/>
      <c r="W57" s="47"/>
      <c r="X57" s="47"/>
      <c r="Y57" s="47"/>
      <c r="Z57" s="47"/>
    </row>
    <row r="58" ht="15.0" customHeight="1">
      <c r="A58" s="295">
        <f>IF(C58="","",54)</f>
        <v>54</v>
      </c>
      <c r="B58" s="117" t="str">
        <f>IF('2_Data_Pelanggan'!D58="","",'2_Data_Pelanggan'!B58)</f>
        <v>ARM-0054</v>
      </c>
      <c r="C58" s="296" t="str">
        <f>IF('2_Data_Pelanggan'!D58="","",'2_Data_Pelanggan'!D58)</f>
        <v>SRI WAHYUNI</v>
      </c>
      <c r="D58" s="282">
        <f>IF('2_Data_Pelanggan'!D58="","",'2_Data_Pelanggan'!M58)</f>
        <v>20</v>
      </c>
      <c r="E58" s="292">
        <f>IF('2_Data_Pelanggan'!D58="","",'2_Data_Pelanggan'!N58)</f>
        <v>115000</v>
      </c>
      <c r="F58" s="297" t="s">
        <v>1605</v>
      </c>
      <c r="G58" s="297" t="s">
        <v>1605</v>
      </c>
      <c r="H58" s="297" t="s">
        <v>1605</v>
      </c>
      <c r="I58" s="297" t="s">
        <v>1605</v>
      </c>
      <c r="J58" s="297" t="s">
        <v>1605</v>
      </c>
      <c r="K58" s="300">
        <v>115000.0</v>
      </c>
      <c r="L58" s="300">
        <v>115160.0</v>
      </c>
      <c r="M58" s="300">
        <v>115160.0</v>
      </c>
      <c r="N58" s="300">
        <v>115160.0</v>
      </c>
      <c r="O58" s="300">
        <v>115160.0</v>
      </c>
      <c r="P58" s="300">
        <v>115160.0</v>
      </c>
      <c r="Q58" s="300">
        <v>115160.0</v>
      </c>
      <c r="R58" s="298">
        <f t="shared" si="1"/>
        <v>805960</v>
      </c>
      <c r="S58" s="47"/>
      <c r="T58" s="47"/>
      <c r="U58" s="47"/>
      <c r="V58" s="47"/>
      <c r="W58" s="47"/>
      <c r="X58" s="47"/>
      <c r="Y58" s="47"/>
      <c r="Z58" s="47"/>
    </row>
    <row r="59" ht="15.0" customHeight="1">
      <c r="A59" s="290">
        <f>IF(C59="","",55)</f>
        <v>55</v>
      </c>
      <c r="B59" s="122" t="str">
        <f>IF('2_Data_Pelanggan'!D59="","",'2_Data_Pelanggan'!B59)</f>
        <v>ARM-0055</v>
      </c>
      <c r="C59" s="291" t="str">
        <f>IF('2_Data_Pelanggan'!D59="","",'2_Data_Pelanggan'!D59)</f>
        <v>ARI WINDIARTI</v>
      </c>
      <c r="D59" s="279">
        <f>IF('2_Data_Pelanggan'!D59="","",'2_Data_Pelanggan'!M59)</f>
        <v>20</v>
      </c>
      <c r="E59" s="292">
        <f>IF('2_Data_Pelanggan'!D59="","",'2_Data_Pelanggan'!N59)</f>
        <v>115000</v>
      </c>
      <c r="F59" s="293" t="s">
        <v>1605</v>
      </c>
      <c r="G59" s="293" t="s">
        <v>1605</v>
      </c>
      <c r="H59" s="293" t="s">
        <v>1605</v>
      </c>
      <c r="I59" s="293" t="s">
        <v>1605</v>
      </c>
      <c r="J59" s="293" t="s">
        <v>1605</v>
      </c>
      <c r="K59" s="299">
        <v>115000.0</v>
      </c>
      <c r="L59" s="299">
        <v>115161.0</v>
      </c>
      <c r="M59" s="299">
        <v>115161.0</v>
      </c>
      <c r="N59" s="299">
        <v>115161.0</v>
      </c>
      <c r="O59" s="299">
        <v>115161.0</v>
      </c>
      <c r="P59" s="299">
        <v>115161.0</v>
      </c>
      <c r="Q59" s="299">
        <v>115161.0</v>
      </c>
      <c r="R59" s="294">
        <f t="shared" si="1"/>
        <v>805966</v>
      </c>
      <c r="S59" s="47"/>
      <c r="T59" s="47"/>
      <c r="U59" s="47"/>
      <c r="V59" s="47"/>
      <c r="W59" s="47"/>
      <c r="X59" s="47"/>
      <c r="Y59" s="47"/>
      <c r="Z59" s="47"/>
    </row>
    <row r="60" ht="15.0" customHeight="1">
      <c r="A60" s="295">
        <f>IF(C60="","",56)</f>
        <v>56</v>
      </c>
      <c r="B60" s="117" t="str">
        <f>IF('2_Data_Pelanggan'!D60="","",'2_Data_Pelanggan'!B60)</f>
        <v>ARM-0056</v>
      </c>
      <c r="C60" s="296" t="str">
        <f>IF('2_Data_Pelanggan'!D60="","",'2_Data_Pelanggan'!D60)</f>
        <v>MUHAMAD BAHRUL ULUM</v>
      </c>
      <c r="D60" s="282">
        <f>IF('2_Data_Pelanggan'!D60="","",'2_Data_Pelanggan'!M60)</f>
        <v>20</v>
      </c>
      <c r="E60" s="292">
        <f>IF('2_Data_Pelanggan'!D60="","",'2_Data_Pelanggan'!N60)</f>
        <v>115000</v>
      </c>
      <c r="F60" s="297" t="s">
        <v>1605</v>
      </c>
      <c r="G60" s="297" t="s">
        <v>1605</v>
      </c>
      <c r="H60" s="297" t="s">
        <v>1605</v>
      </c>
      <c r="I60" s="297" t="s">
        <v>1605</v>
      </c>
      <c r="J60" s="297" t="s">
        <v>1605</v>
      </c>
      <c r="K60" s="300">
        <v>115000.0</v>
      </c>
      <c r="L60" s="300">
        <v>115162.0</v>
      </c>
      <c r="M60" s="300">
        <v>115162.0</v>
      </c>
      <c r="N60" s="300">
        <v>115162.0</v>
      </c>
      <c r="O60" s="300">
        <v>115162.0</v>
      </c>
      <c r="P60" s="300">
        <v>115162.0</v>
      </c>
      <c r="Q60" s="300">
        <v>115162.0</v>
      </c>
      <c r="R60" s="298">
        <f t="shared" si="1"/>
        <v>805972</v>
      </c>
      <c r="S60" s="47"/>
      <c r="T60" s="47"/>
      <c r="U60" s="47"/>
      <c r="V60" s="47"/>
      <c r="W60" s="47"/>
      <c r="X60" s="47"/>
      <c r="Y60" s="47"/>
      <c r="Z60" s="47"/>
    </row>
    <row r="61" ht="15.0" customHeight="1">
      <c r="A61" s="290">
        <f>IF(C61="","",57)</f>
        <v>57</v>
      </c>
      <c r="B61" s="122" t="str">
        <f>IF('2_Data_Pelanggan'!D61="","",'2_Data_Pelanggan'!B61)</f>
        <v>ARM-0057</v>
      </c>
      <c r="C61" s="291" t="str">
        <f>IF('2_Data_Pelanggan'!D61="","",'2_Data_Pelanggan'!D61)</f>
        <v>EFA FRISTIANA</v>
      </c>
      <c r="D61" s="279">
        <f>IF('2_Data_Pelanggan'!D61="","",'2_Data_Pelanggan'!M61)</f>
        <v>20</v>
      </c>
      <c r="E61" s="292">
        <f>IF('2_Data_Pelanggan'!D61="","",'2_Data_Pelanggan'!N61)</f>
        <v>115000</v>
      </c>
      <c r="F61" s="293" t="s">
        <v>1605</v>
      </c>
      <c r="G61" s="293" t="s">
        <v>1605</v>
      </c>
      <c r="H61" s="293" t="s">
        <v>1605</v>
      </c>
      <c r="I61" s="293" t="s">
        <v>1605</v>
      </c>
      <c r="J61" s="293" t="s">
        <v>1605</v>
      </c>
      <c r="K61" s="299">
        <v>115163.0</v>
      </c>
      <c r="L61" s="299">
        <v>115163.0</v>
      </c>
      <c r="M61" s="299">
        <v>115163.0</v>
      </c>
      <c r="N61" s="299">
        <v>115163.0</v>
      </c>
      <c r="O61" s="299">
        <v>115163.0</v>
      </c>
      <c r="P61" s="299">
        <v>115163.0</v>
      </c>
      <c r="Q61" s="299">
        <v>115163.0</v>
      </c>
      <c r="R61" s="294">
        <f t="shared" si="1"/>
        <v>806141</v>
      </c>
      <c r="S61" s="47"/>
      <c r="T61" s="47"/>
      <c r="U61" s="47"/>
      <c r="V61" s="47"/>
      <c r="W61" s="47"/>
      <c r="X61" s="47"/>
      <c r="Y61" s="47"/>
      <c r="Z61" s="47"/>
    </row>
    <row r="62" ht="15.0" customHeight="1">
      <c r="A62" s="295">
        <f>IF(C62="","",58)</f>
        <v>58</v>
      </c>
      <c r="B62" s="117" t="str">
        <f>IF('2_Data_Pelanggan'!D62="","",'2_Data_Pelanggan'!B62)</f>
        <v>ARM-0058</v>
      </c>
      <c r="C62" s="296" t="str">
        <f>IF('2_Data_Pelanggan'!D62="","",'2_Data_Pelanggan'!D62)</f>
        <v>ROHYATI</v>
      </c>
      <c r="D62" s="282">
        <f>IF('2_Data_Pelanggan'!D62="","",'2_Data_Pelanggan'!M62)</f>
        <v>20</v>
      </c>
      <c r="E62" s="292">
        <f>IF('2_Data_Pelanggan'!D62="","",'2_Data_Pelanggan'!N62)</f>
        <v>115000</v>
      </c>
      <c r="F62" s="297" t="s">
        <v>1605</v>
      </c>
      <c r="G62" s="297" t="s">
        <v>1605</v>
      </c>
      <c r="H62" s="297" t="s">
        <v>1605</v>
      </c>
      <c r="I62" s="297" t="s">
        <v>1605</v>
      </c>
      <c r="J62" s="297" t="s">
        <v>1605</v>
      </c>
      <c r="K62" s="300">
        <v>142151.0</v>
      </c>
      <c r="L62" s="300">
        <v>142151.0</v>
      </c>
      <c r="M62" s="300">
        <v>142151.0</v>
      </c>
      <c r="N62" s="300">
        <v>142151.0</v>
      </c>
      <c r="O62" s="300">
        <v>142151.0</v>
      </c>
      <c r="P62" s="300">
        <v>142151.0</v>
      </c>
      <c r="Q62" s="300">
        <v>142151.0</v>
      </c>
      <c r="R62" s="298">
        <f t="shared" si="1"/>
        <v>995057</v>
      </c>
      <c r="S62" s="47"/>
      <c r="T62" s="47"/>
      <c r="U62" s="47"/>
      <c r="V62" s="47"/>
      <c r="W62" s="47"/>
      <c r="X62" s="47"/>
      <c r="Y62" s="47"/>
      <c r="Z62" s="47"/>
    </row>
    <row r="63" ht="15.0" customHeight="1">
      <c r="A63" s="290">
        <f>IF(C63="","",59)</f>
        <v>59</v>
      </c>
      <c r="B63" s="122" t="str">
        <f>IF('2_Data_Pelanggan'!D63="","",'2_Data_Pelanggan'!B63)</f>
        <v>ARM-0059</v>
      </c>
      <c r="C63" s="291" t="str">
        <f>IF('2_Data_Pelanggan'!D63="","",'2_Data_Pelanggan'!D63)</f>
        <v>ADI JUNAIDI</v>
      </c>
      <c r="D63" s="279">
        <f>IF('2_Data_Pelanggan'!D63="","",'2_Data_Pelanggan'!M63)</f>
        <v>50</v>
      </c>
      <c r="E63" s="292">
        <f>IF('2_Data_Pelanggan'!D63="","",'2_Data_Pelanggan'!N63)</f>
        <v>182000</v>
      </c>
      <c r="F63" s="293" t="s">
        <v>1605</v>
      </c>
      <c r="G63" s="293" t="s">
        <v>1605</v>
      </c>
      <c r="H63" s="293" t="s">
        <v>1605</v>
      </c>
      <c r="I63" s="293" t="s">
        <v>1605</v>
      </c>
      <c r="J63" s="293" t="s">
        <v>1605</v>
      </c>
      <c r="K63" s="299">
        <v>182000.0</v>
      </c>
      <c r="L63" s="299">
        <v>182150.0</v>
      </c>
      <c r="M63" s="299">
        <v>182150.0</v>
      </c>
      <c r="N63" s="299">
        <v>182150.0</v>
      </c>
      <c r="O63" s="299">
        <v>182150.0</v>
      </c>
      <c r="P63" s="299">
        <v>182150.0</v>
      </c>
      <c r="Q63" s="299">
        <v>182150.0</v>
      </c>
      <c r="R63" s="294">
        <f t="shared" si="1"/>
        <v>1274900</v>
      </c>
      <c r="S63" s="47"/>
      <c r="T63" s="47"/>
      <c r="U63" s="47"/>
      <c r="V63" s="47"/>
      <c r="W63" s="47"/>
      <c r="X63" s="47"/>
      <c r="Y63" s="47"/>
      <c r="Z63" s="47"/>
    </row>
    <row r="64" ht="15.0" customHeight="1">
      <c r="A64" s="295">
        <f>IF(C64="","",60)</f>
        <v>60</v>
      </c>
      <c r="B64" s="117" t="str">
        <f>IF('2_Data_Pelanggan'!D64="","",'2_Data_Pelanggan'!B64)</f>
        <v>ARM-0060</v>
      </c>
      <c r="C64" s="296" t="str">
        <f>IF('2_Data_Pelanggan'!D64="","",'2_Data_Pelanggan'!D64)</f>
        <v>SUMARNO NARKUM</v>
      </c>
      <c r="D64" s="282">
        <f>IF('2_Data_Pelanggan'!D64="","",'2_Data_Pelanggan'!M64)</f>
        <v>20</v>
      </c>
      <c r="E64" s="292">
        <f>IF('2_Data_Pelanggan'!D64="","",'2_Data_Pelanggan'!N64)</f>
        <v>115000</v>
      </c>
      <c r="F64" s="297" t="s">
        <v>1605</v>
      </c>
      <c r="G64" s="297" t="s">
        <v>1605</v>
      </c>
      <c r="H64" s="297" t="s">
        <v>1605</v>
      </c>
      <c r="I64" s="297" t="s">
        <v>1605</v>
      </c>
      <c r="J64" s="297" t="s">
        <v>1605</v>
      </c>
      <c r="K64" s="300">
        <v>115000.0</v>
      </c>
      <c r="L64" s="300">
        <v>115164.0</v>
      </c>
      <c r="M64" s="300">
        <v>115164.0</v>
      </c>
      <c r="N64" s="300">
        <v>115164.0</v>
      </c>
      <c r="O64" s="300">
        <v>115164.0</v>
      </c>
      <c r="P64" s="300">
        <v>115164.0</v>
      </c>
      <c r="Q64" s="300">
        <v>115164.0</v>
      </c>
      <c r="R64" s="298">
        <f t="shared" si="1"/>
        <v>805984</v>
      </c>
      <c r="S64" s="47"/>
      <c r="T64" s="47"/>
      <c r="U64" s="47"/>
      <c r="V64" s="47"/>
      <c r="W64" s="47"/>
      <c r="X64" s="47"/>
      <c r="Y64" s="47"/>
      <c r="Z64" s="47"/>
    </row>
    <row r="65" ht="15.0" customHeight="1">
      <c r="A65" s="290">
        <f>IF(C65="","",61)</f>
        <v>61</v>
      </c>
      <c r="B65" s="122" t="str">
        <f>IF('2_Data_Pelanggan'!D65="","",'2_Data_Pelanggan'!B65)</f>
        <v>ARM-0061</v>
      </c>
      <c r="C65" s="291" t="str">
        <f>IF('2_Data_Pelanggan'!D65="","",'2_Data_Pelanggan'!D65)</f>
        <v>KISNO</v>
      </c>
      <c r="D65" s="279">
        <f>IF('2_Data_Pelanggan'!D65="","",'2_Data_Pelanggan'!M65)</f>
        <v>20</v>
      </c>
      <c r="E65" s="292">
        <f>IF('2_Data_Pelanggan'!D65="","",'2_Data_Pelanggan'!N65)</f>
        <v>115000</v>
      </c>
      <c r="F65" s="293" t="s">
        <v>1605</v>
      </c>
      <c r="G65" s="293" t="s">
        <v>1605</v>
      </c>
      <c r="H65" s="293" t="s">
        <v>1605</v>
      </c>
      <c r="I65" s="293" t="s">
        <v>1605</v>
      </c>
      <c r="J65" s="293" t="s">
        <v>1605</v>
      </c>
      <c r="K65" s="299">
        <v>115000.0</v>
      </c>
      <c r="L65" s="299">
        <v>115165.0</v>
      </c>
      <c r="M65" s="299">
        <v>115165.0</v>
      </c>
      <c r="N65" s="299">
        <v>115165.0</v>
      </c>
      <c r="O65" s="299">
        <v>115165.0</v>
      </c>
      <c r="P65" s="299">
        <v>115165.0</v>
      </c>
      <c r="Q65" s="299">
        <v>115165.0</v>
      </c>
      <c r="R65" s="294">
        <f t="shared" si="1"/>
        <v>805990</v>
      </c>
      <c r="S65" s="47"/>
      <c r="T65" s="47"/>
      <c r="U65" s="47"/>
      <c r="V65" s="47"/>
      <c r="W65" s="47"/>
      <c r="X65" s="47"/>
      <c r="Y65" s="47"/>
      <c r="Z65" s="47"/>
    </row>
    <row r="66" ht="15.0" customHeight="1">
      <c r="A66" s="295">
        <f>IF(C66="","",62)</f>
        <v>62</v>
      </c>
      <c r="B66" s="117" t="str">
        <f>IF('2_Data_Pelanggan'!D66="","",'2_Data_Pelanggan'!B66)</f>
        <v>ARM-0062</v>
      </c>
      <c r="C66" s="296" t="str">
        <f>IF('2_Data_Pelanggan'!D66="","",'2_Data_Pelanggan'!D66)</f>
        <v>CARWAN</v>
      </c>
      <c r="D66" s="282">
        <f>IF('2_Data_Pelanggan'!D66="","",'2_Data_Pelanggan'!M66)</f>
        <v>20</v>
      </c>
      <c r="E66" s="292">
        <f>IF('2_Data_Pelanggan'!D66="","",'2_Data_Pelanggan'!N66)</f>
        <v>115000</v>
      </c>
      <c r="F66" s="297" t="s">
        <v>1605</v>
      </c>
      <c r="G66" s="297" t="s">
        <v>1605</v>
      </c>
      <c r="H66" s="297" t="s">
        <v>1605</v>
      </c>
      <c r="I66" s="297" t="s">
        <v>1605</v>
      </c>
      <c r="J66" s="297" t="s">
        <v>1605</v>
      </c>
      <c r="K66" s="300">
        <v>115166.0</v>
      </c>
      <c r="L66" s="300">
        <v>115166.0</v>
      </c>
      <c r="M66" s="300">
        <v>115166.0</v>
      </c>
      <c r="N66" s="300">
        <v>115166.0</v>
      </c>
      <c r="O66" s="300">
        <v>115166.0</v>
      </c>
      <c r="P66" s="300">
        <v>115166.0</v>
      </c>
      <c r="Q66" s="300">
        <v>115166.0</v>
      </c>
      <c r="R66" s="298">
        <f t="shared" si="1"/>
        <v>806162</v>
      </c>
      <c r="S66" s="47"/>
      <c r="T66" s="47"/>
      <c r="U66" s="47"/>
      <c r="V66" s="47"/>
      <c r="W66" s="47"/>
      <c r="X66" s="47"/>
      <c r="Y66" s="47"/>
      <c r="Z66" s="47"/>
    </row>
    <row r="67" ht="15.0" customHeight="1">
      <c r="A67" s="290">
        <f>IF(C67="","",63)</f>
        <v>63</v>
      </c>
      <c r="B67" s="122" t="str">
        <f>IF('2_Data_Pelanggan'!D67="","",'2_Data_Pelanggan'!B67)</f>
        <v>ARM-0063</v>
      </c>
      <c r="C67" s="291" t="str">
        <f>IF('2_Data_Pelanggan'!D67="","",'2_Data_Pelanggan'!D67)</f>
        <v>TARWONO</v>
      </c>
      <c r="D67" s="279">
        <f>IF('2_Data_Pelanggan'!D67="","",'2_Data_Pelanggan'!M67)</f>
        <v>20</v>
      </c>
      <c r="E67" s="292">
        <f>IF('2_Data_Pelanggan'!D67="","",'2_Data_Pelanggan'!N67)</f>
        <v>115000</v>
      </c>
      <c r="F67" s="293" t="s">
        <v>1605</v>
      </c>
      <c r="G67" s="293" t="s">
        <v>1605</v>
      </c>
      <c r="H67" s="293" t="s">
        <v>1605</v>
      </c>
      <c r="I67" s="293" t="s">
        <v>1605</v>
      </c>
      <c r="J67" s="293" t="s">
        <v>1605</v>
      </c>
      <c r="K67" s="299">
        <v>115500.0</v>
      </c>
      <c r="L67" s="299">
        <v>115167.0</v>
      </c>
      <c r="M67" s="299">
        <v>115167.0</v>
      </c>
      <c r="N67" s="299">
        <v>115167.0</v>
      </c>
      <c r="O67" s="299">
        <v>115167.0</v>
      </c>
      <c r="P67" s="299">
        <v>115167.0</v>
      </c>
      <c r="Q67" s="299">
        <v>115167.0</v>
      </c>
      <c r="R67" s="294">
        <f t="shared" si="1"/>
        <v>806502</v>
      </c>
      <c r="S67" s="47"/>
      <c r="T67" s="47"/>
      <c r="U67" s="47"/>
      <c r="V67" s="47"/>
      <c r="W67" s="47"/>
      <c r="X67" s="47"/>
      <c r="Y67" s="47"/>
      <c r="Z67" s="47"/>
    </row>
    <row r="68" ht="15.0" customHeight="1">
      <c r="A68" s="295">
        <f>IF(C68="","",64)</f>
        <v>64</v>
      </c>
      <c r="B68" s="117" t="str">
        <f>IF('2_Data_Pelanggan'!D68="","",'2_Data_Pelanggan'!B68)</f>
        <v>ARM-0064</v>
      </c>
      <c r="C68" s="296" t="str">
        <f>IF('2_Data_Pelanggan'!D68="","",'2_Data_Pelanggan'!D68)</f>
        <v>WAHYOTO</v>
      </c>
      <c r="D68" s="282">
        <f>IF('2_Data_Pelanggan'!D68="","",'2_Data_Pelanggan'!M68)</f>
        <v>30</v>
      </c>
      <c r="E68" s="292">
        <f>IF('2_Data_Pelanggan'!D68="","",'2_Data_Pelanggan'!N68)</f>
        <v>142000</v>
      </c>
      <c r="F68" s="297" t="s">
        <v>1605</v>
      </c>
      <c r="G68" s="297" t="s">
        <v>1605</v>
      </c>
      <c r="H68" s="297" t="s">
        <v>1605</v>
      </c>
      <c r="I68" s="297" t="s">
        <v>1605</v>
      </c>
      <c r="J68" s="297" t="s">
        <v>1605</v>
      </c>
      <c r="K68" s="300">
        <v>142652.0</v>
      </c>
      <c r="L68" s="300">
        <v>142152.0</v>
      </c>
      <c r="M68" s="300">
        <v>142152.0</v>
      </c>
      <c r="N68" s="300">
        <v>142152.0</v>
      </c>
      <c r="O68" s="300">
        <v>142152.0</v>
      </c>
      <c r="P68" s="300">
        <v>142152.0</v>
      </c>
      <c r="Q68" s="300">
        <v>142152.0</v>
      </c>
      <c r="R68" s="298">
        <f t="shared" si="1"/>
        <v>995564</v>
      </c>
      <c r="S68" s="47"/>
      <c r="T68" s="47"/>
      <c r="U68" s="47"/>
      <c r="V68" s="47"/>
      <c r="W68" s="47"/>
      <c r="X68" s="47"/>
      <c r="Y68" s="47"/>
      <c r="Z68" s="47"/>
    </row>
    <row r="69" ht="15.0" customHeight="1">
      <c r="A69" s="290">
        <f>IF(C69="","",65)</f>
        <v>65</v>
      </c>
      <c r="B69" s="122" t="str">
        <f>IF('2_Data_Pelanggan'!D69="","",'2_Data_Pelanggan'!B69)</f>
        <v>ARM-0065</v>
      </c>
      <c r="C69" s="291" t="str">
        <f>IF('2_Data_Pelanggan'!D69="","",'2_Data_Pelanggan'!D69)</f>
        <v>RIZAL YUSUF BASTIAN</v>
      </c>
      <c r="D69" s="279">
        <f>IF('2_Data_Pelanggan'!D69="","",'2_Data_Pelanggan'!M69)</f>
        <v>30</v>
      </c>
      <c r="E69" s="292">
        <f>IF('2_Data_Pelanggan'!D69="","",'2_Data_Pelanggan'!N69)</f>
        <v>142000</v>
      </c>
      <c r="F69" s="293" t="s">
        <v>1605</v>
      </c>
      <c r="G69" s="293" t="s">
        <v>1605</v>
      </c>
      <c r="H69" s="293" t="s">
        <v>1605</v>
      </c>
      <c r="I69" s="293" t="s">
        <v>1605</v>
      </c>
      <c r="J69" s="293" t="s">
        <v>1605</v>
      </c>
      <c r="K69" s="299">
        <v>142153.0</v>
      </c>
      <c r="L69" s="299">
        <v>142153.0</v>
      </c>
      <c r="M69" s="299">
        <v>142153.0</v>
      </c>
      <c r="N69" s="299">
        <v>142153.0</v>
      </c>
      <c r="O69" s="299">
        <v>142153.0</v>
      </c>
      <c r="P69" s="299">
        <v>142153.0</v>
      </c>
      <c r="Q69" s="299">
        <v>142153.0</v>
      </c>
      <c r="R69" s="294">
        <f t="shared" si="1"/>
        <v>995071</v>
      </c>
      <c r="S69" s="47"/>
      <c r="T69" s="47"/>
      <c r="U69" s="47"/>
      <c r="V69" s="47"/>
      <c r="W69" s="47"/>
      <c r="X69" s="47"/>
      <c r="Y69" s="47"/>
      <c r="Z69" s="47"/>
    </row>
    <row r="70" ht="15.0" customHeight="1">
      <c r="A70" s="295">
        <f>IF(C70="","",66)</f>
        <v>66</v>
      </c>
      <c r="B70" s="117" t="str">
        <f>IF('2_Data_Pelanggan'!D70="","",'2_Data_Pelanggan'!B70)</f>
        <v>ARM-0066</v>
      </c>
      <c r="C70" s="296" t="str">
        <f>IF('2_Data_Pelanggan'!D70="","",'2_Data_Pelanggan'!D70)</f>
        <v>DARYOTO</v>
      </c>
      <c r="D70" s="282">
        <f>IF('2_Data_Pelanggan'!D70="","",'2_Data_Pelanggan'!M70)</f>
        <v>30</v>
      </c>
      <c r="E70" s="292">
        <f>IF('2_Data_Pelanggan'!D70="","",'2_Data_Pelanggan'!N70)</f>
        <v>142000</v>
      </c>
      <c r="F70" s="297" t="s">
        <v>1605</v>
      </c>
      <c r="G70" s="297" t="s">
        <v>1605</v>
      </c>
      <c r="H70" s="297" t="s">
        <v>1605</v>
      </c>
      <c r="I70" s="297" t="s">
        <v>1605</v>
      </c>
      <c r="J70" s="297" t="s">
        <v>1605</v>
      </c>
      <c r="K70" s="300">
        <v>142500.0</v>
      </c>
      <c r="L70" s="300">
        <v>142154.0</v>
      </c>
      <c r="M70" s="300">
        <v>142154.0</v>
      </c>
      <c r="N70" s="300">
        <v>142154.0</v>
      </c>
      <c r="O70" s="300">
        <v>142154.0</v>
      </c>
      <c r="P70" s="300">
        <v>142154.0</v>
      </c>
      <c r="Q70" s="300">
        <v>142154.0</v>
      </c>
      <c r="R70" s="298">
        <f t="shared" si="1"/>
        <v>995424</v>
      </c>
      <c r="S70" s="47"/>
      <c r="T70" s="47"/>
      <c r="U70" s="47"/>
      <c r="V70" s="47"/>
      <c r="W70" s="47"/>
      <c r="X70" s="47"/>
      <c r="Y70" s="47"/>
      <c r="Z70" s="47"/>
    </row>
    <row r="71" ht="15.0" customHeight="1">
      <c r="A71" s="290">
        <f>IF(C71="","",67)</f>
        <v>67</v>
      </c>
      <c r="B71" s="122" t="str">
        <f>IF('2_Data_Pelanggan'!D71="","",'2_Data_Pelanggan'!B71)</f>
        <v>ARM-0067</v>
      </c>
      <c r="C71" s="291" t="str">
        <f>IF('2_Data_Pelanggan'!D71="","",'2_Data_Pelanggan'!D71)</f>
        <v>KUSMANTO</v>
      </c>
      <c r="D71" s="279">
        <f>IF('2_Data_Pelanggan'!D71="","",'2_Data_Pelanggan'!M71)</f>
        <v>20</v>
      </c>
      <c r="E71" s="292">
        <f>IF('2_Data_Pelanggan'!D71="","",'2_Data_Pelanggan'!N71)</f>
        <v>115000</v>
      </c>
      <c r="F71" s="293" t="s">
        <v>1605</v>
      </c>
      <c r="G71" s="293" t="s">
        <v>1605</v>
      </c>
      <c r="H71" s="293" t="s">
        <v>1605</v>
      </c>
      <c r="I71" s="293" t="s">
        <v>1605</v>
      </c>
      <c r="J71" s="293" t="s">
        <v>1605</v>
      </c>
      <c r="K71" s="299">
        <v>115000.0</v>
      </c>
      <c r="L71" s="299">
        <v>115168.0</v>
      </c>
      <c r="M71" s="299">
        <v>115168.0</v>
      </c>
      <c r="N71" s="299">
        <v>115168.0</v>
      </c>
      <c r="O71" s="299">
        <v>115168.0</v>
      </c>
      <c r="P71" s="299">
        <v>115168.0</v>
      </c>
      <c r="Q71" s="299">
        <v>115168.0</v>
      </c>
      <c r="R71" s="294">
        <f t="shared" si="1"/>
        <v>806008</v>
      </c>
      <c r="S71" s="47"/>
      <c r="T71" s="47"/>
      <c r="U71" s="47"/>
      <c r="V71" s="47"/>
      <c r="W71" s="47"/>
      <c r="X71" s="47"/>
      <c r="Y71" s="47"/>
      <c r="Z71" s="47"/>
    </row>
    <row r="72" ht="15.0" customHeight="1">
      <c r="A72" s="295">
        <f>IF(C72="","",68)</f>
        <v>68</v>
      </c>
      <c r="B72" s="117" t="str">
        <f>IF('2_Data_Pelanggan'!D72="","",'2_Data_Pelanggan'!B72)</f>
        <v>ARM-0068</v>
      </c>
      <c r="C72" s="296" t="str">
        <f>IF('2_Data_Pelanggan'!D72="","",'2_Data_Pelanggan'!D72)</f>
        <v>ALESHA</v>
      </c>
      <c r="D72" s="282">
        <f>IF('2_Data_Pelanggan'!D72="","",'2_Data_Pelanggan'!M72)</f>
        <v>20</v>
      </c>
      <c r="E72" s="292">
        <f>IF('2_Data_Pelanggan'!D72="","",'2_Data_Pelanggan'!N72)</f>
        <v>115000</v>
      </c>
      <c r="F72" s="297" t="s">
        <v>1605</v>
      </c>
      <c r="G72" s="297" t="s">
        <v>1605</v>
      </c>
      <c r="H72" s="297" t="s">
        <v>1605</v>
      </c>
      <c r="I72" s="297" t="s">
        <v>1605</v>
      </c>
      <c r="J72" s="297" t="s">
        <v>1605</v>
      </c>
      <c r="K72" s="300">
        <v>115169.0</v>
      </c>
      <c r="L72" s="300">
        <v>115169.0</v>
      </c>
      <c r="M72" s="300">
        <v>115169.0</v>
      </c>
      <c r="N72" s="300">
        <v>115169.0</v>
      </c>
      <c r="O72" s="300">
        <v>115169.0</v>
      </c>
      <c r="P72" s="300">
        <v>115169.0</v>
      </c>
      <c r="Q72" s="300">
        <v>115169.0</v>
      </c>
      <c r="R72" s="298">
        <f t="shared" si="1"/>
        <v>806183</v>
      </c>
      <c r="S72" s="47"/>
      <c r="T72" s="47"/>
      <c r="U72" s="47"/>
      <c r="V72" s="47"/>
      <c r="W72" s="47"/>
      <c r="X72" s="47"/>
      <c r="Y72" s="47"/>
      <c r="Z72" s="47"/>
    </row>
    <row r="73" ht="15.0" customHeight="1">
      <c r="A73" s="290">
        <f>IF(C73="","",69)</f>
        <v>69</v>
      </c>
      <c r="B73" s="122" t="str">
        <f>IF('2_Data_Pelanggan'!D73="","",'2_Data_Pelanggan'!B73)</f>
        <v>ARM-0069</v>
      </c>
      <c r="C73" s="291" t="str">
        <f>IF('2_Data_Pelanggan'!D73="","",'2_Data_Pelanggan'!D73)</f>
        <v>GAYUH MUTIARA NISA</v>
      </c>
      <c r="D73" s="279">
        <f>IF('2_Data_Pelanggan'!D73="","",'2_Data_Pelanggan'!M73)</f>
        <v>20</v>
      </c>
      <c r="E73" s="292">
        <f>IF('2_Data_Pelanggan'!D73="","",'2_Data_Pelanggan'!N73)</f>
        <v>115000</v>
      </c>
      <c r="F73" s="293" t="s">
        <v>1605</v>
      </c>
      <c r="G73" s="293" t="s">
        <v>1605</v>
      </c>
      <c r="H73" s="293" t="s">
        <v>1605</v>
      </c>
      <c r="I73" s="293" t="s">
        <v>1605</v>
      </c>
      <c r="J73" s="293" t="s">
        <v>1605</v>
      </c>
      <c r="K73" s="299">
        <v>115170.0</v>
      </c>
      <c r="L73" s="299">
        <v>115170.0</v>
      </c>
      <c r="M73" s="299">
        <v>115170.0</v>
      </c>
      <c r="N73" s="299">
        <v>115170.0</v>
      </c>
      <c r="O73" s="299">
        <v>115170.0</v>
      </c>
      <c r="P73" s="299">
        <v>115170.0</v>
      </c>
      <c r="Q73" s="299">
        <v>115170.0</v>
      </c>
      <c r="R73" s="294">
        <f t="shared" si="1"/>
        <v>806190</v>
      </c>
      <c r="S73" s="47"/>
      <c r="T73" s="47"/>
      <c r="U73" s="47"/>
      <c r="V73" s="47"/>
      <c r="W73" s="47"/>
      <c r="X73" s="47"/>
      <c r="Y73" s="47"/>
      <c r="Z73" s="47"/>
    </row>
    <row r="74" ht="15.0" customHeight="1">
      <c r="A74" s="295">
        <f>IF(C74="","",70)</f>
        <v>70</v>
      </c>
      <c r="B74" s="117" t="str">
        <f>IF('2_Data_Pelanggan'!D74="","",'2_Data_Pelanggan'!B74)</f>
        <v>ARM-0070</v>
      </c>
      <c r="C74" s="296" t="str">
        <f>IF('2_Data_Pelanggan'!D74="","",'2_Data_Pelanggan'!D74)</f>
        <v>UMI LESTARI</v>
      </c>
      <c r="D74" s="282">
        <f>IF('2_Data_Pelanggan'!D74="","",'2_Data_Pelanggan'!M74)</f>
        <v>20</v>
      </c>
      <c r="E74" s="292">
        <f>IF('2_Data_Pelanggan'!D74="","",'2_Data_Pelanggan'!N74)</f>
        <v>115000</v>
      </c>
      <c r="F74" s="297" t="s">
        <v>1605</v>
      </c>
      <c r="G74" s="297" t="s">
        <v>1605</v>
      </c>
      <c r="H74" s="297" t="s">
        <v>1605</v>
      </c>
      <c r="I74" s="297" t="s">
        <v>1605</v>
      </c>
      <c r="J74" s="297" t="s">
        <v>1605</v>
      </c>
      <c r="K74" s="300">
        <v>115171.0</v>
      </c>
      <c r="L74" s="300">
        <v>115171.0</v>
      </c>
      <c r="M74" s="300">
        <v>115171.0</v>
      </c>
      <c r="N74" s="300">
        <v>115171.0</v>
      </c>
      <c r="O74" s="300">
        <v>115171.0</v>
      </c>
      <c r="P74" s="300">
        <v>115171.0</v>
      </c>
      <c r="Q74" s="300">
        <v>115171.0</v>
      </c>
      <c r="R74" s="298">
        <f t="shared" si="1"/>
        <v>806197</v>
      </c>
      <c r="S74" s="47"/>
      <c r="T74" s="47"/>
      <c r="U74" s="47"/>
      <c r="V74" s="47"/>
      <c r="W74" s="47"/>
      <c r="X74" s="47"/>
      <c r="Y74" s="47"/>
      <c r="Z74" s="47"/>
    </row>
    <row r="75" ht="15.0" customHeight="1">
      <c r="A75" s="290">
        <f>IF(C75="","",71)</f>
        <v>71</v>
      </c>
      <c r="B75" s="122" t="str">
        <f>IF('2_Data_Pelanggan'!D75="","",'2_Data_Pelanggan'!B75)</f>
        <v>ARM-0071</v>
      </c>
      <c r="C75" s="291" t="str">
        <f>IF('2_Data_Pelanggan'!D75="","",'2_Data_Pelanggan'!D75)</f>
        <v>TARSUM</v>
      </c>
      <c r="D75" s="279">
        <f>IF('2_Data_Pelanggan'!D75="","",'2_Data_Pelanggan'!M75)</f>
        <v>20</v>
      </c>
      <c r="E75" s="292">
        <f>IF('2_Data_Pelanggan'!D75="","",'2_Data_Pelanggan'!N75)</f>
        <v>115000</v>
      </c>
      <c r="F75" s="293" t="s">
        <v>1605</v>
      </c>
      <c r="G75" s="293" t="s">
        <v>1605</v>
      </c>
      <c r="H75" s="293" t="s">
        <v>1605</v>
      </c>
      <c r="I75" s="293" t="s">
        <v>1605</v>
      </c>
      <c r="J75" s="293" t="s">
        <v>1605</v>
      </c>
      <c r="K75" s="299">
        <v>115000.0</v>
      </c>
      <c r="L75" s="299">
        <v>115172.0</v>
      </c>
      <c r="M75" s="299">
        <v>115172.0</v>
      </c>
      <c r="N75" s="299">
        <v>115172.0</v>
      </c>
      <c r="O75" s="299">
        <v>115172.0</v>
      </c>
      <c r="P75" s="299">
        <v>115172.0</v>
      </c>
      <c r="Q75" s="299">
        <v>115172.0</v>
      </c>
      <c r="R75" s="294">
        <f t="shared" si="1"/>
        <v>806032</v>
      </c>
      <c r="S75" s="47"/>
      <c r="T75" s="47"/>
      <c r="U75" s="47"/>
      <c r="V75" s="47"/>
      <c r="W75" s="47"/>
      <c r="X75" s="47"/>
      <c r="Y75" s="47"/>
      <c r="Z75" s="47"/>
    </row>
    <row r="76" ht="15.0" customHeight="1">
      <c r="A76" s="295">
        <f>IF(C76="","",72)</f>
        <v>72</v>
      </c>
      <c r="B76" s="117" t="str">
        <f>IF('2_Data_Pelanggan'!D76="","",'2_Data_Pelanggan'!B76)</f>
        <v>ARM-0072</v>
      </c>
      <c r="C76" s="296" t="str">
        <f>IF('2_Data_Pelanggan'!D76="","",'2_Data_Pelanggan'!D76)</f>
        <v>KARSINEM</v>
      </c>
      <c r="D76" s="282">
        <f>IF('2_Data_Pelanggan'!D76="","",'2_Data_Pelanggan'!M76)</f>
        <v>20</v>
      </c>
      <c r="E76" s="292">
        <f>IF('2_Data_Pelanggan'!D76="","",'2_Data_Pelanggan'!N76)</f>
        <v>115000</v>
      </c>
      <c r="F76" s="297" t="s">
        <v>1605</v>
      </c>
      <c r="G76" s="297" t="s">
        <v>1605</v>
      </c>
      <c r="H76" s="297" t="s">
        <v>1605</v>
      </c>
      <c r="I76" s="297" t="s">
        <v>1605</v>
      </c>
      <c r="J76" s="297" t="s">
        <v>1605</v>
      </c>
      <c r="K76" s="300">
        <v>115000.0</v>
      </c>
      <c r="L76" s="300">
        <v>115173.0</v>
      </c>
      <c r="M76" s="300">
        <v>115173.0</v>
      </c>
      <c r="N76" s="300">
        <v>115173.0</v>
      </c>
      <c r="O76" s="300">
        <v>115173.0</v>
      </c>
      <c r="P76" s="300">
        <v>115173.0</v>
      </c>
      <c r="Q76" s="300">
        <v>115173.0</v>
      </c>
      <c r="R76" s="298">
        <f t="shared" si="1"/>
        <v>806038</v>
      </c>
      <c r="S76" s="47"/>
      <c r="T76" s="47"/>
      <c r="U76" s="47"/>
      <c r="V76" s="47"/>
      <c r="W76" s="47"/>
      <c r="X76" s="47"/>
      <c r="Y76" s="47"/>
      <c r="Z76" s="47"/>
    </row>
    <row r="77" ht="15.0" customHeight="1">
      <c r="A77" s="290">
        <f>IF(C77="","",73)</f>
        <v>73</v>
      </c>
      <c r="B77" s="122" t="str">
        <f>IF('2_Data_Pelanggan'!D77="","",'2_Data_Pelanggan'!B77)</f>
        <v>ARM-0073</v>
      </c>
      <c r="C77" s="291" t="str">
        <f>IF('2_Data_Pelanggan'!D77="","",'2_Data_Pelanggan'!D77)</f>
        <v>RUSLITO</v>
      </c>
      <c r="D77" s="279">
        <f>IF('2_Data_Pelanggan'!D77="","",'2_Data_Pelanggan'!M77)</f>
        <v>30</v>
      </c>
      <c r="E77" s="292">
        <f>IF('2_Data_Pelanggan'!D77="","",'2_Data_Pelanggan'!N77)</f>
        <v>142000</v>
      </c>
      <c r="F77" s="293" t="s">
        <v>1605</v>
      </c>
      <c r="G77" s="293" t="s">
        <v>1605</v>
      </c>
      <c r="H77" s="293" t="s">
        <v>1605</v>
      </c>
      <c r="I77" s="293" t="s">
        <v>1605</v>
      </c>
      <c r="J77" s="293" t="s">
        <v>1605</v>
      </c>
      <c r="K77" s="299">
        <v>142155.0</v>
      </c>
      <c r="L77" s="299">
        <v>142155.0</v>
      </c>
      <c r="M77" s="299">
        <v>142155.0</v>
      </c>
      <c r="N77" s="299">
        <v>142155.0</v>
      </c>
      <c r="O77" s="299">
        <v>142155.0</v>
      </c>
      <c r="P77" s="299">
        <v>142155.0</v>
      </c>
      <c r="Q77" s="299">
        <v>142155.0</v>
      </c>
      <c r="R77" s="294">
        <f t="shared" si="1"/>
        <v>995085</v>
      </c>
      <c r="S77" s="47"/>
      <c r="T77" s="47"/>
      <c r="U77" s="47"/>
      <c r="V77" s="47"/>
      <c r="W77" s="47"/>
      <c r="X77" s="47"/>
      <c r="Y77" s="47"/>
      <c r="Z77" s="47"/>
    </row>
    <row r="78" ht="15.0" customHeight="1">
      <c r="A78" s="295">
        <f>IF(C78="","",74)</f>
        <v>74</v>
      </c>
      <c r="B78" s="117" t="str">
        <f>IF('2_Data_Pelanggan'!D78="","",'2_Data_Pelanggan'!B78)</f>
        <v>ARM-0074</v>
      </c>
      <c r="C78" s="296" t="str">
        <f>IF('2_Data_Pelanggan'!D78="","",'2_Data_Pelanggan'!D78)</f>
        <v>SUWOTO</v>
      </c>
      <c r="D78" s="282">
        <f>IF('2_Data_Pelanggan'!D78="","",'2_Data_Pelanggan'!M78)</f>
        <v>30</v>
      </c>
      <c r="E78" s="292">
        <f>IF('2_Data_Pelanggan'!D78="","",'2_Data_Pelanggan'!N78)</f>
        <v>142000</v>
      </c>
      <c r="F78" s="297" t="s">
        <v>1605</v>
      </c>
      <c r="G78" s="297" t="s">
        <v>1605</v>
      </c>
      <c r="H78" s="297" t="s">
        <v>1605</v>
      </c>
      <c r="I78" s="297" t="s">
        <v>1605</v>
      </c>
      <c r="J78" s="297" t="s">
        <v>1605</v>
      </c>
      <c r="K78" s="300">
        <v>142156.0</v>
      </c>
      <c r="L78" s="300">
        <v>142156.0</v>
      </c>
      <c r="M78" s="300">
        <v>142156.0</v>
      </c>
      <c r="N78" s="300">
        <v>142156.0</v>
      </c>
      <c r="O78" s="300">
        <v>142156.0</v>
      </c>
      <c r="P78" s="300">
        <v>142156.0</v>
      </c>
      <c r="Q78" s="300">
        <v>142156.0</v>
      </c>
      <c r="R78" s="298">
        <f t="shared" si="1"/>
        <v>995092</v>
      </c>
      <c r="S78" s="47"/>
      <c r="T78" s="47"/>
      <c r="U78" s="47"/>
      <c r="V78" s="47"/>
      <c r="W78" s="47"/>
      <c r="X78" s="47"/>
      <c r="Y78" s="47"/>
      <c r="Z78" s="47"/>
    </row>
    <row r="79" ht="15.0" customHeight="1">
      <c r="A79" s="290">
        <f>IF(C79="","",75)</f>
        <v>75</v>
      </c>
      <c r="B79" s="122" t="str">
        <f>IF('2_Data_Pelanggan'!D79="","",'2_Data_Pelanggan'!B79)</f>
        <v>ARM-0075</v>
      </c>
      <c r="C79" s="291" t="str">
        <f>IF('2_Data_Pelanggan'!D79="","",'2_Data_Pelanggan'!D79)</f>
        <v>MEI EKOWATI</v>
      </c>
      <c r="D79" s="279">
        <f>IF('2_Data_Pelanggan'!D79="","",'2_Data_Pelanggan'!M79)</f>
        <v>20</v>
      </c>
      <c r="E79" s="292">
        <f>IF('2_Data_Pelanggan'!D79="","",'2_Data_Pelanggan'!N79)</f>
        <v>115000</v>
      </c>
      <c r="F79" s="293" t="s">
        <v>1605</v>
      </c>
      <c r="G79" s="293" t="s">
        <v>1605</v>
      </c>
      <c r="H79" s="293" t="s">
        <v>1605</v>
      </c>
      <c r="I79" s="293" t="s">
        <v>1605</v>
      </c>
      <c r="J79" s="293" t="s">
        <v>1605</v>
      </c>
      <c r="K79" s="299">
        <v>115174.0</v>
      </c>
      <c r="L79" s="299">
        <v>115174.0</v>
      </c>
      <c r="M79" s="299">
        <v>115174.0</v>
      </c>
      <c r="N79" s="299">
        <v>115174.0</v>
      </c>
      <c r="O79" s="299">
        <v>115174.0</v>
      </c>
      <c r="P79" s="299">
        <v>115174.0</v>
      </c>
      <c r="Q79" s="299">
        <v>115174.0</v>
      </c>
      <c r="R79" s="294">
        <f t="shared" si="1"/>
        <v>806218</v>
      </c>
      <c r="S79" s="47"/>
      <c r="T79" s="47"/>
      <c r="U79" s="47"/>
      <c r="V79" s="47"/>
      <c r="W79" s="47"/>
      <c r="X79" s="47"/>
      <c r="Y79" s="47"/>
      <c r="Z79" s="47"/>
    </row>
    <row r="80" ht="15.0" customHeight="1">
      <c r="A80" s="295">
        <f>IF(C80="","",76)</f>
        <v>76</v>
      </c>
      <c r="B80" s="117" t="str">
        <f>IF('2_Data_Pelanggan'!D80="","",'2_Data_Pelanggan'!B80)</f>
        <v>ARM-0076</v>
      </c>
      <c r="C80" s="296" t="str">
        <f>IF('2_Data_Pelanggan'!D80="","",'2_Data_Pelanggan'!D80)</f>
        <v>BHANU CHRISSIE A</v>
      </c>
      <c r="D80" s="282">
        <f>IF('2_Data_Pelanggan'!D80="","",'2_Data_Pelanggan'!M80)</f>
        <v>30</v>
      </c>
      <c r="E80" s="292">
        <f>IF('2_Data_Pelanggan'!D80="","",'2_Data_Pelanggan'!N80)</f>
        <v>142000</v>
      </c>
      <c r="F80" s="297" t="s">
        <v>1605</v>
      </c>
      <c r="G80" s="297" t="s">
        <v>1605</v>
      </c>
      <c r="H80" s="297" t="s">
        <v>1605</v>
      </c>
      <c r="I80" s="297" t="s">
        <v>1605</v>
      </c>
      <c r="J80" s="297" t="s">
        <v>1605</v>
      </c>
      <c r="K80" s="300">
        <v>142000.0</v>
      </c>
      <c r="L80" s="300">
        <v>142157.0</v>
      </c>
      <c r="M80" s="300">
        <v>142157.0</v>
      </c>
      <c r="N80" s="300">
        <v>142157.0</v>
      </c>
      <c r="O80" s="300">
        <v>142157.0</v>
      </c>
      <c r="P80" s="300">
        <v>142157.0</v>
      </c>
      <c r="Q80" s="300">
        <v>142157.0</v>
      </c>
      <c r="R80" s="298">
        <f t="shared" si="1"/>
        <v>994942</v>
      </c>
      <c r="S80" s="47"/>
      <c r="T80" s="47"/>
      <c r="U80" s="47"/>
      <c r="V80" s="47"/>
      <c r="W80" s="47"/>
      <c r="X80" s="47"/>
      <c r="Y80" s="47"/>
      <c r="Z80" s="47"/>
    </row>
    <row r="81" ht="15.0" customHeight="1">
      <c r="A81" s="290">
        <f>IF(C81="","",77)</f>
        <v>77</v>
      </c>
      <c r="B81" s="122" t="str">
        <f>IF('2_Data_Pelanggan'!D81="","",'2_Data_Pelanggan'!B81)</f>
        <v>ARM-0077</v>
      </c>
      <c r="C81" s="291" t="str">
        <f>IF('2_Data_Pelanggan'!D81="","",'2_Data_Pelanggan'!D81)</f>
        <v>BURHAN</v>
      </c>
      <c r="D81" s="279">
        <f>IF('2_Data_Pelanggan'!D81="","",'2_Data_Pelanggan'!M81)</f>
        <v>30</v>
      </c>
      <c r="E81" s="292">
        <f>IF('2_Data_Pelanggan'!D81="","",'2_Data_Pelanggan'!N81)</f>
        <v>142000</v>
      </c>
      <c r="F81" s="293" t="s">
        <v>1605</v>
      </c>
      <c r="G81" s="293" t="s">
        <v>1605</v>
      </c>
      <c r="H81" s="293" t="s">
        <v>1605</v>
      </c>
      <c r="I81" s="293" t="s">
        <v>1605</v>
      </c>
      <c r="J81" s="293" t="s">
        <v>1605</v>
      </c>
      <c r="K81" s="299">
        <v>142158.0</v>
      </c>
      <c r="L81" s="299">
        <v>142158.0</v>
      </c>
      <c r="M81" s="299">
        <v>142158.0</v>
      </c>
      <c r="N81" s="299">
        <v>142158.0</v>
      </c>
      <c r="O81" s="299">
        <v>142158.0</v>
      </c>
      <c r="P81" s="299">
        <v>142158.0</v>
      </c>
      <c r="Q81" s="299">
        <v>142158.0</v>
      </c>
      <c r="R81" s="294">
        <f t="shared" si="1"/>
        <v>995106</v>
      </c>
      <c r="S81" s="47"/>
      <c r="T81" s="47"/>
      <c r="U81" s="47"/>
      <c r="V81" s="47"/>
      <c r="W81" s="47"/>
      <c r="X81" s="47"/>
      <c r="Y81" s="47"/>
      <c r="Z81" s="47"/>
    </row>
    <row r="82" ht="15.0" customHeight="1">
      <c r="A82" s="295">
        <f>IF(C82="","",78)</f>
        <v>78</v>
      </c>
      <c r="B82" s="117" t="str">
        <f>IF('2_Data_Pelanggan'!D82="","",'2_Data_Pelanggan'!B82)</f>
        <v>ARM-0078</v>
      </c>
      <c r="C82" s="296" t="str">
        <f>IF('2_Data_Pelanggan'!D82="","",'2_Data_Pelanggan'!D82)</f>
        <v>RUMBINI</v>
      </c>
      <c r="D82" s="282">
        <f>IF('2_Data_Pelanggan'!D82="","",'2_Data_Pelanggan'!M82)</f>
        <v>20</v>
      </c>
      <c r="E82" s="292">
        <f>IF('2_Data_Pelanggan'!D82="","",'2_Data_Pelanggan'!N82)</f>
        <v>115000</v>
      </c>
      <c r="F82" s="297" t="s">
        <v>1605</v>
      </c>
      <c r="G82" s="297" t="s">
        <v>1605</v>
      </c>
      <c r="H82" s="297" t="s">
        <v>1605</v>
      </c>
      <c r="I82" s="297" t="s">
        <v>1605</v>
      </c>
      <c r="J82" s="297" t="s">
        <v>1605</v>
      </c>
      <c r="K82" s="300">
        <v>115175.0</v>
      </c>
      <c r="L82" s="300">
        <v>115175.0</v>
      </c>
      <c r="M82" s="300">
        <v>115175.0</v>
      </c>
      <c r="N82" s="300">
        <v>115175.0</v>
      </c>
      <c r="O82" s="300">
        <v>115175.0</v>
      </c>
      <c r="P82" s="300">
        <v>115175.0</v>
      </c>
      <c r="Q82" s="300">
        <v>115175.0</v>
      </c>
      <c r="R82" s="298">
        <f t="shared" si="1"/>
        <v>806225</v>
      </c>
      <c r="S82" s="47"/>
      <c r="T82" s="47"/>
      <c r="U82" s="47"/>
      <c r="V82" s="47"/>
      <c r="W82" s="47"/>
      <c r="X82" s="47"/>
      <c r="Y82" s="47"/>
      <c r="Z82" s="47"/>
    </row>
    <row r="83" ht="15.0" customHeight="1">
      <c r="A83" s="290">
        <f>IF(C83="","",79)</f>
        <v>79</v>
      </c>
      <c r="B83" s="122" t="str">
        <f>IF('2_Data_Pelanggan'!D83="","",'2_Data_Pelanggan'!B83)</f>
        <v>ARM-0079</v>
      </c>
      <c r="C83" s="291" t="str">
        <f>IF('2_Data_Pelanggan'!D83="","",'2_Data_Pelanggan'!D83)</f>
        <v>KASTINAH</v>
      </c>
      <c r="D83" s="279">
        <f>IF('2_Data_Pelanggan'!D83="","",'2_Data_Pelanggan'!M83)</f>
        <v>20</v>
      </c>
      <c r="E83" s="292">
        <f>IF('2_Data_Pelanggan'!D83="","",'2_Data_Pelanggan'!N83)</f>
        <v>115000</v>
      </c>
      <c r="F83" s="293" t="s">
        <v>1605</v>
      </c>
      <c r="G83" s="293" t="s">
        <v>1605</v>
      </c>
      <c r="H83" s="293" t="s">
        <v>1605</v>
      </c>
      <c r="I83" s="293" t="s">
        <v>1605</v>
      </c>
      <c r="J83" s="293" t="s">
        <v>1605</v>
      </c>
      <c r="K83" s="299">
        <v>115176.0</v>
      </c>
      <c r="L83" s="299">
        <v>115176.0</v>
      </c>
      <c r="M83" s="299">
        <v>115176.0</v>
      </c>
      <c r="N83" s="299">
        <v>115176.0</v>
      </c>
      <c r="O83" s="299">
        <v>115176.0</v>
      </c>
      <c r="P83" s="299">
        <v>115176.0</v>
      </c>
      <c r="Q83" s="299">
        <v>115176.0</v>
      </c>
      <c r="R83" s="294">
        <f t="shared" si="1"/>
        <v>806232</v>
      </c>
      <c r="S83" s="47"/>
      <c r="T83" s="47"/>
      <c r="U83" s="47"/>
      <c r="V83" s="47"/>
      <c r="W83" s="47"/>
      <c r="X83" s="47"/>
      <c r="Y83" s="47"/>
      <c r="Z83" s="47"/>
    </row>
    <row r="84" ht="15.0" customHeight="1">
      <c r="A84" s="295">
        <f>IF(C84="","",80)</f>
        <v>80</v>
      </c>
      <c r="B84" s="117" t="str">
        <f>IF('2_Data_Pelanggan'!D84="","",'2_Data_Pelanggan'!B84)</f>
        <v>ARM-0080</v>
      </c>
      <c r="C84" s="296" t="str">
        <f>IF('2_Data_Pelanggan'!D84="","",'2_Data_Pelanggan'!D84)</f>
        <v>IMAM SULISTIYO</v>
      </c>
      <c r="D84" s="282">
        <f>IF('2_Data_Pelanggan'!D84="","",'2_Data_Pelanggan'!M84)</f>
        <v>20</v>
      </c>
      <c r="E84" s="292">
        <f>IF('2_Data_Pelanggan'!D84="","",'2_Data_Pelanggan'!N84)</f>
        <v>115000</v>
      </c>
      <c r="F84" s="297" t="s">
        <v>1605</v>
      </c>
      <c r="G84" s="297" t="s">
        <v>1605</v>
      </c>
      <c r="H84" s="297" t="s">
        <v>1605</v>
      </c>
      <c r="I84" s="297" t="s">
        <v>1605</v>
      </c>
      <c r="J84" s="297" t="s">
        <v>1605</v>
      </c>
      <c r="K84" s="300">
        <v>116000.0</v>
      </c>
      <c r="L84" s="300">
        <v>115177.0</v>
      </c>
      <c r="M84" s="300">
        <v>115177.0</v>
      </c>
      <c r="N84" s="300">
        <v>115177.0</v>
      </c>
      <c r="O84" s="300">
        <v>115177.0</v>
      </c>
      <c r="P84" s="300">
        <v>115177.0</v>
      </c>
      <c r="Q84" s="300">
        <v>115177.0</v>
      </c>
      <c r="R84" s="298">
        <f t="shared" si="1"/>
        <v>807062</v>
      </c>
      <c r="S84" s="47"/>
      <c r="T84" s="47"/>
      <c r="U84" s="47"/>
      <c r="V84" s="47"/>
      <c r="W84" s="47"/>
      <c r="X84" s="47"/>
      <c r="Y84" s="47"/>
      <c r="Z84" s="47"/>
    </row>
    <row r="85" ht="15.0" customHeight="1">
      <c r="A85" s="290">
        <f>IF(C85="","",81)</f>
        <v>81</v>
      </c>
      <c r="B85" s="122" t="str">
        <f>IF('2_Data_Pelanggan'!D85="","",'2_Data_Pelanggan'!B85)</f>
        <v>ARM-0081</v>
      </c>
      <c r="C85" s="291" t="str">
        <f>IF('2_Data_Pelanggan'!D85="","",'2_Data_Pelanggan'!D85)</f>
        <v>SRI MARTINI - IMAM ST</v>
      </c>
      <c r="D85" s="279">
        <f>IF('2_Data_Pelanggan'!D85="","",'2_Data_Pelanggan'!M85)</f>
        <v>20</v>
      </c>
      <c r="E85" s="292">
        <f>IF('2_Data_Pelanggan'!D85="","",'2_Data_Pelanggan'!N85)</f>
        <v>115000</v>
      </c>
      <c r="F85" s="293" t="s">
        <v>1605</v>
      </c>
      <c r="G85" s="293" t="s">
        <v>1605</v>
      </c>
      <c r="H85" s="293" t="s">
        <v>1605</v>
      </c>
      <c r="I85" s="293" t="s">
        <v>1605</v>
      </c>
      <c r="J85" s="293" t="s">
        <v>1605</v>
      </c>
      <c r="K85" s="299">
        <v>116000.0</v>
      </c>
      <c r="L85" s="299">
        <v>115178.0</v>
      </c>
      <c r="M85" s="299">
        <v>115178.0</v>
      </c>
      <c r="N85" s="299">
        <v>115178.0</v>
      </c>
      <c r="O85" s="299">
        <v>115178.0</v>
      </c>
      <c r="P85" s="299">
        <v>115178.0</v>
      </c>
      <c r="Q85" s="299">
        <v>115178.0</v>
      </c>
      <c r="R85" s="294">
        <f t="shared" si="1"/>
        <v>807068</v>
      </c>
      <c r="S85" s="47"/>
      <c r="T85" s="47"/>
      <c r="U85" s="47"/>
      <c r="V85" s="47"/>
      <c r="W85" s="47"/>
      <c r="X85" s="47"/>
      <c r="Y85" s="47"/>
      <c r="Z85" s="47"/>
    </row>
    <row r="86" ht="15.0" customHeight="1">
      <c r="A86" s="295">
        <f>IF(C86="","",82)</f>
        <v>82</v>
      </c>
      <c r="B86" s="117" t="str">
        <f>IF('2_Data_Pelanggan'!D86="","",'2_Data_Pelanggan'!B86)</f>
        <v>ARM-0082</v>
      </c>
      <c r="C86" s="296" t="str">
        <f>IF('2_Data_Pelanggan'!D86="","",'2_Data_Pelanggan'!D86)</f>
        <v>ANJAR NUTRASARI</v>
      </c>
      <c r="D86" s="282">
        <f>IF('2_Data_Pelanggan'!D86="","",'2_Data_Pelanggan'!M86)</f>
        <v>50</v>
      </c>
      <c r="E86" s="292">
        <f>IF('2_Data_Pelanggan'!D86="","",'2_Data_Pelanggan'!N86)</f>
        <v>182000</v>
      </c>
      <c r="F86" s="297" t="s">
        <v>1605</v>
      </c>
      <c r="G86" s="297" t="s">
        <v>1605</v>
      </c>
      <c r="H86" s="297" t="s">
        <v>1605</v>
      </c>
      <c r="I86" s="297" t="s">
        <v>1605</v>
      </c>
      <c r="J86" s="297" t="s">
        <v>1605</v>
      </c>
      <c r="K86" s="300">
        <v>182151.0</v>
      </c>
      <c r="L86" s="300">
        <v>182151.0</v>
      </c>
      <c r="M86" s="300">
        <v>182151.0</v>
      </c>
      <c r="N86" s="300">
        <v>182151.0</v>
      </c>
      <c r="O86" s="300">
        <v>182151.0</v>
      </c>
      <c r="P86" s="300">
        <v>182151.0</v>
      </c>
      <c r="Q86" s="300">
        <v>182151.0</v>
      </c>
      <c r="R86" s="298">
        <f t="shared" si="1"/>
        <v>1275057</v>
      </c>
      <c r="S86" s="47"/>
      <c r="T86" s="47"/>
      <c r="U86" s="47"/>
      <c r="V86" s="47"/>
      <c r="W86" s="47"/>
      <c r="X86" s="47"/>
      <c r="Y86" s="47"/>
      <c r="Z86" s="47"/>
    </row>
    <row r="87" ht="15.0" customHeight="1">
      <c r="A87" s="290">
        <f>IF(C87="","",83)</f>
        <v>83</v>
      </c>
      <c r="B87" s="122" t="str">
        <f>IF('2_Data_Pelanggan'!D87="","",'2_Data_Pelanggan'!B87)</f>
        <v>ARM-0083</v>
      </c>
      <c r="C87" s="291" t="str">
        <f>IF('2_Data_Pelanggan'!D87="","",'2_Data_Pelanggan'!D87)</f>
        <v>NASIM-TURYATI</v>
      </c>
      <c r="D87" s="279">
        <f>IF('2_Data_Pelanggan'!D87="","",'2_Data_Pelanggan'!M87)</f>
        <v>20</v>
      </c>
      <c r="E87" s="292">
        <f>IF('2_Data_Pelanggan'!D87="","",'2_Data_Pelanggan'!N87)</f>
        <v>115000</v>
      </c>
      <c r="F87" s="293" t="s">
        <v>1605</v>
      </c>
      <c r="G87" s="293" t="s">
        <v>1605</v>
      </c>
      <c r="H87" s="293" t="s">
        <v>1605</v>
      </c>
      <c r="I87" s="293" t="s">
        <v>1605</v>
      </c>
      <c r="J87" s="293" t="s">
        <v>1605</v>
      </c>
      <c r="K87" s="299">
        <v>115500.0</v>
      </c>
      <c r="L87" s="299">
        <v>115179.0</v>
      </c>
      <c r="M87" s="299">
        <v>115179.0</v>
      </c>
      <c r="N87" s="299">
        <v>115179.0</v>
      </c>
      <c r="O87" s="299">
        <v>115179.0</v>
      </c>
      <c r="P87" s="299">
        <v>115179.0</v>
      </c>
      <c r="Q87" s="299">
        <v>115179.0</v>
      </c>
      <c r="R87" s="294">
        <f t="shared" si="1"/>
        <v>806574</v>
      </c>
      <c r="S87" s="47"/>
      <c r="T87" s="47"/>
      <c r="U87" s="47"/>
      <c r="V87" s="47"/>
      <c r="W87" s="47"/>
      <c r="X87" s="47"/>
      <c r="Y87" s="47"/>
      <c r="Z87" s="47"/>
    </row>
    <row r="88" ht="15.0" customHeight="1">
      <c r="A88" s="295">
        <f>IF(C88="","",84)</f>
        <v>84</v>
      </c>
      <c r="B88" s="117" t="str">
        <f>IF('2_Data_Pelanggan'!D88="","",'2_Data_Pelanggan'!B88)</f>
        <v>ARM-0084</v>
      </c>
      <c r="C88" s="296" t="str">
        <f>IF('2_Data_Pelanggan'!D88="","",'2_Data_Pelanggan'!D88)</f>
        <v>KELURAHAN GUMELAR</v>
      </c>
      <c r="D88" s="282">
        <f>IF('2_Data_Pelanggan'!D88="","",'2_Data_Pelanggan'!M88)</f>
        <v>75</v>
      </c>
      <c r="E88" s="292">
        <f>IF('2_Data_Pelanggan'!D88="","",'2_Data_Pelanggan'!N88)</f>
        <v>260000</v>
      </c>
      <c r="F88" s="297" t="s">
        <v>1605</v>
      </c>
      <c r="G88" s="297" t="s">
        <v>1605</v>
      </c>
      <c r="H88" s="297" t="s">
        <v>1605</v>
      </c>
      <c r="I88" s="297" t="s">
        <v>1605</v>
      </c>
      <c r="J88" s="297" t="s">
        <v>1605</v>
      </c>
      <c r="K88" s="300">
        <v>182152.0</v>
      </c>
      <c r="L88" s="300">
        <v>260000.0</v>
      </c>
      <c r="M88" s="300">
        <v>260000.0</v>
      </c>
      <c r="N88" s="300">
        <v>260000.0</v>
      </c>
      <c r="O88" s="300">
        <v>260000.0</v>
      </c>
      <c r="P88" s="300">
        <v>260000.0</v>
      </c>
      <c r="Q88" s="300">
        <v>260000.0</v>
      </c>
      <c r="R88" s="298">
        <f t="shared" si="1"/>
        <v>1742152</v>
      </c>
      <c r="S88" s="47"/>
      <c r="T88" s="47"/>
      <c r="U88" s="47"/>
      <c r="V88" s="47"/>
      <c r="W88" s="47"/>
      <c r="X88" s="47"/>
      <c r="Y88" s="47"/>
      <c r="Z88" s="47"/>
    </row>
    <row r="89" ht="15.0" customHeight="1">
      <c r="A89" s="290">
        <f>IF(C89="","",85)</f>
        <v>85</v>
      </c>
      <c r="B89" s="122" t="str">
        <f>IF('2_Data_Pelanggan'!D89="","",'2_Data_Pelanggan'!B89)</f>
        <v>ARM-0085</v>
      </c>
      <c r="C89" s="291" t="str">
        <f>IF('2_Data_Pelanggan'!D89="","",'2_Data_Pelanggan'!D89)</f>
        <v>BAMBANG IRAWAN</v>
      </c>
      <c r="D89" s="279">
        <f>IF('2_Data_Pelanggan'!D89="","",'2_Data_Pelanggan'!M89)</f>
        <v>20</v>
      </c>
      <c r="E89" s="292">
        <f>IF('2_Data_Pelanggan'!D89="","",'2_Data_Pelanggan'!N89)</f>
        <v>115000</v>
      </c>
      <c r="F89" s="293" t="s">
        <v>1605</v>
      </c>
      <c r="G89" s="293" t="s">
        <v>1605</v>
      </c>
      <c r="H89" s="293" t="s">
        <v>1605</v>
      </c>
      <c r="I89" s="293" t="s">
        <v>1605</v>
      </c>
      <c r="J89" s="293" t="s">
        <v>1605</v>
      </c>
      <c r="K89" s="299">
        <v>115180.0</v>
      </c>
      <c r="L89" s="299">
        <v>115180.0</v>
      </c>
      <c r="M89" s="299">
        <v>115180.0</v>
      </c>
      <c r="N89" s="299">
        <v>115180.0</v>
      </c>
      <c r="O89" s="299">
        <v>115180.0</v>
      </c>
      <c r="P89" s="299">
        <v>115180.0</v>
      </c>
      <c r="Q89" s="299">
        <v>115180.0</v>
      </c>
      <c r="R89" s="294">
        <f t="shared" si="1"/>
        <v>806260</v>
      </c>
      <c r="S89" s="47"/>
      <c r="T89" s="47"/>
      <c r="U89" s="47"/>
      <c r="V89" s="47"/>
      <c r="W89" s="47"/>
      <c r="X89" s="47"/>
      <c r="Y89" s="47"/>
      <c r="Z89" s="47"/>
    </row>
    <row r="90" ht="15.0" customHeight="1">
      <c r="A90" s="295">
        <f>IF(C90="","",86)</f>
        <v>86</v>
      </c>
      <c r="B90" s="117" t="str">
        <f>IF('2_Data_Pelanggan'!D90="","",'2_Data_Pelanggan'!B90)</f>
        <v>ARM-0086</v>
      </c>
      <c r="C90" s="296" t="str">
        <f>IF('2_Data_Pelanggan'!D90="","",'2_Data_Pelanggan'!D90)</f>
        <v>AKHMAD NURYADIN</v>
      </c>
      <c r="D90" s="282">
        <f>IF('2_Data_Pelanggan'!D90="","",'2_Data_Pelanggan'!M90)</f>
        <v>30</v>
      </c>
      <c r="E90" s="292">
        <f>IF('2_Data_Pelanggan'!D90="","",'2_Data_Pelanggan'!N90)</f>
        <v>142000</v>
      </c>
      <c r="F90" s="297" t="s">
        <v>1605</v>
      </c>
      <c r="G90" s="297" t="s">
        <v>1605</v>
      </c>
      <c r="H90" s="297" t="s">
        <v>1605</v>
      </c>
      <c r="I90" s="297" t="s">
        <v>1605</v>
      </c>
      <c r="J90" s="297" t="s">
        <v>1605</v>
      </c>
      <c r="K90" s="300">
        <v>142159.0</v>
      </c>
      <c r="L90" s="300">
        <v>142159.0</v>
      </c>
      <c r="M90" s="300">
        <v>142159.0</v>
      </c>
      <c r="N90" s="300">
        <v>142159.0</v>
      </c>
      <c r="O90" s="300">
        <v>142159.0</v>
      </c>
      <c r="P90" s="300">
        <v>142159.0</v>
      </c>
      <c r="Q90" s="300">
        <v>142159.0</v>
      </c>
      <c r="R90" s="298">
        <f t="shared" si="1"/>
        <v>995113</v>
      </c>
      <c r="S90" s="47"/>
      <c r="T90" s="47"/>
      <c r="U90" s="47"/>
      <c r="V90" s="47"/>
      <c r="W90" s="47"/>
      <c r="X90" s="47"/>
      <c r="Y90" s="47"/>
      <c r="Z90" s="47"/>
    </row>
    <row r="91" ht="15.0" customHeight="1">
      <c r="A91" s="290">
        <f>IF(C91="","",87)</f>
        <v>87</v>
      </c>
      <c r="B91" s="122" t="str">
        <f>IF('2_Data_Pelanggan'!D91="","",'2_Data_Pelanggan'!B91)</f>
        <v>ARM-0087</v>
      </c>
      <c r="C91" s="291" t="str">
        <f>IF('2_Data_Pelanggan'!D91="","",'2_Data_Pelanggan'!D91)</f>
        <v>WHELLY WALUYO</v>
      </c>
      <c r="D91" s="279">
        <f>IF('2_Data_Pelanggan'!D91="","",'2_Data_Pelanggan'!M91)</f>
        <v>20</v>
      </c>
      <c r="E91" s="292">
        <f>IF('2_Data_Pelanggan'!D91="","",'2_Data_Pelanggan'!N91)</f>
        <v>115000</v>
      </c>
      <c r="F91" s="293" t="s">
        <v>1605</v>
      </c>
      <c r="G91" s="293" t="s">
        <v>1605</v>
      </c>
      <c r="H91" s="293" t="s">
        <v>1605</v>
      </c>
      <c r="I91" s="293" t="s">
        <v>1605</v>
      </c>
      <c r="J91" s="293" t="s">
        <v>1605</v>
      </c>
      <c r="K91" s="299">
        <v>115181.0</v>
      </c>
      <c r="L91" s="299">
        <v>115181.0</v>
      </c>
      <c r="M91" s="299">
        <v>115181.0</v>
      </c>
      <c r="N91" s="299">
        <v>115181.0</v>
      </c>
      <c r="O91" s="299">
        <v>115181.0</v>
      </c>
      <c r="P91" s="299">
        <v>115181.0</v>
      </c>
      <c r="Q91" s="299">
        <v>115181.0</v>
      </c>
      <c r="R91" s="294">
        <f t="shared" si="1"/>
        <v>806267</v>
      </c>
      <c r="S91" s="47"/>
      <c r="T91" s="47"/>
      <c r="U91" s="47"/>
      <c r="V91" s="47"/>
      <c r="W91" s="47"/>
      <c r="X91" s="47"/>
      <c r="Y91" s="47"/>
      <c r="Z91" s="47"/>
    </row>
    <row r="92" ht="15.0" customHeight="1">
      <c r="A92" s="295">
        <f>IF(C92="","",88)</f>
        <v>88</v>
      </c>
      <c r="B92" s="117" t="str">
        <f>IF('2_Data_Pelanggan'!D92="","",'2_Data_Pelanggan'!B92)</f>
        <v>ARM-0088</v>
      </c>
      <c r="C92" s="296" t="str">
        <f>IF('2_Data_Pelanggan'!D92="","",'2_Data_Pelanggan'!D92)</f>
        <v>NEDJMA FELAMAYA</v>
      </c>
      <c r="D92" s="282">
        <f>IF('2_Data_Pelanggan'!D92="","",'2_Data_Pelanggan'!M92)</f>
        <v>20</v>
      </c>
      <c r="E92" s="292">
        <f>IF('2_Data_Pelanggan'!D92="","",'2_Data_Pelanggan'!N92)</f>
        <v>115000</v>
      </c>
      <c r="F92" s="297" t="s">
        <v>1605</v>
      </c>
      <c r="G92" s="297" t="s">
        <v>1605</v>
      </c>
      <c r="H92" s="297" t="s">
        <v>1605</v>
      </c>
      <c r="I92" s="297" t="s">
        <v>1605</v>
      </c>
      <c r="J92" s="297" t="s">
        <v>1605</v>
      </c>
      <c r="K92" s="300">
        <v>115182.0</v>
      </c>
      <c r="L92" s="300">
        <v>115182.0</v>
      </c>
      <c r="M92" s="300">
        <v>115182.0</v>
      </c>
      <c r="N92" s="300">
        <v>115182.0</v>
      </c>
      <c r="O92" s="300">
        <v>115182.0</v>
      </c>
      <c r="P92" s="300">
        <v>115182.0</v>
      </c>
      <c r="Q92" s="300">
        <v>115182.0</v>
      </c>
      <c r="R92" s="298">
        <f t="shared" si="1"/>
        <v>806274</v>
      </c>
      <c r="S92" s="47"/>
      <c r="T92" s="47"/>
      <c r="U92" s="47"/>
      <c r="V92" s="47"/>
      <c r="W92" s="47"/>
      <c r="X92" s="47"/>
      <c r="Y92" s="47"/>
      <c r="Z92" s="47"/>
    </row>
    <row r="93" ht="15.0" customHeight="1">
      <c r="A93" s="290">
        <f>IF(C93="","",89)</f>
        <v>89</v>
      </c>
      <c r="B93" s="122" t="str">
        <f>IF('2_Data_Pelanggan'!D93="","",'2_Data_Pelanggan'!B93)</f>
        <v>ARM-0089</v>
      </c>
      <c r="C93" s="291" t="str">
        <f>IF('2_Data_Pelanggan'!D93="","",'2_Data_Pelanggan'!D93)</f>
        <v>DARYONO</v>
      </c>
      <c r="D93" s="279">
        <f>IF('2_Data_Pelanggan'!D93="","",'2_Data_Pelanggan'!M93)</f>
        <v>20</v>
      </c>
      <c r="E93" s="292">
        <f>IF('2_Data_Pelanggan'!D93="","",'2_Data_Pelanggan'!N93)</f>
        <v>115000</v>
      </c>
      <c r="F93" s="293" t="s">
        <v>1605</v>
      </c>
      <c r="G93" s="293" t="s">
        <v>1605</v>
      </c>
      <c r="H93" s="293" t="s">
        <v>1605</v>
      </c>
      <c r="I93" s="293" t="s">
        <v>1605</v>
      </c>
      <c r="J93" s="293" t="s">
        <v>1605</v>
      </c>
      <c r="K93" s="299">
        <v>115183.0</v>
      </c>
      <c r="L93" s="299">
        <v>115183.0</v>
      </c>
      <c r="M93" s="299">
        <v>115183.0</v>
      </c>
      <c r="N93" s="299">
        <v>115183.0</v>
      </c>
      <c r="O93" s="299">
        <v>115183.0</v>
      </c>
      <c r="P93" s="299">
        <v>115183.0</v>
      </c>
      <c r="Q93" s="299">
        <v>115183.0</v>
      </c>
      <c r="R93" s="294">
        <f t="shared" si="1"/>
        <v>806281</v>
      </c>
      <c r="S93" s="47"/>
      <c r="T93" s="47"/>
      <c r="U93" s="47"/>
      <c r="V93" s="47"/>
      <c r="W93" s="47"/>
      <c r="X93" s="47"/>
      <c r="Y93" s="47"/>
      <c r="Z93" s="47"/>
    </row>
    <row r="94" ht="15.0" customHeight="1">
      <c r="A94" s="295">
        <f>IF(C94="","",90)</f>
        <v>90</v>
      </c>
      <c r="B94" s="117" t="str">
        <f>IF('2_Data_Pelanggan'!D94="","",'2_Data_Pelanggan'!B94)</f>
        <v>ARM-0090</v>
      </c>
      <c r="C94" s="296" t="str">
        <f>IF('2_Data_Pelanggan'!D94="","",'2_Data_Pelanggan'!D94)</f>
        <v>TARSIMAN</v>
      </c>
      <c r="D94" s="282">
        <f>IF('2_Data_Pelanggan'!D94="","",'2_Data_Pelanggan'!M94)</f>
        <v>20</v>
      </c>
      <c r="E94" s="292">
        <f>IF('2_Data_Pelanggan'!D94="","",'2_Data_Pelanggan'!N94)</f>
        <v>115000</v>
      </c>
      <c r="F94" s="297" t="s">
        <v>1605</v>
      </c>
      <c r="G94" s="297" t="s">
        <v>1605</v>
      </c>
      <c r="H94" s="297" t="s">
        <v>1605</v>
      </c>
      <c r="I94" s="297" t="s">
        <v>1605</v>
      </c>
      <c r="J94" s="297" t="s">
        <v>1605</v>
      </c>
      <c r="K94" s="300">
        <v>107333.0</v>
      </c>
      <c r="L94" s="300">
        <v>115184.0</v>
      </c>
      <c r="M94" s="300">
        <v>115184.0</v>
      </c>
      <c r="N94" s="300">
        <v>115184.0</v>
      </c>
      <c r="O94" s="300">
        <v>115184.0</v>
      </c>
      <c r="P94" s="300">
        <v>115184.0</v>
      </c>
      <c r="Q94" s="300">
        <v>115184.0</v>
      </c>
      <c r="R94" s="298">
        <f t="shared" si="1"/>
        <v>798437</v>
      </c>
      <c r="S94" s="47"/>
      <c r="T94" s="47"/>
      <c r="U94" s="47"/>
      <c r="V94" s="47"/>
      <c r="W94" s="47"/>
      <c r="X94" s="47"/>
      <c r="Y94" s="47"/>
      <c r="Z94" s="47"/>
    </row>
    <row r="95" ht="15.0" customHeight="1">
      <c r="A95" s="290">
        <f>IF(C95="","",91)</f>
        <v>91</v>
      </c>
      <c r="B95" s="122" t="str">
        <f>IF('2_Data_Pelanggan'!D95="","",'2_Data_Pelanggan'!B95)</f>
        <v>ARM-0091</v>
      </c>
      <c r="C95" s="291" t="str">
        <f>IF('2_Data_Pelanggan'!D95="","",'2_Data_Pelanggan'!D95)</f>
        <v>DARILAH</v>
      </c>
      <c r="D95" s="279">
        <f>IF('2_Data_Pelanggan'!D95="","",'2_Data_Pelanggan'!M95)</f>
        <v>30</v>
      </c>
      <c r="E95" s="292">
        <f>IF('2_Data_Pelanggan'!D95="","",'2_Data_Pelanggan'!N95)</f>
        <v>142000</v>
      </c>
      <c r="F95" s="293" t="s">
        <v>1605</v>
      </c>
      <c r="G95" s="293" t="s">
        <v>1605</v>
      </c>
      <c r="H95" s="293" t="s">
        <v>1605</v>
      </c>
      <c r="I95" s="293" t="s">
        <v>1605</v>
      </c>
      <c r="J95" s="293" t="s">
        <v>1605</v>
      </c>
      <c r="K95" s="299">
        <v>148000.0</v>
      </c>
      <c r="L95" s="299">
        <v>148000.0</v>
      </c>
      <c r="M95" s="299">
        <v>142160.0</v>
      </c>
      <c r="N95" s="299">
        <v>142160.0</v>
      </c>
      <c r="O95" s="299">
        <v>142160.0</v>
      </c>
      <c r="P95" s="299">
        <v>142160.0</v>
      </c>
      <c r="Q95" s="299">
        <v>142160.0</v>
      </c>
      <c r="R95" s="294">
        <f t="shared" si="1"/>
        <v>1006800</v>
      </c>
      <c r="S95" s="47"/>
      <c r="T95" s="47"/>
      <c r="U95" s="47"/>
      <c r="V95" s="47"/>
      <c r="W95" s="47"/>
      <c r="X95" s="47"/>
      <c r="Y95" s="47"/>
      <c r="Z95" s="47"/>
    </row>
    <row r="96" ht="15.0" customHeight="1">
      <c r="A96" s="295">
        <f>IF(C96="","",92)</f>
        <v>92</v>
      </c>
      <c r="B96" s="117" t="str">
        <f>IF('2_Data_Pelanggan'!D96="","",'2_Data_Pelanggan'!B96)</f>
        <v>ARM-0092</v>
      </c>
      <c r="C96" s="296" t="str">
        <f>IF('2_Data_Pelanggan'!D96="","",'2_Data_Pelanggan'!D96)</f>
        <v>RAHAYU FAJAR S</v>
      </c>
      <c r="D96" s="282">
        <f>IF('2_Data_Pelanggan'!D96="","",'2_Data_Pelanggan'!M96)</f>
        <v>30</v>
      </c>
      <c r="E96" s="292">
        <f>IF('2_Data_Pelanggan'!D96="","",'2_Data_Pelanggan'!N96)</f>
        <v>142000</v>
      </c>
      <c r="F96" s="297" t="s">
        <v>1605</v>
      </c>
      <c r="G96" s="297" t="s">
        <v>1605</v>
      </c>
      <c r="H96" s="297" t="s">
        <v>1605</v>
      </c>
      <c r="I96" s="297" t="s">
        <v>1605</v>
      </c>
      <c r="J96" s="297" t="s">
        <v>1605</v>
      </c>
      <c r="K96" s="300">
        <v>132533.0</v>
      </c>
      <c r="L96" s="300">
        <v>142161.0</v>
      </c>
      <c r="M96" s="300">
        <v>142161.0</v>
      </c>
      <c r="N96" s="300">
        <v>142161.0</v>
      </c>
      <c r="O96" s="300">
        <v>142161.0</v>
      </c>
      <c r="P96" s="300">
        <v>142161.0</v>
      </c>
      <c r="Q96" s="300">
        <v>142161.0</v>
      </c>
      <c r="R96" s="298">
        <f t="shared" si="1"/>
        <v>985499</v>
      </c>
      <c r="S96" s="47"/>
      <c r="T96" s="47"/>
      <c r="U96" s="47"/>
      <c r="V96" s="47"/>
      <c r="W96" s="47"/>
      <c r="X96" s="47"/>
      <c r="Y96" s="47"/>
      <c r="Z96" s="47"/>
    </row>
    <row r="97" ht="15.0" customHeight="1">
      <c r="A97" s="290">
        <f>IF(C97="","",93)</f>
        <v>93</v>
      </c>
      <c r="B97" s="122" t="str">
        <f>IF('2_Data_Pelanggan'!D97="","",'2_Data_Pelanggan'!B97)</f>
        <v>ARM-0093</v>
      </c>
      <c r="C97" s="291" t="str">
        <f>IF('2_Data_Pelanggan'!D97="","",'2_Data_Pelanggan'!D97)</f>
        <v>RATIMAN</v>
      </c>
      <c r="D97" s="279">
        <f>IF('2_Data_Pelanggan'!D97="","",'2_Data_Pelanggan'!M97)</f>
        <v>30</v>
      </c>
      <c r="E97" s="292">
        <f>IF('2_Data_Pelanggan'!D97="","",'2_Data_Pelanggan'!N97)</f>
        <v>142000</v>
      </c>
      <c r="F97" s="293" t="s">
        <v>1605</v>
      </c>
      <c r="G97" s="293" t="s">
        <v>1605</v>
      </c>
      <c r="H97" s="293" t="s">
        <v>1605</v>
      </c>
      <c r="I97" s="293" t="s">
        <v>1605</v>
      </c>
      <c r="J97" s="293" t="s">
        <v>1605</v>
      </c>
      <c r="K97" s="299">
        <v>148000.0</v>
      </c>
      <c r="L97" s="299">
        <v>115185.0</v>
      </c>
      <c r="M97" s="299">
        <v>115185.0</v>
      </c>
      <c r="N97" s="299">
        <v>115185.0</v>
      </c>
      <c r="O97" s="299">
        <v>115185.0</v>
      </c>
      <c r="P97" s="299">
        <v>115185.0</v>
      </c>
      <c r="Q97" s="299">
        <v>115185.0</v>
      </c>
      <c r="R97" s="294">
        <f t="shared" si="1"/>
        <v>839110</v>
      </c>
      <c r="S97" s="47"/>
      <c r="T97" s="47"/>
      <c r="U97" s="47"/>
      <c r="V97" s="47"/>
      <c r="W97" s="47"/>
      <c r="X97" s="47"/>
      <c r="Y97" s="47"/>
      <c r="Z97" s="47"/>
    </row>
    <row r="98" ht="15.0" customHeight="1">
      <c r="A98" s="295">
        <f>IF(C98="","",94)</f>
        <v>94</v>
      </c>
      <c r="B98" s="117" t="str">
        <f>IF('2_Data_Pelanggan'!D98="","",'2_Data_Pelanggan'!B98)</f>
        <v>ARM-0094</v>
      </c>
      <c r="C98" s="296" t="str">
        <f>IF('2_Data_Pelanggan'!D98="","",'2_Data_Pelanggan'!D98)</f>
        <v>KAMSU</v>
      </c>
      <c r="D98" s="282">
        <f>IF('2_Data_Pelanggan'!D98="","",'2_Data_Pelanggan'!M98)</f>
        <v>20</v>
      </c>
      <c r="E98" s="292">
        <f>IF('2_Data_Pelanggan'!D98="","",'2_Data_Pelanggan'!N98)</f>
        <v>115000</v>
      </c>
      <c r="F98" s="297" t="s">
        <v>1605</v>
      </c>
      <c r="G98" s="297" t="s">
        <v>1605</v>
      </c>
      <c r="H98" s="297" t="s">
        <v>1605</v>
      </c>
      <c r="I98" s="297" t="s">
        <v>1605</v>
      </c>
      <c r="J98" s="297" t="s">
        <v>1605</v>
      </c>
      <c r="K98" s="300">
        <v>95833.0</v>
      </c>
      <c r="L98" s="300">
        <v>115186.0</v>
      </c>
      <c r="M98" s="300">
        <v>115186.0</v>
      </c>
      <c r="N98" s="300">
        <v>115186.0</v>
      </c>
      <c r="O98" s="300">
        <v>115186.0</v>
      </c>
      <c r="P98" s="300">
        <v>115186.0</v>
      </c>
      <c r="Q98" s="300">
        <v>115186.0</v>
      </c>
      <c r="R98" s="298">
        <f t="shared" si="1"/>
        <v>786949</v>
      </c>
      <c r="S98" s="47"/>
      <c r="T98" s="47"/>
      <c r="U98" s="47"/>
      <c r="V98" s="47"/>
      <c r="W98" s="47"/>
      <c r="X98" s="47"/>
      <c r="Y98" s="47"/>
      <c r="Z98" s="47"/>
    </row>
    <row r="99" ht="15.0" customHeight="1">
      <c r="A99" s="295">
        <f>IF(C100="","",96)</f>
        <v>96</v>
      </c>
      <c r="B99" s="117" t="str">
        <f>IF('2_Data_Pelanggan'!D99="","",'2_Data_Pelanggan'!B99)</f>
        <v>ARM-0095</v>
      </c>
      <c r="C99" s="296" t="str">
        <f>IF('2_Data_Pelanggan'!D99="","",'2_Data_Pelanggan'!D99)</f>
        <v>SLAMET WALUYO</v>
      </c>
      <c r="D99" s="282">
        <f>IF('2_Data_Pelanggan'!D99="","",'2_Data_Pelanggan'!M99)</f>
        <v>20</v>
      </c>
      <c r="E99" s="292">
        <f>IF('2_Data_Pelanggan'!D99="","",'2_Data_Pelanggan'!N99)</f>
        <v>115000</v>
      </c>
      <c r="F99" s="297" t="s">
        <v>1605</v>
      </c>
      <c r="G99" s="297" t="s">
        <v>1605</v>
      </c>
      <c r="H99" s="297" t="s">
        <v>1605</v>
      </c>
      <c r="I99" s="297" t="s">
        <v>1605</v>
      </c>
      <c r="J99" s="297" t="s">
        <v>1605</v>
      </c>
      <c r="K99" s="300">
        <v>92187.0</v>
      </c>
      <c r="L99" s="300">
        <v>115187.0</v>
      </c>
      <c r="M99" s="300">
        <v>115187.0</v>
      </c>
      <c r="N99" s="300">
        <v>115187.0</v>
      </c>
      <c r="O99" s="300">
        <v>115187.0</v>
      </c>
      <c r="P99" s="300">
        <v>115187.0</v>
      </c>
      <c r="Q99" s="300">
        <v>115187.0</v>
      </c>
      <c r="R99" s="298">
        <f t="shared" ref="R99:R208" si="2">SUM(F100:Q100)</f>
        <v>779438</v>
      </c>
      <c r="S99" s="47"/>
      <c r="T99" s="47"/>
      <c r="U99" s="47"/>
      <c r="V99" s="47"/>
      <c r="W99" s="47"/>
      <c r="X99" s="47"/>
      <c r="Y99" s="47"/>
      <c r="Z99" s="47"/>
    </row>
    <row r="100" ht="15.0" customHeight="1">
      <c r="A100" s="290">
        <f>IF(C101="","",97)</f>
        <v>97</v>
      </c>
      <c r="B100" s="122" t="str">
        <f>IF('2_Data_Pelanggan'!D100="","",'2_Data_Pelanggan'!B100)</f>
        <v>ARM-0096</v>
      </c>
      <c r="C100" s="291" t="str">
        <f>IF('2_Data_Pelanggan'!D100="","",'2_Data_Pelanggan'!D100)</f>
        <v>NENI PONCOWATI</v>
      </c>
      <c r="D100" s="279">
        <f>IF('2_Data_Pelanggan'!D100="","",'2_Data_Pelanggan'!M100)</f>
        <v>20</v>
      </c>
      <c r="E100" s="292">
        <f>IF('2_Data_Pelanggan'!D100="","",'2_Data_Pelanggan'!N100)</f>
        <v>115000</v>
      </c>
      <c r="F100" s="293" t="s">
        <v>1605</v>
      </c>
      <c r="G100" s="293" t="s">
        <v>1605</v>
      </c>
      <c r="H100" s="293" t="s">
        <v>1605</v>
      </c>
      <c r="I100" s="293" t="s">
        <v>1605</v>
      </c>
      <c r="J100" s="293" t="s">
        <v>1605</v>
      </c>
      <c r="K100" s="299">
        <v>88310.0</v>
      </c>
      <c r="L100" s="299">
        <v>115188.0</v>
      </c>
      <c r="M100" s="299">
        <v>115188.0</v>
      </c>
      <c r="N100" s="299">
        <v>115188.0</v>
      </c>
      <c r="O100" s="299">
        <v>115188.0</v>
      </c>
      <c r="P100" s="299">
        <v>115188.0</v>
      </c>
      <c r="Q100" s="299">
        <v>115188.0</v>
      </c>
      <c r="R100" s="294">
        <f t="shared" si="2"/>
        <v>775945</v>
      </c>
      <c r="S100" s="47"/>
      <c r="T100" s="47"/>
      <c r="U100" s="47"/>
      <c r="V100" s="47"/>
      <c r="W100" s="47"/>
      <c r="X100" s="47"/>
      <c r="Y100" s="47"/>
      <c r="Z100" s="47"/>
    </row>
    <row r="101" ht="15.0" customHeight="1">
      <c r="A101" s="295">
        <f>IF(C102="","",98)</f>
        <v>98</v>
      </c>
      <c r="B101" s="117" t="str">
        <f>IF('2_Data_Pelanggan'!D101="","",'2_Data_Pelanggan'!B101)</f>
        <v>ARM-0097</v>
      </c>
      <c r="C101" s="296" t="str">
        <f>IF('2_Data_Pelanggan'!D101="","",'2_Data_Pelanggan'!D101)</f>
        <v>DITO SUDITO</v>
      </c>
      <c r="D101" s="282">
        <f>IF('2_Data_Pelanggan'!D101="","",'2_Data_Pelanggan'!M101)</f>
        <v>50</v>
      </c>
      <c r="E101" s="292">
        <f>IF('2_Data_Pelanggan'!D101="","",'2_Data_Pelanggan'!N101)</f>
        <v>182000</v>
      </c>
      <c r="F101" s="297" t="s">
        <v>1605</v>
      </c>
      <c r="G101" s="297" t="s">
        <v>1605</v>
      </c>
      <c r="H101" s="297" t="s">
        <v>1605</v>
      </c>
      <c r="I101" s="297" t="s">
        <v>1605</v>
      </c>
      <c r="J101" s="297" t="s">
        <v>1605</v>
      </c>
      <c r="K101" s="300">
        <v>85000.0</v>
      </c>
      <c r="L101" s="300">
        <v>115000.0</v>
      </c>
      <c r="M101" s="300">
        <v>115189.0</v>
      </c>
      <c r="N101" s="300">
        <v>115189.0</v>
      </c>
      <c r="O101" s="300">
        <v>115189.0</v>
      </c>
      <c r="P101" s="300">
        <v>115189.0</v>
      </c>
      <c r="Q101" s="300">
        <v>115189.0</v>
      </c>
      <c r="R101" s="298">
        <f t="shared" si="2"/>
        <v>771773</v>
      </c>
      <c r="S101" s="47"/>
      <c r="T101" s="47"/>
      <c r="U101" s="47"/>
      <c r="V101" s="47"/>
      <c r="W101" s="47"/>
      <c r="X101" s="47"/>
      <c r="Y101" s="47"/>
      <c r="Z101" s="47"/>
    </row>
    <row r="102" ht="15.0" customHeight="1">
      <c r="A102" s="290">
        <f>IF(C103="","",99)</f>
        <v>99</v>
      </c>
      <c r="B102" s="122" t="str">
        <f>IF('2_Data_Pelanggan'!D102="","",'2_Data_Pelanggan'!B102)</f>
        <v>ARM-0098</v>
      </c>
      <c r="C102" s="291" t="str">
        <f>IF('2_Data_Pelanggan'!D102="","",'2_Data_Pelanggan'!D102)</f>
        <v>MURNIATI</v>
      </c>
      <c r="D102" s="279">
        <f>IF('2_Data_Pelanggan'!D102="","",'2_Data_Pelanggan'!M102)</f>
        <v>75</v>
      </c>
      <c r="E102" s="292">
        <f>IF('2_Data_Pelanggan'!D102="","",'2_Data_Pelanggan'!N102)</f>
        <v>260000</v>
      </c>
      <c r="F102" s="293" t="s">
        <v>1605</v>
      </c>
      <c r="G102" s="293" t="s">
        <v>1605</v>
      </c>
      <c r="H102" s="293" t="s">
        <v>1605</v>
      </c>
      <c r="I102" s="293" t="s">
        <v>1605</v>
      </c>
      <c r="J102" s="293" t="s">
        <v>1605</v>
      </c>
      <c r="K102" s="299">
        <v>80633.0</v>
      </c>
      <c r="L102" s="299">
        <v>115190.0</v>
      </c>
      <c r="M102" s="299">
        <v>115190.0</v>
      </c>
      <c r="N102" s="299">
        <v>115190.0</v>
      </c>
      <c r="O102" s="299">
        <v>115190.0</v>
      </c>
      <c r="P102" s="299">
        <v>115190.0</v>
      </c>
      <c r="Q102" s="299">
        <v>115190.0</v>
      </c>
      <c r="R102" s="294">
        <f t="shared" si="2"/>
        <v>760260</v>
      </c>
      <c r="S102" s="47"/>
      <c r="T102" s="47"/>
      <c r="U102" s="47"/>
      <c r="V102" s="47"/>
      <c r="W102" s="47"/>
      <c r="X102" s="47"/>
      <c r="Y102" s="47"/>
      <c r="Z102" s="47"/>
    </row>
    <row r="103" ht="15.0" customHeight="1">
      <c r="A103" s="295">
        <f>IF(C104="","",100)</f>
        <v>100</v>
      </c>
      <c r="B103" s="117" t="str">
        <f>IF('2_Data_Pelanggan'!D103="","",'2_Data_Pelanggan'!B103)</f>
        <v>ARM-0099</v>
      </c>
      <c r="C103" s="296" t="str">
        <f>IF('2_Data_Pelanggan'!D103="","",'2_Data_Pelanggan'!D103)</f>
        <v>WONDO PRABOWO</v>
      </c>
      <c r="D103" s="282">
        <f>IF('2_Data_Pelanggan'!D103="","",'2_Data_Pelanggan'!M103)</f>
        <v>20</v>
      </c>
      <c r="E103" s="292">
        <f>IF('2_Data_Pelanggan'!D103="","",'2_Data_Pelanggan'!N103)</f>
        <v>115000</v>
      </c>
      <c r="F103" s="297" t="s">
        <v>1605</v>
      </c>
      <c r="G103" s="297" t="s">
        <v>1605</v>
      </c>
      <c r="H103" s="297" t="s">
        <v>1605</v>
      </c>
      <c r="I103" s="297" t="s">
        <v>1605</v>
      </c>
      <c r="J103" s="297" t="s">
        <v>1605</v>
      </c>
      <c r="K103" s="300">
        <v>69114.0</v>
      </c>
      <c r="L103" s="300">
        <v>115191.0</v>
      </c>
      <c r="M103" s="300">
        <v>115191.0</v>
      </c>
      <c r="N103" s="300">
        <v>115191.0</v>
      </c>
      <c r="O103" s="300">
        <v>115191.0</v>
      </c>
      <c r="P103" s="300">
        <v>115191.0</v>
      </c>
      <c r="Q103" s="300">
        <v>115191.0</v>
      </c>
      <c r="R103" s="298">
        <f t="shared" si="2"/>
        <v>752652</v>
      </c>
      <c r="S103" s="47"/>
      <c r="T103" s="47"/>
      <c r="U103" s="47"/>
      <c r="V103" s="47"/>
      <c r="W103" s="47"/>
      <c r="X103" s="47"/>
      <c r="Y103" s="47"/>
      <c r="Z103" s="47"/>
    </row>
    <row r="104" ht="15.0" customHeight="1">
      <c r="A104" s="290">
        <f>IF(C105="","",101)</f>
        <v>101</v>
      </c>
      <c r="B104" s="122" t="str">
        <f>IF('2_Data_Pelanggan'!D104="","",'2_Data_Pelanggan'!B104)</f>
        <v>ARM-0100</v>
      </c>
      <c r="C104" s="291" t="str">
        <f>IF('2_Data_Pelanggan'!D104="","",'2_Data_Pelanggan'!D104)</f>
        <v>MUHAMMAD ABDUR</v>
      </c>
      <c r="D104" s="279">
        <f>IF('2_Data_Pelanggan'!D104="","",'2_Data_Pelanggan'!M104)</f>
        <v>20</v>
      </c>
      <c r="E104" s="292">
        <f>IF('2_Data_Pelanggan'!D104="","",'2_Data_Pelanggan'!N104)</f>
        <v>115000</v>
      </c>
      <c r="F104" s="293" t="s">
        <v>1605</v>
      </c>
      <c r="G104" s="293" t="s">
        <v>1605</v>
      </c>
      <c r="H104" s="293" t="s">
        <v>1605</v>
      </c>
      <c r="I104" s="293" t="s">
        <v>1605</v>
      </c>
      <c r="J104" s="293" t="s">
        <v>1605</v>
      </c>
      <c r="K104" s="299">
        <v>61500.0</v>
      </c>
      <c r="L104" s="299">
        <v>115192.0</v>
      </c>
      <c r="M104" s="299">
        <v>115192.0</v>
      </c>
      <c r="N104" s="299">
        <v>115192.0</v>
      </c>
      <c r="O104" s="299">
        <v>115192.0</v>
      </c>
      <c r="P104" s="299">
        <v>115192.0</v>
      </c>
      <c r="Q104" s="299">
        <v>115192.0</v>
      </c>
      <c r="R104" s="294">
        <f t="shared" si="2"/>
        <v>748658</v>
      </c>
      <c r="S104" s="47"/>
      <c r="T104" s="47"/>
      <c r="U104" s="47"/>
      <c r="V104" s="47"/>
      <c r="W104" s="47"/>
      <c r="X104" s="47"/>
      <c r="Y104" s="47"/>
      <c r="Z104" s="47"/>
    </row>
    <row r="105" ht="15.0" customHeight="1">
      <c r="A105" s="295">
        <f>IF(C106="","",102)</f>
        <v>102</v>
      </c>
      <c r="B105" s="117" t="str">
        <f>IF('2_Data_Pelanggan'!D105="","",'2_Data_Pelanggan'!B105)</f>
        <v>ARM-0101</v>
      </c>
      <c r="C105" s="296" t="str">
        <f>IF('2_Data_Pelanggan'!D105="","",'2_Data_Pelanggan'!D105)</f>
        <v>DURYATI</v>
      </c>
      <c r="D105" s="282">
        <f>IF('2_Data_Pelanggan'!D105="","",'2_Data_Pelanggan'!M105)</f>
        <v>20</v>
      </c>
      <c r="E105" s="292">
        <f>IF('2_Data_Pelanggan'!D105="","",'2_Data_Pelanggan'!N105)</f>
        <v>115000</v>
      </c>
      <c r="F105" s="297" t="s">
        <v>1605</v>
      </c>
      <c r="G105" s="297" t="s">
        <v>1605</v>
      </c>
      <c r="H105" s="297" t="s">
        <v>1605</v>
      </c>
      <c r="I105" s="297" t="s">
        <v>1605</v>
      </c>
      <c r="J105" s="297" t="s">
        <v>1605</v>
      </c>
      <c r="K105" s="300">
        <v>57500.0</v>
      </c>
      <c r="L105" s="300">
        <v>115193.0</v>
      </c>
      <c r="M105" s="300">
        <v>115193.0</v>
      </c>
      <c r="N105" s="300">
        <v>115193.0</v>
      </c>
      <c r="O105" s="300">
        <v>115193.0</v>
      </c>
      <c r="P105" s="300">
        <v>115193.0</v>
      </c>
      <c r="Q105" s="300">
        <v>115193.0</v>
      </c>
      <c r="R105" s="298">
        <f t="shared" si="2"/>
        <v>748664</v>
      </c>
      <c r="S105" s="47"/>
      <c r="T105" s="47"/>
      <c r="U105" s="47"/>
      <c r="V105" s="47"/>
      <c r="W105" s="47"/>
      <c r="X105" s="47"/>
      <c r="Y105" s="47"/>
      <c r="Z105" s="47"/>
    </row>
    <row r="106" ht="15.0" customHeight="1">
      <c r="A106" s="290">
        <f>IF(C107="","",103)</f>
        <v>103</v>
      </c>
      <c r="B106" s="122" t="str">
        <f>IF('2_Data_Pelanggan'!D106="","",'2_Data_Pelanggan'!B106)</f>
        <v>ARM-0102</v>
      </c>
      <c r="C106" s="291" t="str">
        <f>IF('2_Data_Pelanggan'!D106="","",'2_Data_Pelanggan'!D106)</f>
        <v>SITI MARDIYAH</v>
      </c>
      <c r="D106" s="279">
        <f>IF('2_Data_Pelanggan'!D106="","",'2_Data_Pelanggan'!M106)</f>
        <v>30</v>
      </c>
      <c r="E106" s="292">
        <f>IF('2_Data_Pelanggan'!D106="","",'2_Data_Pelanggan'!N106)</f>
        <v>142000</v>
      </c>
      <c r="F106" s="293" t="s">
        <v>1605</v>
      </c>
      <c r="G106" s="293" t="s">
        <v>1605</v>
      </c>
      <c r="H106" s="293" t="s">
        <v>1605</v>
      </c>
      <c r="I106" s="293" t="s">
        <v>1605</v>
      </c>
      <c r="J106" s="293" t="s">
        <v>1605</v>
      </c>
      <c r="K106" s="299">
        <v>57500.0</v>
      </c>
      <c r="L106" s="299">
        <v>115194.0</v>
      </c>
      <c r="M106" s="299">
        <v>115194.0</v>
      </c>
      <c r="N106" s="299">
        <v>115194.0</v>
      </c>
      <c r="O106" s="299">
        <v>115194.0</v>
      </c>
      <c r="P106" s="299">
        <v>115194.0</v>
      </c>
      <c r="Q106" s="299">
        <v>115194.0</v>
      </c>
      <c r="R106" s="294">
        <f t="shared" si="2"/>
        <v>744836</v>
      </c>
      <c r="S106" s="47"/>
      <c r="T106" s="47"/>
      <c r="U106" s="47"/>
      <c r="V106" s="47"/>
      <c r="W106" s="47"/>
      <c r="X106" s="47"/>
      <c r="Y106" s="47"/>
      <c r="Z106" s="47"/>
    </row>
    <row r="107" ht="15.0" customHeight="1">
      <c r="A107" s="295">
        <f>IF(C108="","",104)</f>
        <v>104</v>
      </c>
      <c r="B107" s="117" t="str">
        <f>IF('2_Data_Pelanggan'!D107="","",'2_Data_Pelanggan'!B107)</f>
        <v>ARM-0103</v>
      </c>
      <c r="C107" s="296" t="str">
        <f>IF('2_Data_Pelanggan'!D107="","",'2_Data_Pelanggan'!D107)</f>
        <v>KUSNIATI</v>
      </c>
      <c r="D107" s="282">
        <f>IF('2_Data_Pelanggan'!D107="","",'2_Data_Pelanggan'!M107)</f>
        <v>20</v>
      </c>
      <c r="E107" s="292">
        <f>IF('2_Data_Pelanggan'!D107="","",'2_Data_Pelanggan'!N107)</f>
        <v>115000</v>
      </c>
      <c r="F107" s="297" t="s">
        <v>1605</v>
      </c>
      <c r="G107" s="297" t="s">
        <v>1605</v>
      </c>
      <c r="H107" s="297" t="s">
        <v>1605</v>
      </c>
      <c r="I107" s="297" t="s">
        <v>1605</v>
      </c>
      <c r="J107" s="297" t="s">
        <v>1605</v>
      </c>
      <c r="K107" s="300">
        <v>53666.0</v>
      </c>
      <c r="L107" s="300">
        <v>115195.0</v>
      </c>
      <c r="M107" s="300">
        <v>115195.0</v>
      </c>
      <c r="N107" s="300">
        <v>115195.0</v>
      </c>
      <c r="O107" s="300">
        <v>115195.0</v>
      </c>
      <c r="P107" s="300">
        <v>115195.0</v>
      </c>
      <c r="Q107" s="300">
        <v>115195.0</v>
      </c>
      <c r="R107" s="298">
        <f t="shared" si="2"/>
        <v>744841</v>
      </c>
      <c r="S107" s="47"/>
      <c r="T107" s="47"/>
      <c r="U107" s="47"/>
      <c r="V107" s="47"/>
      <c r="W107" s="47"/>
      <c r="X107" s="47"/>
      <c r="Y107" s="47"/>
      <c r="Z107" s="47"/>
    </row>
    <row r="108" ht="15.0" customHeight="1">
      <c r="A108" s="290">
        <f>IF(C109="","",105)</f>
        <v>105</v>
      </c>
      <c r="B108" s="122" t="str">
        <f>IF('2_Data_Pelanggan'!D108="","",'2_Data_Pelanggan'!B108)</f>
        <v>ARM-0104</v>
      </c>
      <c r="C108" s="291" t="str">
        <f>IF('2_Data_Pelanggan'!D108="","",'2_Data_Pelanggan'!D108)</f>
        <v>WAHYUDI</v>
      </c>
      <c r="D108" s="279">
        <f>IF('2_Data_Pelanggan'!D108="","",'2_Data_Pelanggan'!M108)</f>
        <v>30</v>
      </c>
      <c r="E108" s="292">
        <f>IF('2_Data_Pelanggan'!D108="","",'2_Data_Pelanggan'!N108)</f>
        <v>142000</v>
      </c>
      <c r="F108" s="293" t="s">
        <v>1605</v>
      </c>
      <c r="G108" s="293" t="s">
        <v>1605</v>
      </c>
      <c r="H108" s="293" t="s">
        <v>1605</v>
      </c>
      <c r="I108" s="293" t="s">
        <v>1605</v>
      </c>
      <c r="J108" s="293" t="s">
        <v>1605</v>
      </c>
      <c r="K108" s="299">
        <v>53665.0</v>
      </c>
      <c r="L108" s="299">
        <v>115196.0</v>
      </c>
      <c r="M108" s="299">
        <v>115196.0</v>
      </c>
      <c r="N108" s="299">
        <v>115196.0</v>
      </c>
      <c r="O108" s="299">
        <v>115196.0</v>
      </c>
      <c r="P108" s="299">
        <v>115196.0</v>
      </c>
      <c r="Q108" s="299">
        <v>115196.0</v>
      </c>
      <c r="R108" s="294">
        <f t="shared" si="2"/>
        <v>744848</v>
      </c>
      <c r="S108" s="47"/>
      <c r="T108" s="47"/>
      <c r="U108" s="47"/>
      <c r="V108" s="47"/>
      <c r="W108" s="47"/>
      <c r="X108" s="47"/>
      <c r="Y108" s="47"/>
      <c r="Z108" s="47"/>
    </row>
    <row r="109" ht="15.0" customHeight="1">
      <c r="A109" s="295">
        <f>IF(C110="","",106)</f>
        <v>106</v>
      </c>
      <c r="B109" s="117" t="str">
        <f>IF('2_Data_Pelanggan'!D109="","",'2_Data_Pelanggan'!B109)</f>
        <v>ARM-0105</v>
      </c>
      <c r="C109" s="296" t="str">
        <f>IF('2_Data_Pelanggan'!D109="","",'2_Data_Pelanggan'!D109)</f>
        <v>WATIEM</v>
      </c>
      <c r="D109" s="282">
        <f>IF('2_Data_Pelanggan'!D109="","",'2_Data_Pelanggan'!M109)</f>
        <v>50</v>
      </c>
      <c r="E109" s="292">
        <f>IF('2_Data_Pelanggan'!D109="","",'2_Data_Pelanggan'!N109)</f>
        <v>182000</v>
      </c>
      <c r="F109" s="297" t="s">
        <v>1605</v>
      </c>
      <c r="G109" s="297" t="s">
        <v>1605</v>
      </c>
      <c r="H109" s="297" t="s">
        <v>1605</v>
      </c>
      <c r="I109" s="297" t="s">
        <v>1605</v>
      </c>
      <c r="J109" s="297" t="s">
        <v>1605</v>
      </c>
      <c r="K109" s="300">
        <v>53666.0</v>
      </c>
      <c r="L109" s="300">
        <v>115197.0</v>
      </c>
      <c r="M109" s="300">
        <v>115197.0</v>
      </c>
      <c r="N109" s="300">
        <v>115197.0</v>
      </c>
      <c r="O109" s="300">
        <v>115197.0</v>
      </c>
      <c r="P109" s="300">
        <v>115197.0</v>
      </c>
      <c r="Q109" s="300">
        <v>115197.0</v>
      </c>
      <c r="R109" s="298">
        <f t="shared" si="2"/>
        <v>84933</v>
      </c>
      <c r="S109" s="47"/>
      <c r="T109" s="47"/>
      <c r="U109" s="47"/>
      <c r="V109" s="47"/>
      <c r="W109" s="47"/>
      <c r="X109" s="47"/>
      <c r="Y109" s="47"/>
      <c r="Z109" s="47"/>
    </row>
    <row r="110" ht="15.0" customHeight="1">
      <c r="A110" s="290">
        <f>IF(C111="","",107)</f>
        <v>107</v>
      </c>
      <c r="B110" s="122" t="str">
        <f>IF('2_Data_Pelanggan'!D110="","",'2_Data_Pelanggan'!B110)</f>
        <v>ARM-0106</v>
      </c>
      <c r="C110" s="291" t="str">
        <f>IF('2_Data_Pelanggan'!D110="","",'2_Data_Pelanggan'!D110)</f>
        <v>BUDI PRIYONO</v>
      </c>
      <c r="D110" s="279">
        <f>IF('2_Data_Pelanggan'!D110="","",'2_Data_Pelanggan'!M110)</f>
        <v>20</v>
      </c>
      <c r="E110" s="292">
        <f>IF('2_Data_Pelanggan'!D110="","",'2_Data_Pelanggan'!N110)</f>
        <v>115000</v>
      </c>
      <c r="F110" s="293" t="s">
        <v>1605</v>
      </c>
      <c r="G110" s="293" t="s">
        <v>1605</v>
      </c>
      <c r="H110" s="293" t="s">
        <v>1605</v>
      </c>
      <c r="I110" s="293" t="s">
        <v>1605</v>
      </c>
      <c r="J110" s="293" t="s">
        <v>1605</v>
      </c>
      <c r="K110" s="299">
        <v>84933.0</v>
      </c>
      <c r="L110" s="293" t="s">
        <v>1605</v>
      </c>
      <c r="M110" s="293" t="s">
        <v>1605</v>
      </c>
      <c r="N110" s="293" t="s">
        <v>1605</v>
      </c>
      <c r="O110" s="293" t="s">
        <v>1605</v>
      </c>
      <c r="P110" s="293" t="s">
        <v>1605</v>
      </c>
      <c r="Q110" s="293" t="s">
        <v>1605</v>
      </c>
      <c r="R110" s="294">
        <f t="shared" si="2"/>
        <v>806188</v>
      </c>
      <c r="S110" s="47"/>
      <c r="T110" s="47"/>
      <c r="U110" s="47"/>
      <c r="V110" s="47"/>
      <c r="W110" s="47"/>
      <c r="X110" s="47"/>
      <c r="Y110" s="47"/>
      <c r="Z110" s="47"/>
    </row>
    <row r="111" ht="15.0" customHeight="1">
      <c r="A111" s="295">
        <f>IF(C112="","",108)</f>
        <v>108</v>
      </c>
      <c r="B111" s="117" t="str">
        <f>IF('2_Data_Pelanggan'!D111="","",'2_Data_Pelanggan'!B111)</f>
        <v>ARM-0107</v>
      </c>
      <c r="C111" s="296" t="str">
        <f>IF('2_Data_Pelanggan'!D111="","",'2_Data_Pelanggan'!D111)</f>
        <v>KOMSIFLAH</v>
      </c>
      <c r="D111" s="282">
        <f>IF('2_Data_Pelanggan'!D111="","",'2_Data_Pelanggan'!M111)</f>
        <v>20</v>
      </c>
      <c r="E111" s="292">
        <f>IF('2_Data_Pelanggan'!D111="","",'2_Data_Pelanggan'!N111)</f>
        <v>115000</v>
      </c>
      <c r="F111" s="297" t="s">
        <v>1605</v>
      </c>
      <c r="G111" s="297" t="s">
        <v>1605</v>
      </c>
      <c r="H111" s="297" t="s">
        <v>1605</v>
      </c>
      <c r="I111" s="297" t="s">
        <v>1605</v>
      </c>
      <c r="J111" s="297" t="s">
        <v>1605</v>
      </c>
      <c r="K111" s="300">
        <v>115000.0</v>
      </c>
      <c r="L111" s="300">
        <v>115198.0</v>
      </c>
      <c r="M111" s="300">
        <v>115198.0</v>
      </c>
      <c r="N111" s="300">
        <v>115198.0</v>
      </c>
      <c r="O111" s="300">
        <v>115198.0</v>
      </c>
      <c r="P111" s="300">
        <v>115198.0</v>
      </c>
      <c r="Q111" s="300">
        <v>115198.0</v>
      </c>
      <c r="R111" s="298">
        <f t="shared" si="2"/>
        <v>745994</v>
      </c>
      <c r="S111" s="47"/>
      <c r="T111" s="47"/>
      <c r="U111" s="47"/>
      <c r="V111" s="47"/>
      <c r="W111" s="47"/>
      <c r="X111" s="47"/>
      <c r="Y111" s="47"/>
      <c r="Z111" s="47"/>
    </row>
    <row r="112" ht="15.0" customHeight="1">
      <c r="A112" s="290">
        <f>IF(C113="","",109)</f>
        <v>109</v>
      </c>
      <c r="B112" s="122" t="str">
        <f>IF('2_Data_Pelanggan'!D112="","",'2_Data_Pelanggan'!B112)</f>
        <v>ARM-0108</v>
      </c>
      <c r="C112" s="291" t="str">
        <f>IF('2_Data_Pelanggan'!D112="","",'2_Data_Pelanggan'!D112)</f>
        <v>DURYATMI</v>
      </c>
      <c r="D112" s="279">
        <f>IF('2_Data_Pelanggan'!D112="","",'2_Data_Pelanggan'!M112)</f>
        <v>20</v>
      </c>
      <c r="E112" s="292">
        <f>IF('2_Data_Pelanggan'!D112="","",'2_Data_Pelanggan'!N112)</f>
        <v>115000</v>
      </c>
      <c r="F112" s="293" t="s">
        <v>1605</v>
      </c>
      <c r="G112" s="293" t="s">
        <v>1605</v>
      </c>
      <c r="H112" s="293" t="s">
        <v>1605</v>
      </c>
      <c r="I112" s="293" t="s">
        <v>1605</v>
      </c>
      <c r="J112" s="293" t="s">
        <v>1605</v>
      </c>
      <c r="K112" s="299">
        <v>50000.0</v>
      </c>
      <c r="L112" s="299">
        <v>115999.0</v>
      </c>
      <c r="M112" s="299">
        <v>115999.0</v>
      </c>
      <c r="N112" s="299">
        <v>115999.0</v>
      </c>
      <c r="O112" s="299">
        <v>115999.0</v>
      </c>
      <c r="P112" s="299">
        <v>115999.0</v>
      </c>
      <c r="Q112" s="299">
        <v>115999.0</v>
      </c>
      <c r="R112" s="294">
        <f t="shared" si="2"/>
        <v>741200</v>
      </c>
      <c r="S112" s="47"/>
      <c r="T112" s="47"/>
      <c r="U112" s="47"/>
      <c r="V112" s="47"/>
      <c r="W112" s="47"/>
      <c r="X112" s="47"/>
      <c r="Y112" s="47"/>
      <c r="Z112" s="47"/>
    </row>
    <row r="113" ht="15.0" customHeight="1">
      <c r="A113" s="295">
        <f>IF(C114="","",110)</f>
        <v>110</v>
      </c>
      <c r="B113" s="117" t="str">
        <f>IF('2_Data_Pelanggan'!D113="","",'2_Data_Pelanggan'!B113)</f>
        <v>ARM-0109</v>
      </c>
      <c r="C113" s="296" t="str">
        <f>IF('2_Data_Pelanggan'!D113="","",'2_Data_Pelanggan'!D113)</f>
        <v>AHMAD SOFIE</v>
      </c>
      <c r="D113" s="282">
        <f>IF('2_Data_Pelanggan'!D113="","",'2_Data_Pelanggan'!M113)</f>
        <v>20</v>
      </c>
      <c r="E113" s="292">
        <f>IF('2_Data_Pelanggan'!D113="","",'2_Data_Pelanggan'!N113)</f>
        <v>115000</v>
      </c>
      <c r="F113" s="297" t="s">
        <v>1605</v>
      </c>
      <c r="G113" s="297" t="s">
        <v>1605</v>
      </c>
      <c r="H113" s="297" t="s">
        <v>1605</v>
      </c>
      <c r="I113" s="297" t="s">
        <v>1605</v>
      </c>
      <c r="J113" s="297" t="s">
        <v>1605</v>
      </c>
      <c r="K113" s="300">
        <v>50000.0</v>
      </c>
      <c r="L113" s="300">
        <v>115200.0</v>
      </c>
      <c r="M113" s="300">
        <v>115200.0</v>
      </c>
      <c r="N113" s="300">
        <v>115200.0</v>
      </c>
      <c r="O113" s="300">
        <v>115200.0</v>
      </c>
      <c r="P113" s="300">
        <v>115200.0</v>
      </c>
      <c r="Q113" s="300">
        <v>115200.0</v>
      </c>
      <c r="R113" s="298">
        <f t="shared" si="2"/>
        <v>741039</v>
      </c>
      <c r="S113" s="47"/>
      <c r="T113" s="47"/>
      <c r="U113" s="47"/>
      <c r="V113" s="47"/>
      <c r="W113" s="47"/>
      <c r="X113" s="47"/>
      <c r="Y113" s="47"/>
      <c r="Z113" s="47"/>
    </row>
    <row r="114" ht="15.0" customHeight="1">
      <c r="A114" s="290">
        <f>IF(C115="","",111)</f>
        <v>111</v>
      </c>
      <c r="B114" s="122" t="str">
        <f>IF('2_Data_Pelanggan'!D114="","",'2_Data_Pelanggan'!B114)</f>
        <v>ARM-0110</v>
      </c>
      <c r="C114" s="291" t="str">
        <f>IF('2_Data_Pelanggan'!D114="","",'2_Data_Pelanggan'!D114)</f>
        <v>TRIONO</v>
      </c>
      <c r="D114" s="279">
        <f>IF('2_Data_Pelanggan'!D114="","",'2_Data_Pelanggan'!M114)</f>
        <v>30</v>
      </c>
      <c r="E114" s="292">
        <f>IF('2_Data_Pelanggan'!D114="","",'2_Data_Pelanggan'!N114)</f>
        <v>142000</v>
      </c>
      <c r="F114" s="293" t="s">
        <v>1605</v>
      </c>
      <c r="G114" s="293" t="s">
        <v>1605</v>
      </c>
      <c r="H114" s="293" t="s">
        <v>1605</v>
      </c>
      <c r="I114" s="293" t="s">
        <v>1605</v>
      </c>
      <c r="J114" s="293" t="s">
        <v>1605</v>
      </c>
      <c r="K114" s="299">
        <v>49833.0</v>
      </c>
      <c r="L114" s="299">
        <v>115201.0</v>
      </c>
      <c r="M114" s="299">
        <v>115201.0</v>
      </c>
      <c r="N114" s="299">
        <v>115201.0</v>
      </c>
      <c r="O114" s="299">
        <v>115201.0</v>
      </c>
      <c r="P114" s="299">
        <v>115201.0</v>
      </c>
      <c r="Q114" s="299">
        <v>115201.0</v>
      </c>
      <c r="R114" s="294">
        <f t="shared" si="2"/>
        <v>61533</v>
      </c>
      <c r="S114" s="47"/>
      <c r="T114" s="47"/>
      <c r="U114" s="47"/>
      <c r="V114" s="47"/>
      <c r="W114" s="47"/>
      <c r="X114" s="47"/>
      <c r="Y114" s="47"/>
      <c r="Z114" s="47"/>
    </row>
    <row r="115" ht="15.0" customHeight="1">
      <c r="A115" s="295">
        <f>IF(C116="","",112)</f>
        <v>112</v>
      </c>
      <c r="B115" s="117" t="str">
        <f>IF('2_Data_Pelanggan'!D115="","",'2_Data_Pelanggan'!B115)</f>
        <v>ARM-0111</v>
      </c>
      <c r="C115" s="296" t="str">
        <f>IF('2_Data_Pelanggan'!D115="","",'2_Data_Pelanggan'!D115)</f>
        <v>SUNGSORO</v>
      </c>
      <c r="D115" s="282">
        <f>IF('2_Data_Pelanggan'!D115="","",'2_Data_Pelanggan'!M115)</f>
        <v>20</v>
      </c>
      <c r="E115" s="292">
        <f>IF('2_Data_Pelanggan'!D115="","",'2_Data_Pelanggan'!N115)</f>
        <v>115000</v>
      </c>
      <c r="F115" s="297" t="s">
        <v>1605</v>
      </c>
      <c r="G115" s="297" t="s">
        <v>1605</v>
      </c>
      <c r="H115" s="297" t="s">
        <v>1605</v>
      </c>
      <c r="I115" s="297" t="s">
        <v>1605</v>
      </c>
      <c r="J115" s="297" t="s">
        <v>1605</v>
      </c>
      <c r="K115" s="300">
        <v>61533.0</v>
      </c>
      <c r="L115" s="297" t="s">
        <v>1605</v>
      </c>
      <c r="M115" s="297" t="s">
        <v>1605</v>
      </c>
      <c r="N115" s="297" t="s">
        <v>1605</v>
      </c>
      <c r="O115" s="297" t="s">
        <v>1605</v>
      </c>
      <c r="P115" s="297" t="s">
        <v>1605</v>
      </c>
      <c r="Q115" s="297" t="s">
        <v>1605</v>
      </c>
      <c r="R115" s="298">
        <f t="shared" si="2"/>
        <v>165035</v>
      </c>
      <c r="S115" s="47"/>
      <c r="T115" s="47"/>
      <c r="U115" s="47"/>
      <c r="V115" s="47"/>
      <c r="W115" s="47"/>
      <c r="X115" s="47"/>
      <c r="Y115" s="47"/>
      <c r="Z115" s="47"/>
    </row>
    <row r="116" ht="15.0" customHeight="1">
      <c r="A116" s="290">
        <f>IF(C117="","",113)</f>
        <v>113</v>
      </c>
      <c r="B116" s="122" t="str">
        <f>IF('2_Data_Pelanggan'!D116="","",'2_Data_Pelanggan'!B116)</f>
        <v>ARM-0112</v>
      </c>
      <c r="C116" s="291" t="str">
        <f>IF('2_Data_Pelanggan'!D116="","",'2_Data_Pelanggan'!D116)</f>
        <v>VIDI PRASETYO</v>
      </c>
      <c r="D116" s="279">
        <f>IF('2_Data_Pelanggan'!D116="","",'2_Data_Pelanggan'!M116)</f>
        <v>20</v>
      </c>
      <c r="E116" s="292">
        <f>IF('2_Data_Pelanggan'!D116="","",'2_Data_Pelanggan'!N116)</f>
        <v>115000</v>
      </c>
      <c r="F116" s="293" t="s">
        <v>1605</v>
      </c>
      <c r="G116" s="293" t="s">
        <v>1605</v>
      </c>
      <c r="H116" s="293" t="s">
        <v>1605</v>
      </c>
      <c r="I116" s="293" t="s">
        <v>1605</v>
      </c>
      <c r="J116" s="293" t="s">
        <v>1605</v>
      </c>
      <c r="K116" s="299">
        <v>49833.0</v>
      </c>
      <c r="L116" s="299">
        <v>115202.0</v>
      </c>
      <c r="M116" s="293" t="s">
        <v>1605</v>
      </c>
      <c r="N116" s="293" t="s">
        <v>1605</v>
      </c>
      <c r="O116" s="293" t="s">
        <v>1605</v>
      </c>
      <c r="P116" s="293" t="s">
        <v>1605</v>
      </c>
      <c r="Q116" s="293" t="s">
        <v>1605</v>
      </c>
      <c r="R116" s="294">
        <f t="shared" si="2"/>
        <v>165203</v>
      </c>
      <c r="S116" s="47"/>
      <c r="T116" s="47"/>
      <c r="U116" s="47"/>
      <c r="V116" s="47"/>
      <c r="W116" s="47"/>
      <c r="X116" s="47"/>
      <c r="Y116" s="47"/>
      <c r="Z116" s="47"/>
    </row>
    <row r="117" ht="15.0" customHeight="1">
      <c r="A117" s="295">
        <f>IF(C118="","",114)</f>
        <v>114</v>
      </c>
      <c r="B117" s="117" t="str">
        <f>IF('2_Data_Pelanggan'!D117="","",'2_Data_Pelanggan'!B117)</f>
        <v>ARM-0113</v>
      </c>
      <c r="C117" s="296" t="str">
        <f>IF('2_Data_Pelanggan'!D117="","",'2_Data_Pelanggan'!D117)</f>
        <v>MARGONO</v>
      </c>
      <c r="D117" s="282">
        <f>IF('2_Data_Pelanggan'!D117="","",'2_Data_Pelanggan'!M117)</f>
        <v>20</v>
      </c>
      <c r="E117" s="292">
        <f>IF('2_Data_Pelanggan'!D117="","",'2_Data_Pelanggan'!N117)</f>
        <v>115000</v>
      </c>
      <c r="F117" s="297" t="s">
        <v>1605</v>
      </c>
      <c r="G117" s="297" t="s">
        <v>1605</v>
      </c>
      <c r="H117" s="297" t="s">
        <v>1605</v>
      </c>
      <c r="I117" s="297" t="s">
        <v>1605</v>
      </c>
      <c r="J117" s="297" t="s">
        <v>1605</v>
      </c>
      <c r="K117" s="300">
        <v>50000.0</v>
      </c>
      <c r="L117" s="300">
        <v>115203.0</v>
      </c>
      <c r="M117" s="297" t="s">
        <v>1605</v>
      </c>
      <c r="N117" s="297" t="s">
        <v>1605</v>
      </c>
      <c r="O117" s="297" t="s">
        <v>1605</v>
      </c>
      <c r="P117" s="297" t="s">
        <v>1605</v>
      </c>
      <c r="Q117" s="297" t="s">
        <v>1605</v>
      </c>
      <c r="R117" s="298">
        <f t="shared" si="2"/>
        <v>165204</v>
      </c>
      <c r="S117" s="47"/>
      <c r="T117" s="47"/>
      <c r="U117" s="47"/>
      <c r="V117" s="47"/>
      <c r="W117" s="47"/>
      <c r="X117" s="47"/>
      <c r="Y117" s="47"/>
      <c r="Z117" s="47"/>
    </row>
    <row r="118" ht="15.0" customHeight="1">
      <c r="A118" s="290">
        <f>IF(C119="","",115)</f>
        <v>115</v>
      </c>
      <c r="B118" s="122" t="str">
        <f>IF('2_Data_Pelanggan'!D118="","",'2_Data_Pelanggan'!B118)</f>
        <v>ARM-0114</v>
      </c>
      <c r="C118" s="291" t="str">
        <f>IF('2_Data_Pelanggan'!D118="","",'2_Data_Pelanggan'!D118)</f>
        <v>WIKI TRIONO</v>
      </c>
      <c r="D118" s="279">
        <f>IF('2_Data_Pelanggan'!D118="","",'2_Data_Pelanggan'!M118)</f>
        <v>20</v>
      </c>
      <c r="E118" s="292">
        <f>IF('2_Data_Pelanggan'!D118="","",'2_Data_Pelanggan'!N118)</f>
        <v>115000</v>
      </c>
      <c r="F118" s="293" t="s">
        <v>1605</v>
      </c>
      <c r="G118" s="293" t="s">
        <v>1605</v>
      </c>
      <c r="H118" s="293" t="s">
        <v>1605</v>
      </c>
      <c r="I118" s="293" t="s">
        <v>1605</v>
      </c>
      <c r="J118" s="293" t="s">
        <v>1605</v>
      </c>
      <c r="K118" s="299">
        <v>50000.0</v>
      </c>
      <c r="L118" s="299">
        <v>115204.0</v>
      </c>
      <c r="M118" s="293" t="s">
        <v>1605</v>
      </c>
      <c r="N118" s="293" t="s">
        <v>1605</v>
      </c>
      <c r="O118" s="293" t="s">
        <v>1605</v>
      </c>
      <c r="P118" s="293" t="s">
        <v>1605</v>
      </c>
      <c r="Q118" s="293" t="s">
        <v>1605</v>
      </c>
      <c r="R118" s="294">
        <f t="shared" si="2"/>
        <v>161205</v>
      </c>
      <c r="S118" s="47"/>
      <c r="T118" s="47"/>
      <c r="U118" s="47"/>
      <c r="V118" s="47"/>
      <c r="W118" s="47"/>
      <c r="X118" s="47"/>
      <c r="Y118" s="47"/>
      <c r="Z118" s="47"/>
    </row>
    <row r="119" ht="15.0" customHeight="1">
      <c r="A119" s="295">
        <f>IF(C120="","",116)</f>
        <v>116</v>
      </c>
      <c r="B119" s="117" t="str">
        <f>IF('2_Data_Pelanggan'!D119="","",'2_Data_Pelanggan'!B119)</f>
        <v>ARM-0115</v>
      </c>
      <c r="C119" s="296" t="str">
        <f>IF('2_Data_Pelanggan'!D119="","",'2_Data_Pelanggan'!D119)</f>
        <v>TURSIMAN</v>
      </c>
      <c r="D119" s="282">
        <f>IF('2_Data_Pelanggan'!D119="","",'2_Data_Pelanggan'!M119)</f>
        <v>20</v>
      </c>
      <c r="E119" s="292">
        <f>IF('2_Data_Pelanggan'!D119="","",'2_Data_Pelanggan'!N119)</f>
        <v>115000</v>
      </c>
      <c r="F119" s="297" t="s">
        <v>1605</v>
      </c>
      <c r="G119" s="297" t="s">
        <v>1605</v>
      </c>
      <c r="H119" s="297" t="s">
        <v>1605</v>
      </c>
      <c r="I119" s="297" t="s">
        <v>1605</v>
      </c>
      <c r="J119" s="297" t="s">
        <v>1605</v>
      </c>
      <c r="K119" s="300">
        <v>46000.0</v>
      </c>
      <c r="L119" s="300">
        <v>115205.0</v>
      </c>
      <c r="M119" s="297" t="s">
        <v>1605</v>
      </c>
      <c r="N119" s="297" t="s">
        <v>1605</v>
      </c>
      <c r="O119" s="297" t="s">
        <v>1605</v>
      </c>
      <c r="P119" s="297" t="s">
        <v>1605</v>
      </c>
      <c r="Q119" s="297" t="s">
        <v>1605</v>
      </c>
      <c r="R119" s="298">
        <f t="shared" si="2"/>
        <v>161206</v>
      </c>
      <c r="S119" s="47"/>
      <c r="T119" s="47"/>
      <c r="U119" s="47"/>
      <c r="V119" s="47"/>
      <c r="W119" s="47"/>
      <c r="X119" s="47"/>
      <c r="Y119" s="47"/>
      <c r="Z119" s="47"/>
    </row>
    <row r="120" ht="15.0" customHeight="1">
      <c r="A120" s="290">
        <f>IF(C121="","",117)</f>
        <v>117</v>
      </c>
      <c r="B120" s="122" t="str">
        <f>IF('2_Data_Pelanggan'!D120="","",'2_Data_Pelanggan'!B120)</f>
        <v>ARM-0116</v>
      </c>
      <c r="C120" s="291" t="str">
        <f>IF('2_Data_Pelanggan'!D120="","",'2_Data_Pelanggan'!D120)</f>
        <v>SUTRISNO</v>
      </c>
      <c r="D120" s="279">
        <f>IF('2_Data_Pelanggan'!D120="","",'2_Data_Pelanggan'!M120)</f>
        <v>20</v>
      </c>
      <c r="E120" s="292">
        <f>IF('2_Data_Pelanggan'!D120="","",'2_Data_Pelanggan'!N120)</f>
        <v>115000</v>
      </c>
      <c r="F120" s="293" t="s">
        <v>1605</v>
      </c>
      <c r="G120" s="293" t="s">
        <v>1605</v>
      </c>
      <c r="H120" s="293" t="s">
        <v>1605</v>
      </c>
      <c r="I120" s="293" t="s">
        <v>1605</v>
      </c>
      <c r="J120" s="293" t="s">
        <v>1605</v>
      </c>
      <c r="K120" s="299">
        <v>46000.0</v>
      </c>
      <c r="L120" s="299">
        <v>115206.0</v>
      </c>
      <c r="M120" s="293" t="s">
        <v>1605</v>
      </c>
      <c r="N120" s="293" t="s">
        <v>1605</v>
      </c>
      <c r="O120" s="293" t="s">
        <v>1605</v>
      </c>
      <c r="P120" s="293" t="s">
        <v>1605</v>
      </c>
      <c r="Q120" s="293" t="s">
        <v>1605</v>
      </c>
      <c r="R120" s="294">
        <f t="shared" si="2"/>
        <v>161207</v>
      </c>
      <c r="S120" s="47"/>
      <c r="T120" s="47"/>
      <c r="U120" s="47"/>
      <c r="V120" s="47"/>
      <c r="W120" s="47"/>
      <c r="X120" s="47"/>
      <c r="Y120" s="47"/>
      <c r="Z120" s="47"/>
    </row>
    <row r="121" ht="15.0" customHeight="1">
      <c r="A121" s="295">
        <f>IF(C122="","",118)</f>
        <v>118</v>
      </c>
      <c r="B121" s="117" t="str">
        <f>IF('2_Data_Pelanggan'!D121="","",'2_Data_Pelanggan'!B121)</f>
        <v>ARM-0117</v>
      </c>
      <c r="C121" s="296" t="str">
        <f>IF('2_Data_Pelanggan'!D121="","",'2_Data_Pelanggan'!D121)</f>
        <v>TANTI</v>
      </c>
      <c r="D121" s="282">
        <f>IF('2_Data_Pelanggan'!D121="","",'2_Data_Pelanggan'!M121)</f>
        <v>20</v>
      </c>
      <c r="E121" s="292">
        <f>IF('2_Data_Pelanggan'!D121="","",'2_Data_Pelanggan'!N121)</f>
        <v>115000</v>
      </c>
      <c r="F121" s="297" t="s">
        <v>1605</v>
      </c>
      <c r="G121" s="297" t="s">
        <v>1605</v>
      </c>
      <c r="H121" s="297" t="s">
        <v>1605</v>
      </c>
      <c r="I121" s="297" t="s">
        <v>1605</v>
      </c>
      <c r="J121" s="297" t="s">
        <v>1605</v>
      </c>
      <c r="K121" s="300">
        <v>46000.0</v>
      </c>
      <c r="L121" s="300">
        <v>115207.0</v>
      </c>
      <c r="M121" s="297" t="s">
        <v>1605</v>
      </c>
      <c r="N121" s="297" t="s">
        <v>1605</v>
      </c>
      <c r="O121" s="297" t="s">
        <v>1605</v>
      </c>
      <c r="P121" s="297" t="s">
        <v>1605</v>
      </c>
      <c r="Q121" s="297" t="s">
        <v>1605</v>
      </c>
      <c r="R121" s="298">
        <f t="shared" si="2"/>
        <v>161208</v>
      </c>
      <c r="S121" s="47"/>
      <c r="T121" s="47"/>
      <c r="U121" s="47"/>
      <c r="V121" s="47"/>
      <c r="W121" s="47"/>
      <c r="X121" s="47"/>
      <c r="Y121" s="47"/>
      <c r="Z121" s="47"/>
    </row>
    <row r="122" ht="15.0" customHeight="1">
      <c r="A122" s="290">
        <f>IF(C123="","",119)</f>
        <v>119</v>
      </c>
      <c r="B122" s="122" t="str">
        <f>IF('2_Data_Pelanggan'!D122="","",'2_Data_Pelanggan'!B122)</f>
        <v>ARM-0118</v>
      </c>
      <c r="C122" s="291" t="str">
        <f>IF('2_Data_Pelanggan'!D122="","",'2_Data_Pelanggan'!D122)</f>
        <v>DARYANTO</v>
      </c>
      <c r="D122" s="279">
        <f>IF('2_Data_Pelanggan'!D122="","",'2_Data_Pelanggan'!M122)</f>
        <v>75</v>
      </c>
      <c r="E122" s="292">
        <f>IF('2_Data_Pelanggan'!D122="","",'2_Data_Pelanggan'!N122)</f>
        <v>260000</v>
      </c>
      <c r="F122" s="293" t="s">
        <v>1605</v>
      </c>
      <c r="G122" s="293" t="s">
        <v>1605</v>
      </c>
      <c r="H122" s="293" t="s">
        <v>1605</v>
      </c>
      <c r="I122" s="293" t="s">
        <v>1605</v>
      </c>
      <c r="J122" s="293" t="s">
        <v>1605</v>
      </c>
      <c r="K122" s="299">
        <v>46000.0</v>
      </c>
      <c r="L122" s="299">
        <v>115208.0</v>
      </c>
      <c r="M122" s="293" t="s">
        <v>1605</v>
      </c>
      <c r="N122" s="293" t="s">
        <v>1605</v>
      </c>
      <c r="O122" s="293" t="s">
        <v>1605</v>
      </c>
      <c r="P122" s="293" t="s">
        <v>1605</v>
      </c>
      <c r="Q122" s="293" t="s">
        <v>1605</v>
      </c>
      <c r="R122" s="294">
        <f t="shared" si="2"/>
        <v>95000</v>
      </c>
      <c r="S122" s="47"/>
      <c r="T122" s="47"/>
      <c r="U122" s="47"/>
      <c r="V122" s="47"/>
      <c r="W122" s="47"/>
      <c r="X122" s="47"/>
      <c r="Y122" s="47"/>
      <c r="Z122" s="47"/>
    </row>
    <row r="123" ht="15.0" customHeight="1">
      <c r="A123" s="295">
        <f>IF(C124="","",120)</f>
        <v>120</v>
      </c>
      <c r="B123" s="117" t="str">
        <f>IF('2_Data_Pelanggan'!D123="","",'2_Data_Pelanggan'!B123)</f>
        <v>ARM-0119</v>
      </c>
      <c r="C123" s="296" t="str">
        <f>IF('2_Data_Pelanggan'!D123="","",'2_Data_Pelanggan'!D123)</f>
        <v>DARWONO</v>
      </c>
      <c r="D123" s="282">
        <f>IF('2_Data_Pelanggan'!D123="","",'2_Data_Pelanggan'!M123)</f>
        <v>20</v>
      </c>
      <c r="E123" s="292">
        <f>IF('2_Data_Pelanggan'!D123="","",'2_Data_Pelanggan'!N123)</f>
        <v>115000</v>
      </c>
      <c r="F123" s="297" t="s">
        <v>1605</v>
      </c>
      <c r="G123" s="297" t="s">
        <v>1605</v>
      </c>
      <c r="H123" s="297" t="s">
        <v>1605</v>
      </c>
      <c r="I123" s="297" t="s">
        <v>1605</v>
      </c>
      <c r="J123" s="297" t="s">
        <v>1605</v>
      </c>
      <c r="K123" s="300">
        <v>95000.0</v>
      </c>
      <c r="L123" s="297" t="s">
        <v>1605</v>
      </c>
      <c r="M123" s="297" t="s">
        <v>1605</v>
      </c>
      <c r="N123" s="297" t="s">
        <v>1605</v>
      </c>
      <c r="O123" s="297" t="s">
        <v>1605</v>
      </c>
      <c r="P123" s="297" t="s">
        <v>1605</v>
      </c>
      <c r="Q123" s="297" t="s">
        <v>1605</v>
      </c>
      <c r="R123" s="298">
        <f t="shared" si="2"/>
        <v>157375</v>
      </c>
      <c r="S123" s="47"/>
      <c r="T123" s="47"/>
      <c r="U123" s="47"/>
      <c r="V123" s="47"/>
      <c r="W123" s="47"/>
      <c r="X123" s="47"/>
      <c r="Y123" s="47"/>
      <c r="Z123" s="47"/>
    </row>
    <row r="124" ht="15.0" customHeight="1">
      <c r="A124" s="290">
        <f>IF(C125="","",121)</f>
        <v>121</v>
      </c>
      <c r="B124" s="122" t="str">
        <f>IF('2_Data_Pelanggan'!D124="","",'2_Data_Pelanggan'!B124)</f>
        <v>ARM-0120</v>
      </c>
      <c r="C124" s="291" t="str">
        <f>IF('2_Data_Pelanggan'!D124="","",'2_Data_Pelanggan'!D124)</f>
        <v>SIGIT ARYANTO</v>
      </c>
      <c r="D124" s="279">
        <f>IF('2_Data_Pelanggan'!D124="","",'2_Data_Pelanggan'!M124)</f>
        <v>20</v>
      </c>
      <c r="E124" s="292">
        <f>IF('2_Data_Pelanggan'!D124="","",'2_Data_Pelanggan'!N124)</f>
        <v>115000</v>
      </c>
      <c r="F124" s="293" t="s">
        <v>1605</v>
      </c>
      <c r="G124" s="293" t="s">
        <v>1605</v>
      </c>
      <c r="H124" s="293" t="s">
        <v>1605</v>
      </c>
      <c r="I124" s="293" t="s">
        <v>1605</v>
      </c>
      <c r="J124" s="293" t="s">
        <v>1605</v>
      </c>
      <c r="K124" s="299">
        <v>42166.0</v>
      </c>
      <c r="L124" s="299">
        <v>115209.0</v>
      </c>
      <c r="M124" s="293" t="s">
        <v>1605</v>
      </c>
      <c r="N124" s="293" t="s">
        <v>1605</v>
      </c>
      <c r="O124" s="293" t="s">
        <v>1605</v>
      </c>
      <c r="P124" s="293" t="s">
        <v>1605</v>
      </c>
      <c r="Q124" s="293" t="s">
        <v>1605</v>
      </c>
      <c r="R124" s="294">
        <f t="shared" si="2"/>
        <v>157376</v>
      </c>
      <c r="S124" s="47"/>
      <c r="T124" s="47"/>
      <c r="U124" s="47"/>
      <c r="V124" s="47"/>
      <c r="W124" s="47"/>
      <c r="X124" s="47"/>
      <c r="Y124" s="47"/>
      <c r="Z124" s="47"/>
    </row>
    <row r="125" ht="15.0" customHeight="1">
      <c r="A125" s="295">
        <f>IF(C126="","",122)</f>
        <v>122</v>
      </c>
      <c r="B125" s="117" t="str">
        <f>IF('2_Data_Pelanggan'!D125="","",'2_Data_Pelanggan'!B125)</f>
        <v>ARM-0121</v>
      </c>
      <c r="C125" s="296" t="str">
        <f>IF('2_Data_Pelanggan'!D125="","",'2_Data_Pelanggan'!D125)</f>
        <v>OKI GUNAWAN</v>
      </c>
      <c r="D125" s="282">
        <f>IF('2_Data_Pelanggan'!D125="","",'2_Data_Pelanggan'!M125)</f>
        <v>20</v>
      </c>
      <c r="E125" s="292">
        <f>IF('2_Data_Pelanggan'!D125="","",'2_Data_Pelanggan'!N125)</f>
        <v>115000</v>
      </c>
      <c r="F125" s="297" t="s">
        <v>1605</v>
      </c>
      <c r="G125" s="297" t="s">
        <v>1605</v>
      </c>
      <c r="H125" s="297" t="s">
        <v>1605</v>
      </c>
      <c r="I125" s="297" t="s">
        <v>1605</v>
      </c>
      <c r="J125" s="297" t="s">
        <v>1605</v>
      </c>
      <c r="K125" s="300">
        <v>42166.0</v>
      </c>
      <c r="L125" s="300">
        <v>115210.0</v>
      </c>
      <c r="M125" s="297" t="s">
        <v>1605</v>
      </c>
      <c r="N125" s="297" t="s">
        <v>1605</v>
      </c>
      <c r="O125" s="297" t="s">
        <v>1605</v>
      </c>
      <c r="P125" s="297" t="s">
        <v>1605</v>
      </c>
      <c r="Q125" s="297" t="s">
        <v>1605</v>
      </c>
      <c r="R125" s="298">
        <f t="shared" si="2"/>
        <v>157377</v>
      </c>
      <c r="S125" s="47"/>
      <c r="T125" s="47"/>
      <c r="U125" s="47"/>
      <c r="V125" s="47"/>
      <c r="W125" s="47"/>
      <c r="X125" s="47"/>
      <c r="Y125" s="47"/>
      <c r="Z125" s="47"/>
    </row>
    <row r="126" ht="15.0" customHeight="1">
      <c r="A126" s="290">
        <f>IF(C127="","",123)</f>
        <v>123</v>
      </c>
      <c r="B126" s="122" t="str">
        <f>IF('2_Data_Pelanggan'!D126="","",'2_Data_Pelanggan'!B126)</f>
        <v>ARM-0122</v>
      </c>
      <c r="C126" s="291" t="str">
        <f>IF('2_Data_Pelanggan'!D126="","",'2_Data_Pelanggan'!D126)</f>
        <v>ANGGRES PERMANA</v>
      </c>
      <c r="D126" s="279">
        <f>IF('2_Data_Pelanggan'!D126="","",'2_Data_Pelanggan'!M126)</f>
        <v>20</v>
      </c>
      <c r="E126" s="292">
        <f>IF('2_Data_Pelanggan'!D126="","",'2_Data_Pelanggan'!N126)</f>
        <v>115000</v>
      </c>
      <c r="F126" s="293" t="s">
        <v>1605</v>
      </c>
      <c r="G126" s="293" t="s">
        <v>1605</v>
      </c>
      <c r="H126" s="293" t="s">
        <v>1605</v>
      </c>
      <c r="I126" s="293" t="s">
        <v>1605</v>
      </c>
      <c r="J126" s="293" t="s">
        <v>1605</v>
      </c>
      <c r="K126" s="299">
        <v>42166.0</v>
      </c>
      <c r="L126" s="299">
        <v>115211.0</v>
      </c>
      <c r="M126" s="293" t="s">
        <v>1605</v>
      </c>
      <c r="N126" s="293" t="s">
        <v>1605</v>
      </c>
      <c r="O126" s="293" t="s">
        <v>1605</v>
      </c>
      <c r="P126" s="293" t="s">
        <v>1605</v>
      </c>
      <c r="Q126" s="293" t="s">
        <v>1605</v>
      </c>
      <c r="R126" s="294">
        <f t="shared" si="2"/>
        <v>157378</v>
      </c>
      <c r="S126" s="47"/>
      <c r="T126" s="47"/>
      <c r="U126" s="47"/>
      <c r="V126" s="47"/>
      <c r="W126" s="47"/>
      <c r="X126" s="47"/>
      <c r="Y126" s="47"/>
      <c r="Z126" s="47"/>
    </row>
    <row r="127" ht="15.0" customHeight="1">
      <c r="A127" s="295">
        <f>IF(C128="","",124)</f>
        <v>124</v>
      </c>
      <c r="B127" s="117" t="str">
        <f>IF('2_Data_Pelanggan'!D127="","",'2_Data_Pelanggan'!B127)</f>
        <v>ARM-0123</v>
      </c>
      <c r="C127" s="296" t="str">
        <f>IF('2_Data_Pelanggan'!D127="","",'2_Data_Pelanggan'!D127)</f>
        <v>DASLIM</v>
      </c>
      <c r="D127" s="282">
        <f>IF('2_Data_Pelanggan'!D127="","",'2_Data_Pelanggan'!M127)</f>
        <v>20</v>
      </c>
      <c r="E127" s="292">
        <f>IF('2_Data_Pelanggan'!D127="","",'2_Data_Pelanggan'!N127)</f>
        <v>115000</v>
      </c>
      <c r="F127" s="297" t="s">
        <v>1605</v>
      </c>
      <c r="G127" s="297" t="s">
        <v>1605</v>
      </c>
      <c r="H127" s="297" t="s">
        <v>1605</v>
      </c>
      <c r="I127" s="297" t="s">
        <v>1605</v>
      </c>
      <c r="J127" s="297" t="s">
        <v>1605</v>
      </c>
      <c r="K127" s="300">
        <v>42166.0</v>
      </c>
      <c r="L127" s="300">
        <v>115212.0</v>
      </c>
      <c r="M127" s="297" t="s">
        <v>1605</v>
      </c>
      <c r="N127" s="297" t="s">
        <v>1605</v>
      </c>
      <c r="O127" s="297" t="s">
        <v>1605</v>
      </c>
      <c r="P127" s="297" t="s">
        <v>1605</v>
      </c>
      <c r="Q127" s="297" t="s">
        <v>1605</v>
      </c>
      <c r="R127" s="298">
        <f t="shared" si="2"/>
        <v>153713</v>
      </c>
      <c r="S127" s="47"/>
      <c r="T127" s="47"/>
      <c r="U127" s="47"/>
      <c r="V127" s="47"/>
      <c r="W127" s="47"/>
      <c r="X127" s="47"/>
      <c r="Y127" s="47"/>
      <c r="Z127" s="47"/>
    </row>
    <row r="128" ht="15.0" customHeight="1">
      <c r="A128" s="290">
        <f>IF(C129="","",125)</f>
        <v>125</v>
      </c>
      <c r="B128" s="122" t="str">
        <f>IF('2_Data_Pelanggan'!D128="","",'2_Data_Pelanggan'!B128)</f>
        <v>ARM-0124</v>
      </c>
      <c r="C128" s="291" t="str">
        <f>IF('2_Data_Pelanggan'!D128="","",'2_Data_Pelanggan'!D128)</f>
        <v>HERWATI</v>
      </c>
      <c r="D128" s="279">
        <f>IF('2_Data_Pelanggan'!D128="","",'2_Data_Pelanggan'!M128)</f>
        <v>20</v>
      </c>
      <c r="E128" s="292">
        <f>IF('2_Data_Pelanggan'!D128="","",'2_Data_Pelanggan'!N128)</f>
        <v>115000</v>
      </c>
      <c r="F128" s="293" t="s">
        <v>1605</v>
      </c>
      <c r="G128" s="293" t="s">
        <v>1605</v>
      </c>
      <c r="H128" s="293" t="s">
        <v>1605</v>
      </c>
      <c r="I128" s="293" t="s">
        <v>1605</v>
      </c>
      <c r="J128" s="293" t="s">
        <v>1605</v>
      </c>
      <c r="K128" s="299">
        <v>38500.0</v>
      </c>
      <c r="L128" s="299">
        <v>115213.0</v>
      </c>
      <c r="M128" s="293" t="s">
        <v>1605</v>
      </c>
      <c r="N128" s="293" t="s">
        <v>1605</v>
      </c>
      <c r="O128" s="293" t="s">
        <v>1605</v>
      </c>
      <c r="P128" s="293" t="s">
        <v>1605</v>
      </c>
      <c r="Q128" s="293" t="s">
        <v>1605</v>
      </c>
      <c r="R128" s="294">
        <f t="shared" si="2"/>
        <v>153547</v>
      </c>
      <c r="S128" s="47"/>
      <c r="T128" s="47"/>
      <c r="U128" s="47"/>
      <c r="V128" s="47"/>
      <c r="W128" s="47"/>
      <c r="X128" s="47"/>
      <c r="Y128" s="47"/>
      <c r="Z128" s="47"/>
    </row>
    <row r="129" ht="15.0" customHeight="1">
      <c r="A129" s="295">
        <f>IF(C130="","",126)</f>
        <v>126</v>
      </c>
      <c r="B129" s="117" t="str">
        <f>IF('2_Data_Pelanggan'!D129="","",'2_Data_Pelanggan'!B129)</f>
        <v>ARM-0125</v>
      </c>
      <c r="C129" s="296" t="str">
        <f>IF('2_Data_Pelanggan'!D129="","",'2_Data_Pelanggan'!D129)</f>
        <v>RAKUM RUSTOYO</v>
      </c>
      <c r="D129" s="282">
        <f>IF('2_Data_Pelanggan'!D129="","",'2_Data_Pelanggan'!M129)</f>
        <v>30</v>
      </c>
      <c r="E129" s="292">
        <f>IF('2_Data_Pelanggan'!D129="","",'2_Data_Pelanggan'!N129)</f>
        <v>142000</v>
      </c>
      <c r="F129" s="297" t="s">
        <v>1605</v>
      </c>
      <c r="G129" s="297" t="s">
        <v>1605</v>
      </c>
      <c r="H129" s="297" t="s">
        <v>1605</v>
      </c>
      <c r="I129" s="297" t="s">
        <v>1605</v>
      </c>
      <c r="J129" s="297" t="s">
        <v>1605</v>
      </c>
      <c r="K129" s="300">
        <v>38333.0</v>
      </c>
      <c r="L129" s="300">
        <v>115214.0</v>
      </c>
      <c r="M129" s="297" t="s">
        <v>1605</v>
      </c>
      <c r="N129" s="297" t="s">
        <v>1605</v>
      </c>
      <c r="O129" s="297" t="s">
        <v>1605</v>
      </c>
      <c r="P129" s="297" t="s">
        <v>1605</v>
      </c>
      <c r="Q129" s="297" t="s">
        <v>1605</v>
      </c>
      <c r="R129" s="298">
        <f t="shared" si="2"/>
        <v>47333</v>
      </c>
      <c r="S129" s="47"/>
      <c r="T129" s="47"/>
      <c r="U129" s="47"/>
      <c r="V129" s="47"/>
      <c r="W129" s="47"/>
      <c r="X129" s="47"/>
      <c r="Y129" s="47"/>
      <c r="Z129" s="47"/>
    </row>
    <row r="130" ht="15.0" customHeight="1">
      <c r="A130" s="290">
        <f>IF(C131="","",127)</f>
        <v>127</v>
      </c>
      <c r="B130" s="122" t="str">
        <f>IF('2_Data_Pelanggan'!D130="","",'2_Data_Pelanggan'!B130)</f>
        <v>ARM-0126</v>
      </c>
      <c r="C130" s="291" t="str">
        <f>IF('2_Data_Pelanggan'!D130="","",'2_Data_Pelanggan'!D130)</f>
        <v>KISWADI</v>
      </c>
      <c r="D130" s="279">
        <f>IF('2_Data_Pelanggan'!D130="","",'2_Data_Pelanggan'!M130)</f>
        <v>20</v>
      </c>
      <c r="E130" s="292">
        <f>IF('2_Data_Pelanggan'!D130="","",'2_Data_Pelanggan'!N130)</f>
        <v>115000</v>
      </c>
      <c r="F130" s="293" t="s">
        <v>1605</v>
      </c>
      <c r="G130" s="293" t="s">
        <v>1605</v>
      </c>
      <c r="H130" s="293" t="s">
        <v>1605</v>
      </c>
      <c r="I130" s="293" t="s">
        <v>1605</v>
      </c>
      <c r="J130" s="293" t="s">
        <v>1605</v>
      </c>
      <c r="K130" s="299">
        <v>47333.0</v>
      </c>
      <c r="L130" s="293" t="s">
        <v>1605</v>
      </c>
      <c r="M130" s="293" t="s">
        <v>1605</v>
      </c>
      <c r="N130" s="293" t="s">
        <v>1605</v>
      </c>
      <c r="O130" s="293" t="s">
        <v>1605</v>
      </c>
      <c r="P130" s="293" t="s">
        <v>1605</v>
      </c>
      <c r="Q130" s="293" t="s">
        <v>1605</v>
      </c>
      <c r="R130" s="294">
        <f t="shared" si="2"/>
        <v>153715</v>
      </c>
      <c r="S130" s="47"/>
      <c r="T130" s="47"/>
      <c r="U130" s="47"/>
      <c r="V130" s="47"/>
      <c r="W130" s="47"/>
      <c r="X130" s="47"/>
      <c r="Y130" s="47"/>
      <c r="Z130" s="47"/>
    </row>
    <row r="131" ht="15.0" customHeight="1">
      <c r="A131" s="295">
        <f>IF(C132="","",128)</f>
        <v>128</v>
      </c>
      <c r="B131" s="117" t="str">
        <f>IF('2_Data_Pelanggan'!D131="","",'2_Data_Pelanggan'!B131)</f>
        <v>ARM-0127</v>
      </c>
      <c r="C131" s="296" t="str">
        <f>IF('2_Data_Pelanggan'!D131="","",'2_Data_Pelanggan'!D131)</f>
        <v>ADZAM ARIEL TIMBULENG</v>
      </c>
      <c r="D131" s="282">
        <f>IF('2_Data_Pelanggan'!D131="","",'2_Data_Pelanggan'!M131)</f>
        <v>20</v>
      </c>
      <c r="E131" s="292">
        <f>IF('2_Data_Pelanggan'!D131="","",'2_Data_Pelanggan'!N131)</f>
        <v>115000</v>
      </c>
      <c r="F131" s="297" t="s">
        <v>1605</v>
      </c>
      <c r="G131" s="297" t="s">
        <v>1605</v>
      </c>
      <c r="H131" s="297" t="s">
        <v>1605</v>
      </c>
      <c r="I131" s="297" t="s">
        <v>1605</v>
      </c>
      <c r="J131" s="297" t="s">
        <v>1605</v>
      </c>
      <c r="K131" s="300">
        <v>38500.0</v>
      </c>
      <c r="L131" s="300">
        <v>115215.0</v>
      </c>
      <c r="M131" s="297" t="s">
        <v>1605</v>
      </c>
      <c r="N131" s="297" t="s">
        <v>1605</v>
      </c>
      <c r="O131" s="297" t="s">
        <v>1605</v>
      </c>
      <c r="P131" s="297" t="s">
        <v>1605</v>
      </c>
      <c r="Q131" s="297" t="s">
        <v>1605</v>
      </c>
      <c r="R131" s="298">
        <f t="shared" si="2"/>
        <v>161216</v>
      </c>
      <c r="S131" s="47"/>
      <c r="T131" s="47"/>
      <c r="U131" s="47"/>
      <c r="V131" s="47"/>
      <c r="W131" s="47"/>
      <c r="X131" s="47"/>
      <c r="Y131" s="47"/>
      <c r="Z131" s="47"/>
    </row>
    <row r="132" ht="15.0" customHeight="1">
      <c r="A132" s="290">
        <f>IF(C133="","",129)</f>
        <v>129</v>
      </c>
      <c r="B132" s="122" t="str">
        <f>IF('2_Data_Pelanggan'!D132="","",'2_Data_Pelanggan'!B132)</f>
        <v>ARM-0128</v>
      </c>
      <c r="C132" s="291" t="str">
        <f>IF('2_Data_Pelanggan'!D132="","",'2_Data_Pelanggan'!D132)</f>
        <v>NURIANTI</v>
      </c>
      <c r="D132" s="279">
        <f>IF('2_Data_Pelanggan'!D132="","",'2_Data_Pelanggan'!M132)</f>
        <v>30</v>
      </c>
      <c r="E132" s="292">
        <f>IF('2_Data_Pelanggan'!D132="","",'2_Data_Pelanggan'!N132)</f>
        <v>142000</v>
      </c>
      <c r="F132" s="293" t="s">
        <v>1605</v>
      </c>
      <c r="G132" s="293" t="s">
        <v>1605</v>
      </c>
      <c r="H132" s="293" t="s">
        <v>1605</v>
      </c>
      <c r="I132" s="293" t="s">
        <v>1605</v>
      </c>
      <c r="J132" s="293" t="s">
        <v>1605</v>
      </c>
      <c r="K132" s="299">
        <v>46000.0</v>
      </c>
      <c r="L132" s="299">
        <v>115216.0</v>
      </c>
      <c r="M132" s="293" t="s">
        <v>1605</v>
      </c>
      <c r="N132" s="293" t="s">
        <v>1605</v>
      </c>
      <c r="O132" s="293" t="s">
        <v>1605</v>
      </c>
      <c r="P132" s="293" t="s">
        <v>1605</v>
      </c>
      <c r="Q132" s="293" t="s">
        <v>1605</v>
      </c>
      <c r="R132" s="294">
        <f t="shared" si="2"/>
        <v>167283</v>
      </c>
      <c r="S132" s="47"/>
      <c r="T132" s="47"/>
      <c r="U132" s="47"/>
      <c r="V132" s="47"/>
      <c r="W132" s="47"/>
      <c r="X132" s="47"/>
      <c r="Y132" s="47"/>
      <c r="Z132" s="47"/>
    </row>
    <row r="133" ht="15.0" customHeight="1">
      <c r="A133" s="295">
        <f>IF(C134="","",130)</f>
        <v>130</v>
      </c>
      <c r="B133" s="117" t="str">
        <f>IF('2_Data_Pelanggan'!D133="","",'2_Data_Pelanggan'!B133)</f>
        <v>ARM-0129</v>
      </c>
      <c r="C133" s="296" t="str">
        <f>IF('2_Data_Pelanggan'!D133="","",'2_Data_Pelanggan'!D133)</f>
        <v>SUJITO</v>
      </c>
      <c r="D133" s="282">
        <f>IF('2_Data_Pelanggan'!D133="","",'2_Data_Pelanggan'!M133)</f>
        <v>30</v>
      </c>
      <c r="E133" s="292">
        <f>IF('2_Data_Pelanggan'!D133="","",'2_Data_Pelanggan'!N133)</f>
        <v>142000</v>
      </c>
      <c r="F133" s="297" t="s">
        <v>1605</v>
      </c>
      <c r="G133" s="297" t="s">
        <v>1605</v>
      </c>
      <c r="H133" s="297" t="s">
        <v>1605</v>
      </c>
      <c r="I133" s="297" t="s">
        <v>1605</v>
      </c>
      <c r="J133" s="297" t="s">
        <v>1605</v>
      </c>
      <c r="K133" s="300">
        <v>52066.0</v>
      </c>
      <c r="L133" s="300">
        <v>115217.0</v>
      </c>
      <c r="M133" s="297" t="s">
        <v>1605</v>
      </c>
      <c r="N133" s="297" t="s">
        <v>1605</v>
      </c>
      <c r="O133" s="297" t="s">
        <v>1605</v>
      </c>
      <c r="P133" s="297" t="s">
        <v>1605</v>
      </c>
      <c r="Q133" s="297" t="s">
        <v>1605</v>
      </c>
      <c r="R133" s="298">
        <f t="shared" si="2"/>
        <v>47333</v>
      </c>
      <c r="S133" s="47"/>
      <c r="T133" s="47"/>
      <c r="U133" s="47"/>
      <c r="V133" s="47"/>
      <c r="W133" s="47"/>
      <c r="X133" s="47"/>
      <c r="Y133" s="47"/>
      <c r="Z133" s="47"/>
    </row>
    <row r="134" ht="15.0" customHeight="1">
      <c r="A134" s="290">
        <f>IF(C135="","",131)</f>
        <v>131</v>
      </c>
      <c r="B134" s="122" t="str">
        <f>IF('2_Data_Pelanggan'!D134="","",'2_Data_Pelanggan'!B134)</f>
        <v>ARM-0130</v>
      </c>
      <c r="C134" s="291" t="str">
        <f>IF('2_Data_Pelanggan'!D134="","",'2_Data_Pelanggan'!D134)</f>
        <v>DEDI SISWOYO</v>
      </c>
      <c r="D134" s="279">
        <f>IF('2_Data_Pelanggan'!D134="","",'2_Data_Pelanggan'!M134)</f>
        <v>20</v>
      </c>
      <c r="E134" s="292">
        <f>IF('2_Data_Pelanggan'!D134="","",'2_Data_Pelanggan'!N134)</f>
        <v>115000</v>
      </c>
      <c r="F134" s="293" t="s">
        <v>1605</v>
      </c>
      <c r="G134" s="293" t="s">
        <v>1605</v>
      </c>
      <c r="H134" s="293" t="s">
        <v>1605</v>
      </c>
      <c r="I134" s="293" t="s">
        <v>1605</v>
      </c>
      <c r="J134" s="293" t="s">
        <v>1605</v>
      </c>
      <c r="K134" s="299">
        <v>47333.0</v>
      </c>
      <c r="L134" s="293" t="s">
        <v>1605</v>
      </c>
      <c r="M134" s="293" t="s">
        <v>1605</v>
      </c>
      <c r="N134" s="293" t="s">
        <v>1605</v>
      </c>
      <c r="O134" s="293" t="s">
        <v>1605</v>
      </c>
      <c r="P134" s="293" t="s">
        <v>1605</v>
      </c>
      <c r="Q134" s="293" t="s">
        <v>1605</v>
      </c>
      <c r="R134" s="294">
        <f t="shared" si="2"/>
        <v>153218</v>
      </c>
      <c r="S134" s="47"/>
      <c r="T134" s="47"/>
      <c r="U134" s="47"/>
      <c r="V134" s="47"/>
      <c r="W134" s="47"/>
      <c r="X134" s="47"/>
      <c r="Y134" s="47"/>
      <c r="Z134" s="47"/>
    </row>
    <row r="135" ht="15.0" customHeight="1">
      <c r="A135" s="295">
        <f>IF(C136="","",132)</f>
        <v>132</v>
      </c>
      <c r="B135" s="117" t="str">
        <f>IF('2_Data_Pelanggan'!D135="","",'2_Data_Pelanggan'!B135)</f>
        <v>ARM-0131</v>
      </c>
      <c r="C135" s="296" t="str">
        <f>IF('2_Data_Pelanggan'!D135="","",'2_Data_Pelanggan'!D135)</f>
        <v>WINDA EKA SARI</v>
      </c>
      <c r="D135" s="282">
        <f>IF('2_Data_Pelanggan'!D135="","",'2_Data_Pelanggan'!M135)</f>
        <v>20</v>
      </c>
      <c r="E135" s="292">
        <f>IF('2_Data_Pelanggan'!D135="","",'2_Data_Pelanggan'!N135)</f>
        <v>115000</v>
      </c>
      <c r="F135" s="297" t="s">
        <v>1605</v>
      </c>
      <c r="G135" s="297" t="s">
        <v>1605</v>
      </c>
      <c r="H135" s="297" t="s">
        <v>1605</v>
      </c>
      <c r="I135" s="297" t="s">
        <v>1605</v>
      </c>
      <c r="J135" s="297" t="s">
        <v>1605</v>
      </c>
      <c r="K135" s="300">
        <v>38000.0</v>
      </c>
      <c r="L135" s="300">
        <v>115218.0</v>
      </c>
      <c r="M135" s="297" t="s">
        <v>1605</v>
      </c>
      <c r="N135" s="297" t="s">
        <v>1605</v>
      </c>
      <c r="O135" s="297" t="s">
        <v>1605</v>
      </c>
      <c r="P135" s="297" t="s">
        <v>1605</v>
      </c>
      <c r="Q135" s="297" t="s">
        <v>1605</v>
      </c>
      <c r="R135" s="298">
        <f t="shared" si="2"/>
        <v>149719</v>
      </c>
      <c r="S135" s="47"/>
      <c r="T135" s="47"/>
      <c r="U135" s="47"/>
      <c r="V135" s="47"/>
      <c r="W135" s="47"/>
      <c r="X135" s="47"/>
      <c r="Y135" s="47"/>
      <c r="Z135" s="47"/>
    </row>
    <row r="136" ht="15.0" customHeight="1">
      <c r="A136" s="290">
        <f>IF(C137="","",133)</f>
        <v>133</v>
      </c>
      <c r="B136" s="122" t="str">
        <f>IF('2_Data_Pelanggan'!D136="","",'2_Data_Pelanggan'!B136)</f>
        <v>ARM-0132</v>
      </c>
      <c r="C136" s="291" t="str">
        <f>IF('2_Data_Pelanggan'!D136="","",'2_Data_Pelanggan'!D136)</f>
        <v>WAHYONO</v>
      </c>
      <c r="D136" s="279">
        <f>IF('2_Data_Pelanggan'!D136="","",'2_Data_Pelanggan'!M136)</f>
        <v>20</v>
      </c>
      <c r="E136" s="292">
        <f>IF('2_Data_Pelanggan'!D136="","",'2_Data_Pelanggan'!N136)</f>
        <v>115000</v>
      </c>
      <c r="F136" s="293" t="s">
        <v>1605</v>
      </c>
      <c r="G136" s="293" t="s">
        <v>1605</v>
      </c>
      <c r="H136" s="293" t="s">
        <v>1605</v>
      </c>
      <c r="I136" s="293" t="s">
        <v>1605</v>
      </c>
      <c r="J136" s="293" t="s">
        <v>1605</v>
      </c>
      <c r="K136" s="299">
        <v>34500.0</v>
      </c>
      <c r="L136" s="299">
        <v>115219.0</v>
      </c>
      <c r="M136" s="293" t="s">
        <v>1605</v>
      </c>
      <c r="N136" s="293" t="s">
        <v>1605</v>
      </c>
      <c r="O136" s="293" t="s">
        <v>1605</v>
      </c>
      <c r="P136" s="293" t="s">
        <v>1605</v>
      </c>
      <c r="Q136" s="293" t="s">
        <v>1605</v>
      </c>
      <c r="R136" s="294">
        <f t="shared" si="2"/>
        <v>145886</v>
      </c>
      <c r="S136" s="47"/>
      <c r="T136" s="47"/>
      <c r="U136" s="47"/>
      <c r="V136" s="47"/>
      <c r="W136" s="47"/>
      <c r="X136" s="47"/>
      <c r="Y136" s="47"/>
      <c r="Z136" s="47"/>
    </row>
    <row r="137" ht="15.0" customHeight="1">
      <c r="A137" s="295">
        <f>IF(C138="","",134)</f>
        <v>134</v>
      </c>
      <c r="B137" s="117" t="str">
        <f>IF('2_Data_Pelanggan'!D137="","",'2_Data_Pelanggan'!B137)</f>
        <v>ARM-0133</v>
      </c>
      <c r="C137" s="296" t="str">
        <f>IF('2_Data_Pelanggan'!D137="","",'2_Data_Pelanggan'!D137)</f>
        <v>ANDONO TRI SARI P</v>
      </c>
      <c r="D137" s="282">
        <f>IF('2_Data_Pelanggan'!D137="","",'2_Data_Pelanggan'!M137)</f>
        <v>20</v>
      </c>
      <c r="E137" s="292">
        <f>IF('2_Data_Pelanggan'!D137="","",'2_Data_Pelanggan'!N137)</f>
        <v>115000</v>
      </c>
      <c r="F137" s="297" t="s">
        <v>1605</v>
      </c>
      <c r="G137" s="297" t="s">
        <v>1605</v>
      </c>
      <c r="H137" s="297" t="s">
        <v>1605</v>
      </c>
      <c r="I137" s="297" t="s">
        <v>1605</v>
      </c>
      <c r="J137" s="297" t="s">
        <v>1605</v>
      </c>
      <c r="K137" s="300">
        <v>30666.0</v>
      </c>
      <c r="L137" s="300">
        <v>115220.0</v>
      </c>
      <c r="M137" s="297" t="s">
        <v>1605</v>
      </c>
      <c r="N137" s="297" t="s">
        <v>1605</v>
      </c>
      <c r="O137" s="297" t="s">
        <v>1605</v>
      </c>
      <c r="P137" s="297" t="s">
        <v>1605</v>
      </c>
      <c r="Q137" s="297" t="s">
        <v>1605</v>
      </c>
      <c r="R137" s="298">
        <f t="shared" si="2"/>
        <v>142054</v>
      </c>
      <c r="S137" s="47"/>
      <c r="T137" s="47"/>
      <c r="U137" s="47"/>
      <c r="V137" s="47"/>
      <c r="W137" s="47"/>
      <c r="X137" s="47"/>
      <c r="Y137" s="47"/>
      <c r="Z137" s="47"/>
    </row>
    <row r="138" ht="15.0" customHeight="1">
      <c r="A138" s="290">
        <f>IF(C139="","",135)</f>
        <v>135</v>
      </c>
      <c r="B138" s="122" t="str">
        <f>IF('2_Data_Pelanggan'!D138="","",'2_Data_Pelanggan'!B138)</f>
        <v>ARM-0134</v>
      </c>
      <c r="C138" s="291" t="str">
        <f>IF('2_Data_Pelanggan'!D138="","",'2_Data_Pelanggan'!D138)</f>
        <v>UUS AGTRYANA</v>
      </c>
      <c r="D138" s="279">
        <f>IF('2_Data_Pelanggan'!D138="","",'2_Data_Pelanggan'!M138)</f>
        <v>20</v>
      </c>
      <c r="E138" s="292">
        <f>IF('2_Data_Pelanggan'!D138="","",'2_Data_Pelanggan'!N138)</f>
        <v>115000</v>
      </c>
      <c r="F138" s="293" t="s">
        <v>1605</v>
      </c>
      <c r="G138" s="293" t="s">
        <v>1605</v>
      </c>
      <c r="H138" s="293" t="s">
        <v>1605</v>
      </c>
      <c r="I138" s="293" t="s">
        <v>1605</v>
      </c>
      <c r="J138" s="293" t="s">
        <v>1605</v>
      </c>
      <c r="K138" s="299">
        <v>26833.0</v>
      </c>
      <c r="L138" s="299">
        <v>115221.0</v>
      </c>
      <c r="M138" s="293" t="s">
        <v>1605</v>
      </c>
      <c r="N138" s="293" t="s">
        <v>1605</v>
      </c>
      <c r="O138" s="293" t="s">
        <v>1605</v>
      </c>
      <c r="P138" s="293" t="s">
        <v>1605</v>
      </c>
      <c r="Q138" s="293" t="s">
        <v>1605</v>
      </c>
      <c r="R138" s="294">
        <f t="shared" si="2"/>
        <v>138222</v>
      </c>
      <c r="S138" s="47"/>
      <c r="T138" s="47"/>
      <c r="U138" s="47"/>
      <c r="V138" s="47"/>
      <c r="W138" s="47"/>
      <c r="X138" s="47"/>
      <c r="Y138" s="47"/>
      <c r="Z138" s="47"/>
    </row>
    <row r="139" ht="15.0" customHeight="1">
      <c r="A139" s="295">
        <f>IF(C140="","",136)</f>
        <v>136</v>
      </c>
      <c r="B139" s="117" t="str">
        <f>IF('2_Data_Pelanggan'!D139="","",'2_Data_Pelanggan'!B139)</f>
        <v>ARM-0135</v>
      </c>
      <c r="C139" s="296" t="str">
        <f>IF('2_Data_Pelanggan'!D139="","",'2_Data_Pelanggan'!D139)</f>
        <v>NASIKIN</v>
      </c>
      <c r="D139" s="282">
        <f>IF('2_Data_Pelanggan'!D139="","",'2_Data_Pelanggan'!M139)</f>
        <v>20</v>
      </c>
      <c r="E139" s="292">
        <f>IF('2_Data_Pelanggan'!D139="","",'2_Data_Pelanggan'!N139)</f>
        <v>115000</v>
      </c>
      <c r="F139" s="297" t="s">
        <v>1605</v>
      </c>
      <c r="G139" s="297" t="s">
        <v>1605</v>
      </c>
      <c r="H139" s="297" t="s">
        <v>1605</v>
      </c>
      <c r="I139" s="297" t="s">
        <v>1605</v>
      </c>
      <c r="J139" s="297" t="s">
        <v>1605</v>
      </c>
      <c r="K139" s="300">
        <v>23000.0</v>
      </c>
      <c r="L139" s="300">
        <v>115222.0</v>
      </c>
      <c r="M139" s="297" t="s">
        <v>1605</v>
      </c>
      <c r="N139" s="297" t="s">
        <v>1605</v>
      </c>
      <c r="O139" s="297" t="s">
        <v>1605</v>
      </c>
      <c r="P139" s="297" t="s">
        <v>1605</v>
      </c>
      <c r="Q139" s="297" t="s">
        <v>1605</v>
      </c>
      <c r="R139" s="298">
        <f t="shared" si="2"/>
        <v>230223</v>
      </c>
      <c r="S139" s="47"/>
      <c r="T139" s="47"/>
      <c r="U139" s="47"/>
      <c r="V139" s="47"/>
      <c r="W139" s="47"/>
      <c r="X139" s="47"/>
      <c r="Y139" s="47"/>
      <c r="Z139" s="47"/>
    </row>
    <row r="140" ht="15.0" customHeight="1">
      <c r="A140" s="290">
        <f>IF(C141="","",137)</f>
        <v>137</v>
      </c>
      <c r="B140" s="122" t="str">
        <f>IF('2_Data_Pelanggan'!D140="","",'2_Data_Pelanggan'!B140)</f>
        <v>ARM-0136</v>
      </c>
      <c r="C140" s="291" t="str">
        <f>IF('2_Data_Pelanggan'!D140="","",'2_Data_Pelanggan'!D140)</f>
        <v>MUARIF</v>
      </c>
      <c r="D140" s="279">
        <f>IF('2_Data_Pelanggan'!D140="","",'2_Data_Pelanggan'!M140)</f>
        <v>30</v>
      </c>
      <c r="E140" s="292">
        <f>IF('2_Data_Pelanggan'!D140="","",'2_Data_Pelanggan'!N140)</f>
        <v>142000</v>
      </c>
      <c r="F140" s="293" t="s">
        <v>1605</v>
      </c>
      <c r="G140" s="293" t="s">
        <v>1605</v>
      </c>
      <c r="H140" s="293" t="s">
        <v>1605</v>
      </c>
      <c r="I140" s="293" t="s">
        <v>1605</v>
      </c>
      <c r="J140" s="293" t="s">
        <v>1605</v>
      </c>
      <c r="K140" s="299">
        <v>115000.0</v>
      </c>
      <c r="L140" s="299">
        <v>115223.0</v>
      </c>
      <c r="M140" s="293" t="s">
        <v>1605</v>
      </c>
      <c r="N140" s="293" t="s">
        <v>1605</v>
      </c>
      <c r="O140" s="293" t="s">
        <v>1605</v>
      </c>
      <c r="P140" s="293" t="s">
        <v>1605</v>
      </c>
      <c r="Q140" s="293" t="s">
        <v>1605</v>
      </c>
      <c r="R140" s="294">
        <f t="shared" si="2"/>
        <v>23666</v>
      </c>
      <c r="S140" s="47"/>
      <c r="T140" s="47"/>
      <c r="U140" s="47"/>
      <c r="V140" s="47"/>
      <c r="W140" s="47"/>
      <c r="X140" s="47"/>
      <c r="Y140" s="47"/>
      <c r="Z140" s="47"/>
    </row>
    <row r="141" ht="15.0" customHeight="1">
      <c r="A141" s="295">
        <f>IF(C142="","",138)</f>
        <v>138</v>
      </c>
      <c r="B141" s="117" t="str">
        <f>IF('2_Data_Pelanggan'!D141="","",'2_Data_Pelanggan'!B141)</f>
        <v>ARM-0137</v>
      </c>
      <c r="C141" s="296" t="str">
        <f>IF('2_Data_Pelanggan'!D141="","",'2_Data_Pelanggan'!D141)</f>
        <v>MUHAMAD RUSLI AF</v>
      </c>
      <c r="D141" s="282">
        <f>IF('2_Data_Pelanggan'!D141="","",'2_Data_Pelanggan'!M141)</f>
        <v>20</v>
      </c>
      <c r="E141" s="292">
        <f>IF('2_Data_Pelanggan'!D141="","",'2_Data_Pelanggan'!N141)</f>
        <v>115000</v>
      </c>
      <c r="F141" s="297" t="s">
        <v>1605</v>
      </c>
      <c r="G141" s="297" t="s">
        <v>1605</v>
      </c>
      <c r="H141" s="297" t="s">
        <v>1605</v>
      </c>
      <c r="I141" s="297" t="s">
        <v>1605</v>
      </c>
      <c r="J141" s="297" t="s">
        <v>1605</v>
      </c>
      <c r="K141" s="300">
        <v>23666.0</v>
      </c>
      <c r="L141" s="297" t="s">
        <v>1605</v>
      </c>
      <c r="M141" s="297" t="s">
        <v>1605</v>
      </c>
      <c r="N141" s="297" t="s">
        <v>1605</v>
      </c>
      <c r="O141" s="297" t="s">
        <v>1605</v>
      </c>
      <c r="P141" s="297" t="s">
        <v>1605</v>
      </c>
      <c r="Q141" s="297" t="s">
        <v>1605</v>
      </c>
      <c r="R141" s="298">
        <f t="shared" si="2"/>
        <v>0</v>
      </c>
      <c r="S141" s="47"/>
      <c r="T141" s="47"/>
      <c r="U141" s="47"/>
      <c r="V141" s="47"/>
      <c r="W141" s="47"/>
      <c r="X141" s="47"/>
      <c r="Y141" s="47"/>
      <c r="Z141" s="47"/>
    </row>
    <row r="142" ht="15.0" customHeight="1">
      <c r="A142" s="290">
        <f>IF(C143="","",139)</f>
        <v>139</v>
      </c>
      <c r="B142" s="122" t="str">
        <f>IF('2_Data_Pelanggan'!D142="","",'2_Data_Pelanggan'!B142)</f>
        <v>ARM-0138</v>
      </c>
      <c r="C142" s="291" t="str">
        <f>IF('2_Data_Pelanggan'!D142="","",'2_Data_Pelanggan'!D142)</f>
        <v>WARLAN</v>
      </c>
      <c r="D142" s="279">
        <f>IF('2_Data_Pelanggan'!D142="","",'2_Data_Pelanggan'!M142)</f>
        <v>20</v>
      </c>
      <c r="E142" s="292">
        <f>IF('2_Data_Pelanggan'!D142="","",'2_Data_Pelanggan'!N142)</f>
        <v>115000</v>
      </c>
      <c r="F142" s="293" t="s">
        <v>1605</v>
      </c>
      <c r="G142" s="293" t="s">
        <v>1605</v>
      </c>
      <c r="H142" s="293" t="s">
        <v>1605</v>
      </c>
      <c r="I142" s="293" t="s">
        <v>1605</v>
      </c>
      <c r="J142" s="293" t="s">
        <v>1605</v>
      </c>
      <c r="K142" s="293" t="s">
        <v>1605</v>
      </c>
      <c r="L142" s="293" t="s">
        <v>1605</v>
      </c>
      <c r="M142" s="293" t="s">
        <v>1605</v>
      </c>
      <c r="N142" s="293" t="s">
        <v>1605</v>
      </c>
      <c r="O142" s="293" t="s">
        <v>1605</v>
      </c>
      <c r="P142" s="293" t="s">
        <v>1605</v>
      </c>
      <c r="Q142" s="293" t="s">
        <v>1605</v>
      </c>
      <c r="R142" s="294">
        <f t="shared" si="2"/>
        <v>0</v>
      </c>
      <c r="S142" s="47"/>
      <c r="T142" s="47"/>
      <c r="U142" s="47"/>
      <c r="V142" s="47"/>
      <c r="W142" s="47"/>
      <c r="X142" s="47"/>
      <c r="Y142" s="47"/>
      <c r="Z142" s="47"/>
    </row>
    <row r="143" ht="15.0" customHeight="1">
      <c r="A143" s="295">
        <f>IF(C144="","",140)</f>
        <v>140</v>
      </c>
      <c r="B143" s="117" t="str">
        <f>IF('2_Data_Pelanggan'!D143="","",'2_Data_Pelanggan'!B143)</f>
        <v>ARM-0139</v>
      </c>
      <c r="C143" s="296" t="str">
        <f>IF('2_Data_Pelanggan'!D143="","",'2_Data_Pelanggan'!D143)</f>
        <v>EDI PRAMONO</v>
      </c>
      <c r="D143" s="282">
        <f>IF('2_Data_Pelanggan'!D143="","",'2_Data_Pelanggan'!M143)</f>
        <v>30</v>
      </c>
      <c r="E143" s="292">
        <f>IF('2_Data_Pelanggan'!D143="","",'2_Data_Pelanggan'!N143)</f>
        <v>142000</v>
      </c>
      <c r="F143" s="297" t="s">
        <v>1605</v>
      </c>
      <c r="G143" s="297" t="s">
        <v>1605</v>
      </c>
      <c r="H143" s="297" t="s">
        <v>1605</v>
      </c>
      <c r="I143" s="297" t="s">
        <v>1605</v>
      </c>
      <c r="J143" s="297" t="s">
        <v>1605</v>
      </c>
      <c r="K143" s="297" t="s">
        <v>1605</v>
      </c>
      <c r="L143" s="297" t="s">
        <v>1605</v>
      </c>
      <c r="M143" s="297" t="s">
        <v>1605</v>
      </c>
      <c r="N143" s="297" t="s">
        <v>1605</v>
      </c>
      <c r="O143" s="297" t="s">
        <v>1605</v>
      </c>
      <c r="P143" s="297" t="s">
        <v>1605</v>
      </c>
      <c r="Q143" s="297" t="s">
        <v>1605</v>
      </c>
      <c r="R143" s="298">
        <f t="shared" si="2"/>
        <v>0</v>
      </c>
      <c r="S143" s="47"/>
      <c r="T143" s="47"/>
      <c r="U143" s="47"/>
      <c r="V143" s="47"/>
      <c r="W143" s="47"/>
      <c r="X143" s="47"/>
      <c r="Y143" s="47"/>
      <c r="Z143" s="47"/>
    </row>
    <row r="144" ht="15.0" customHeight="1">
      <c r="A144" s="290">
        <f>IF(C145="","",141)</f>
        <v>141</v>
      </c>
      <c r="B144" s="122" t="str">
        <f>IF('2_Data_Pelanggan'!D144="","",'2_Data_Pelanggan'!B144)</f>
        <v>ARM-0140</v>
      </c>
      <c r="C144" s="291" t="str">
        <f>IF('2_Data_Pelanggan'!D144="","",'2_Data_Pelanggan'!D144)</f>
        <v>DWI HANTORO</v>
      </c>
      <c r="D144" s="279">
        <f>IF('2_Data_Pelanggan'!D144="","",'2_Data_Pelanggan'!M144)</f>
        <v>30</v>
      </c>
      <c r="E144" s="292">
        <f>IF('2_Data_Pelanggan'!D144="","",'2_Data_Pelanggan'!N144)</f>
        <v>142000</v>
      </c>
      <c r="F144" s="293" t="s">
        <v>1605</v>
      </c>
      <c r="G144" s="293" t="s">
        <v>1605</v>
      </c>
      <c r="H144" s="293" t="s">
        <v>1605</v>
      </c>
      <c r="I144" s="293" t="s">
        <v>1605</v>
      </c>
      <c r="J144" s="293" t="s">
        <v>1605</v>
      </c>
      <c r="K144" s="293" t="s">
        <v>1605</v>
      </c>
      <c r="L144" s="293" t="s">
        <v>1605</v>
      </c>
      <c r="M144" s="293" t="s">
        <v>1605</v>
      </c>
      <c r="N144" s="293" t="s">
        <v>1605</v>
      </c>
      <c r="O144" s="293" t="s">
        <v>1605</v>
      </c>
      <c r="P144" s="293" t="s">
        <v>1605</v>
      </c>
      <c r="Q144" s="293" t="s">
        <v>1605</v>
      </c>
      <c r="R144" s="294">
        <f t="shared" si="2"/>
        <v>0</v>
      </c>
      <c r="S144" s="47"/>
      <c r="T144" s="47"/>
      <c r="U144" s="47"/>
      <c r="V144" s="47"/>
      <c r="W144" s="47"/>
      <c r="X144" s="47"/>
      <c r="Y144" s="47"/>
      <c r="Z144" s="47"/>
    </row>
    <row r="145" ht="15.0" customHeight="1">
      <c r="A145" s="295">
        <f>IF(C146="","",142)</f>
        <v>142</v>
      </c>
      <c r="B145" s="117" t="str">
        <f>IF('2_Data_Pelanggan'!D145="","",'2_Data_Pelanggan'!B145)</f>
        <v>ARM-0141</v>
      </c>
      <c r="C145" s="296" t="str">
        <f>IF('2_Data_Pelanggan'!D145="","",'2_Data_Pelanggan'!D145)</f>
        <v>ATIK PURWANTI </v>
      </c>
      <c r="D145" s="282">
        <f>IF('2_Data_Pelanggan'!D145="","",'2_Data_Pelanggan'!M145)</f>
        <v>20</v>
      </c>
      <c r="E145" s="292">
        <f>IF('2_Data_Pelanggan'!D145="","",'2_Data_Pelanggan'!N145)</f>
        <v>115000</v>
      </c>
      <c r="F145" s="297" t="s">
        <v>1605</v>
      </c>
      <c r="G145" s="297" t="s">
        <v>1605</v>
      </c>
      <c r="H145" s="297" t="s">
        <v>1605</v>
      </c>
      <c r="I145" s="297" t="s">
        <v>1605</v>
      </c>
      <c r="J145" s="297" t="s">
        <v>1605</v>
      </c>
      <c r="K145" s="297" t="s">
        <v>1605</v>
      </c>
      <c r="L145" s="297" t="s">
        <v>1605</v>
      </c>
      <c r="M145" s="297" t="s">
        <v>1605</v>
      </c>
      <c r="N145" s="297" t="s">
        <v>1605</v>
      </c>
      <c r="O145" s="297" t="s">
        <v>1605</v>
      </c>
      <c r="P145" s="297" t="s">
        <v>1605</v>
      </c>
      <c r="Q145" s="297" t="s">
        <v>1605</v>
      </c>
      <c r="R145" s="298">
        <f t="shared" si="2"/>
        <v>0</v>
      </c>
      <c r="S145" s="47"/>
      <c r="T145" s="47"/>
      <c r="U145" s="47"/>
      <c r="V145" s="47"/>
      <c r="W145" s="47"/>
      <c r="X145" s="47"/>
      <c r="Y145" s="47"/>
      <c r="Z145" s="47"/>
    </row>
    <row r="146" ht="15.0" customHeight="1">
      <c r="A146" s="290">
        <f>IF(C147="","",143)</f>
        <v>143</v>
      </c>
      <c r="B146" s="122" t="str">
        <f>IF('2_Data_Pelanggan'!D146="","",'2_Data_Pelanggan'!B146)</f>
        <v>ARM-0142</v>
      </c>
      <c r="C146" s="291" t="str">
        <f>IF('2_Data_Pelanggan'!D146="","",'2_Data_Pelanggan'!D146)</f>
        <v>WINA PUTRI MEILIANI</v>
      </c>
      <c r="D146" s="279">
        <f>IF('2_Data_Pelanggan'!D146="","",'2_Data_Pelanggan'!M146)</f>
        <v>20</v>
      </c>
      <c r="E146" s="292">
        <f>IF('2_Data_Pelanggan'!D146="","",'2_Data_Pelanggan'!N146)</f>
        <v>115000</v>
      </c>
      <c r="F146" s="293" t="s">
        <v>1605</v>
      </c>
      <c r="G146" s="293" t="s">
        <v>1605</v>
      </c>
      <c r="H146" s="293" t="s">
        <v>1605</v>
      </c>
      <c r="I146" s="293" t="s">
        <v>1605</v>
      </c>
      <c r="J146" s="293" t="s">
        <v>1605</v>
      </c>
      <c r="K146" s="293" t="s">
        <v>1605</v>
      </c>
      <c r="L146" s="293" t="s">
        <v>1605</v>
      </c>
      <c r="M146" s="293" t="s">
        <v>1605</v>
      </c>
      <c r="N146" s="293" t="s">
        <v>1605</v>
      </c>
      <c r="O146" s="293" t="s">
        <v>1605</v>
      </c>
      <c r="P146" s="293" t="s">
        <v>1605</v>
      </c>
      <c r="Q146" s="293" t="s">
        <v>1605</v>
      </c>
      <c r="R146" s="294">
        <f t="shared" si="2"/>
        <v>0</v>
      </c>
      <c r="S146" s="47"/>
      <c r="T146" s="47"/>
      <c r="U146" s="47"/>
      <c r="V146" s="47"/>
      <c r="W146" s="47"/>
      <c r="X146" s="47"/>
      <c r="Y146" s="47"/>
      <c r="Z146" s="47"/>
    </row>
    <row r="147" ht="15.0" customHeight="1">
      <c r="A147" s="295">
        <f>IF(C148="","",144)</f>
        <v>144</v>
      </c>
      <c r="B147" s="117" t="str">
        <f>IF('2_Data_Pelanggan'!D147="","",'2_Data_Pelanggan'!B147)</f>
        <v>ARM-0143</v>
      </c>
      <c r="C147" s="296" t="str">
        <f>IF('2_Data_Pelanggan'!D147="","",'2_Data_Pelanggan'!D147)</f>
        <v>ROBY AGUS PRIYANTO </v>
      </c>
      <c r="D147" s="282">
        <f>IF('2_Data_Pelanggan'!D147="","",'2_Data_Pelanggan'!M147)</f>
        <v>20</v>
      </c>
      <c r="E147" s="292">
        <f>IF('2_Data_Pelanggan'!D147="","",'2_Data_Pelanggan'!N147)</f>
        <v>115000</v>
      </c>
      <c r="F147" s="297" t="s">
        <v>1605</v>
      </c>
      <c r="G147" s="297" t="s">
        <v>1605</v>
      </c>
      <c r="H147" s="297" t="s">
        <v>1605</v>
      </c>
      <c r="I147" s="297" t="s">
        <v>1605</v>
      </c>
      <c r="J147" s="297" t="s">
        <v>1605</v>
      </c>
      <c r="K147" s="297" t="s">
        <v>1605</v>
      </c>
      <c r="L147" s="297" t="s">
        <v>1605</v>
      </c>
      <c r="M147" s="297" t="s">
        <v>1605</v>
      </c>
      <c r="N147" s="297" t="s">
        <v>1605</v>
      </c>
      <c r="O147" s="297" t="s">
        <v>1605</v>
      </c>
      <c r="P147" s="297" t="s">
        <v>1605</v>
      </c>
      <c r="Q147" s="297" t="s">
        <v>1605</v>
      </c>
      <c r="R147" s="298">
        <f t="shared" si="2"/>
        <v>0</v>
      </c>
      <c r="S147" s="47"/>
      <c r="T147" s="47"/>
      <c r="U147" s="47"/>
      <c r="V147" s="47"/>
      <c r="W147" s="47"/>
      <c r="X147" s="47"/>
      <c r="Y147" s="47"/>
      <c r="Z147" s="47"/>
    </row>
    <row r="148" ht="15.0" customHeight="1">
      <c r="A148" s="290">
        <f>IF(C149="","",145)</f>
        <v>145</v>
      </c>
      <c r="B148" s="122" t="str">
        <f>IF('2_Data_Pelanggan'!D148="","",'2_Data_Pelanggan'!B148)</f>
        <v>ARM-0144</v>
      </c>
      <c r="C148" s="291" t="str">
        <f>IF('2_Data_Pelanggan'!D148="","",'2_Data_Pelanggan'!D148)</f>
        <v>RAWEN</v>
      </c>
      <c r="D148" s="279">
        <f>IF('2_Data_Pelanggan'!D148="","",'2_Data_Pelanggan'!M148)</f>
        <v>20</v>
      </c>
      <c r="E148" s="292">
        <f>IF('2_Data_Pelanggan'!D148="","",'2_Data_Pelanggan'!N148)</f>
        <v>115000</v>
      </c>
      <c r="F148" s="293" t="s">
        <v>1605</v>
      </c>
      <c r="G148" s="293" t="s">
        <v>1605</v>
      </c>
      <c r="H148" s="293" t="s">
        <v>1605</v>
      </c>
      <c r="I148" s="293" t="s">
        <v>1605</v>
      </c>
      <c r="J148" s="293" t="s">
        <v>1605</v>
      </c>
      <c r="K148" s="293" t="s">
        <v>1605</v>
      </c>
      <c r="L148" s="293" t="s">
        <v>1605</v>
      </c>
      <c r="M148" s="293" t="s">
        <v>1605</v>
      </c>
      <c r="N148" s="293" t="s">
        <v>1605</v>
      </c>
      <c r="O148" s="293" t="s">
        <v>1605</v>
      </c>
      <c r="P148" s="293" t="s">
        <v>1605</v>
      </c>
      <c r="Q148" s="293" t="s">
        <v>1605</v>
      </c>
      <c r="R148" s="294">
        <f t="shared" si="2"/>
        <v>0</v>
      </c>
      <c r="S148" s="47"/>
      <c r="T148" s="47"/>
      <c r="U148" s="47"/>
      <c r="V148" s="47"/>
      <c r="W148" s="47"/>
      <c r="X148" s="47"/>
      <c r="Y148" s="47"/>
      <c r="Z148" s="47"/>
    </row>
    <row r="149" ht="15.0" customHeight="1">
      <c r="A149" s="295">
        <f>IF(C150="","",146)</f>
        <v>146</v>
      </c>
      <c r="B149" s="117" t="str">
        <f>IF('2_Data_Pelanggan'!D149="","",'2_Data_Pelanggan'!B149)</f>
        <v>ARM-0145</v>
      </c>
      <c r="C149" s="296" t="str">
        <f>IF('2_Data_Pelanggan'!D149="","",'2_Data_Pelanggan'!D149)</f>
        <v>TARWONO</v>
      </c>
      <c r="D149" s="282">
        <f>IF('2_Data_Pelanggan'!D149="","",'2_Data_Pelanggan'!M149)</f>
        <v>20</v>
      </c>
      <c r="E149" s="292">
        <f>IF('2_Data_Pelanggan'!D149="","",'2_Data_Pelanggan'!N149)</f>
        <v>115000</v>
      </c>
      <c r="F149" s="297" t="s">
        <v>1605</v>
      </c>
      <c r="G149" s="297" t="s">
        <v>1605</v>
      </c>
      <c r="H149" s="297" t="s">
        <v>1605</v>
      </c>
      <c r="I149" s="297" t="s">
        <v>1605</v>
      </c>
      <c r="J149" s="297" t="s">
        <v>1605</v>
      </c>
      <c r="K149" s="297" t="s">
        <v>1605</v>
      </c>
      <c r="L149" s="297" t="s">
        <v>1605</v>
      </c>
      <c r="M149" s="297" t="s">
        <v>1605</v>
      </c>
      <c r="N149" s="297" t="s">
        <v>1605</v>
      </c>
      <c r="O149" s="297" t="s">
        <v>1605</v>
      </c>
      <c r="P149" s="297" t="s">
        <v>1605</v>
      </c>
      <c r="Q149" s="297" t="s">
        <v>1605</v>
      </c>
      <c r="R149" s="298">
        <f t="shared" si="2"/>
        <v>0</v>
      </c>
      <c r="S149" s="47"/>
      <c r="T149" s="47"/>
      <c r="U149" s="47"/>
      <c r="V149" s="47"/>
      <c r="W149" s="47"/>
      <c r="X149" s="47"/>
      <c r="Y149" s="47"/>
      <c r="Z149" s="47"/>
    </row>
    <row r="150" ht="15.0" customHeight="1">
      <c r="A150" s="290">
        <f>IF(C151="","",147)</f>
        <v>147</v>
      </c>
      <c r="B150" s="122" t="str">
        <f>IF('2_Data_Pelanggan'!D150="","",'2_Data_Pelanggan'!B150)</f>
        <v>ARM-0146</v>
      </c>
      <c r="C150" s="291" t="str">
        <f>IF('2_Data_Pelanggan'!D150="","",'2_Data_Pelanggan'!D150)</f>
        <v>RICKY CANDRA PURNAMA</v>
      </c>
      <c r="D150" s="279">
        <f>IF('2_Data_Pelanggan'!D150="","",'2_Data_Pelanggan'!M150)</f>
        <v>20</v>
      </c>
      <c r="E150" s="292">
        <f>IF('2_Data_Pelanggan'!D150="","",'2_Data_Pelanggan'!N150)</f>
        <v>115000</v>
      </c>
      <c r="F150" s="293" t="s">
        <v>1605</v>
      </c>
      <c r="G150" s="293" t="s">
        <v>1605</v>
      </c>
      <c r="H150" s="293" t="s">
        <v>1605</v>
      </c>
      <c r="I150" s="293" t="s">
        <v>1605</v>
      </c>
      <c r="J150" s="293" t="s">
        <v>1605</v>
      </c>
      <c r="K150" s="293" t="s">
        <v>1605</v>
      </c>
      <c r="L150" s="293" t="s">
        <v>1605</v>
      </c>
      <c r="M150" s="293" t="s">
        <v>1605</v>
      </c>
      <c r="N150" s="293" t="s">
        <v>1605</v>
      </c>
      <c r="O150" s="293" t="s">
        <v>1605</v>
      </c>
      <c r="P150" s="293" t="s">
        <v>1605</v>
      </c>
      <c r="Q150" s="293" t="s">
        <v>1605</v>
      </c>
      <c r="R150" s="294">
        <f t="shared" si="2"/>
        <v>0</v>
      </c>
      <c r="S150" s="47"/>
      <c r="T150" s="47"/>
      <c r="U150" s="47"/>
      <c r="V150" s="47"/>
      <c r="W150" s="47"/>
      <c r="X150" s="47"/>
      <c r="Y150" s="47"/>
      <c r="Z150" s="47"/>
    </row>
    <row r="151" ht="15.0" customHeight="1">
      <c r="A151" s="295">
        <f>IF(C152="","",148)</f>
        <v>148</v>
      </c>
      <c r="B151" s="117" t="str">
        <f>IF('2_Data_Pelanggan'!D151="","",'2_Data_Pelanggan'!B151)</f>
        <v>ARM-0147</v>
      </c>
      <c r="C151" s="296" t="str">
        <f>IF('2_Data_Pelanggan'!D151="","",'2_Data_Pelanggan'!D151)</f>
        <v>TARWONO</v>
      </c>
      <c r="D151" s="282">
        <f>IF('2_Data_Pelanggan'!D151="","",'2_Data_Pelanggan'!M151)</f>
        <v>20</v>
      </c>
      <c r="E151" s="292">
        <f>IF('2_Data_Pelanggan'!D151="","",'2_Data_Pelanggan'!N151)</f>
        <v>115000</v>
      </c>
      <c r="F151" s="297" t="s">
        <v>1605</v>
      </c>
      <c r="G151" s="297" t="s">
        <v>1605</v>
      </c>
      <c r="H151" s="297" t="s">
        <v>1605</v>
      </c>
      <c r="I151" s="297" t="s">
        <v>1605</v>
      </c>
      <c r="J151" s="297" t="s">
        <v>1605</v>
      </c>
      <c r="K151" s="297" t="s">
        <v>1605</v>
      </c>
      <c r="L151" s="297" t="s">
        <v>1605</v>
      </c>
      <c r="M151" s="297" t="s">
        <v>1605</v>
      </c>
      <c r="N151" s="297" t="s">
        <v>1605</v>
      </c>
      <c r="O151" s="297" t="s">
        <v>1605</v>
      </c>
      <c r="P151" s="297" t="s">
        <v>1605</v>
      </c>
      <c r="Q151" s="297" t="s">
        <v>1605</v>
      </c>
      <c r="R151" s="298">
        <f t="shared" si="2"/>
        <v>0</v>
      </c>
      <c r="S151" s="47"/>
      <c r="T151" s="47"/>
      <c r="U151" s="47"/>
      <c r="V151" s="47"/>
      <c r="W151" s="47"/>
      <c r="X151" s="47"/>
      <c r="Y151" s="47"/>
      <c r="Z151" s="47"/>
    </row>
    <row r="152" ht="15.0" customHeight="1">
      <c r="A152" s="290">
        <f>IF(C153="","",149)</f>
        <v>149</v>
      </c>
      <c r="B152" s="122" t="str">
        <f>IF('2_Data_Pelanggan'!D152="","",'2_Data_Pelanggan'!B152)</f>
        <v>ARM-0148</v>
      </c>
      <c r="C152" s="291" t="str">
        <f>IF('2_Data_Pelanggan'!D152="","",'2_Data_Pelanggan'!D152)</f>
        <v>SAINO</v>
      </c>
      <c r="D152" s="279">
        <f>IF('2_Data_Pelanggan'!D152="","",'2_Data_Pelanggan'!M152)</f>
        <v>20</v>
      </c>
      <c r="E152" s="292">
        <f>IF('2_Data_Pelanggan'!D152="","",'2_Data_Pelanggan'!N152)</f>
        <v>115000</v>
      </c>
      <c r="F152" s="293" t="s">
        <v>1605</v>
      </c>
      <c r="G152" s="293" t="s">
        <v>1605</v>
      </c>
      <c r="H152" s="293" t="s">
        <v>1605</v>
      </c>
      <c r="I152" s="293" t="s">
        <v>1605</v>
      </c>
      <c r="J152" s="293" t="s">
        <v>1605</v>
      </c>
      <c r="K152" s="293" t="s">
        <v>1605</v>
      </c>
      <c r="L152" s="293" t="s">
        <v>1605</v>
      </c>
      <c r="M152" s="293" t="s">
        <v>1605</v>
      </c>
      <c r="N152" s="293" t="s">
        <v>1605</v>
      </c>
      <c r="O152" s="293" t="s">
        <v>1605</v>
      </c>
      <c r="P152" s="293" t="s">
        <v>1605</v>
      </c>
      <c r="Q152" s="293" t="s">
        <v>1605</v>
      </c>
      <c r="R152" s="294">
        <f t="shared" si="2"/>
        <v>0</v>
      </c>
      <c r="S152" s="47"/>
      <c r="T152" s="47"/>
      <c r="U152" s="47"/>
      <c r="V152" s="47"/>
      <c r="W152" s="47"/>
      <c r="X152" s="47"/>
      <c r="Y152" s="47"/>
      <c r="Z152" s="47"/>
    </row>
    <row r="153" ht="15.0" customHeight="1">
      <c r="A153" s="295">
        <f>IF(C154="","",150)</f>
        <v>150</v>
      </c>
      <c r="B153" s="117" t="str">
        <f>IF('2_Data_Pelanggan'!D153="","",'2_Data_Pelanggan'!B153)</f>
        <v>ARM-0149</v>
      </c>
      <c r="C153" s="296" t="str">
        <f>IF('2_Data_Pelanggan'!D153="","",'2_Data_Pelanggan'!D153)</f>
        <v>HENI KURLIYAH</v>
      </c>
      <c r="D153" s="282">
        <f>IF('2_Data_Pelanggan'!D153="","",'2_Data_Pelanggan'!M153)</f>
        <v>20</v>
      </c>
      <c r="E153" s="292">
        <f>IF('2_Data_Pelanggan'!D153="","",'2_Data_Pelanggan'!N153)</f>
        <v>115000</v>
      </c>
      <c r="F153" s="297" t="s">
        <v>1605</v>
      </c>
      <c r="G153" s="297" t="s">
        <v>1605</v>
      </c>
      <c r="H153" s="297" t="s">
        <v>1605</v>
      </c>
      <c r="I153" s="297" t="s">
        <v>1605</v>
      </c>
      <c r="J153" s="297" t="s">
        <v>1605</v>
      </c>
      <c r="K153" s="297" t="s">
        <v>1605</v>
      </c>
      <c r="L153" s="297" t="s">
        <v>1605</v>
      </c>
      <c r="M153" s="297" t="s">
        <v>1605</v>
      </c>
      <c r="N153" s="297" t="s">
        <v>1605</v>
      </c>
      <c r="O153" s="297" t="s">
        <v>1605</v>
      </c>
      <c r="P153" s="297" t="s">
        <v>1605</v>
      </c>
      <c r="Q153" s="297" t="s">
        <v>1605</v>
      </c>
      <c r="R153" s="298">
        <f t="shared" si="2"/>
        <v>0</v>
      </c>
      <c r="S153" s="47"/>
      <c r="T153" s="47"/>
      <c r="U153" s="47"/>
      <c r="V153" s="47"/>
      <c r="W153" s="47"/>
      <c r="X153" s="47"/>
      <c r="Y153" s="47"/>
      <c r="Z153" s="47"/>
    </row>
    <row r="154" ht="15.0" customHeight="1">
      <c r="A154" s="290">
        <f>IF(C155="","",151)</f>
        <v>151</v>
      </c>
      <c r="B154" s="122" t="str">
        <f>IF('2_Data_Pelanggan'!D154="","",'2_Data_Pelanggan'!B154)</f>
        <v>ARM-0150</v>
      </c>
      <c r="C154" s="291" t="str">
        <f>IF('2_Data_Pelanggan'!D154="","",'2_Data_Pelanggan'!D154)</f>
        <v>NETI</v>
      </c>
      <c r="D154" s="279">
        <f>IF('2_Data_Pelanggan'!D154="","",'2_Data_Pelanggan'!M154)</f>
        <v>20</v>
      </c>
      <c r="E154" s="292">
        <f>IF('2_Data_Pelanggan'!D154="","",'2_Data_Pelanggan'!N154)</f>
        <v>115000</v>
      </c>
      <c r="F154" s="293" t="s">
        <v>1605</v>
      </c>
      <c r="G154" s="293" t="s">
        <v>1605</v>
      </c>
      <c r="H154" s="293" t="s">
        <v>1605</v>
      </c>
      <c r="I154" s="293" t="s">
        <v>1605</v>
      </c>
      <c r="J154" s="293" t="s">
        <v>1605</v>
      </c>
      <c r="K154" s="293" t="s">
        <v>1605</v>
      </c>
      <c r="L154" s="293" t="s">
        <v>1605</v>
      </c>
      <c r="M154" s="293" t="s">
        <v>1605</v>
      </c>
      <c r="N154" s="293" t="s">
        <v>1605</v>
      </c>
      <c r="O154" s="293" t="s">
        <v>1605</v>
      </c>
      <c r="P154" s="293" t="s">
        <v>1605</v>
      </c>
      <c r="Q154" s="293" t="s">
        <v>1605</v>
      </c>
      <c r="R154" s="294">
        <f t="shared" si="2"/>
        <v>0</v>
      </c>
      <c r="S154" s="47"/>
      <c r="T154" s="47"/>
      <c r="U154" s="47"/>
      <c r="V154" s="47"/>
      <c r="W154" s="47"/>
      <c r="X154" s="47"/>
      <c r="Y154" s="47"/>
      <c r="Z154" s="47"/>
    </row>
    <row r="155" ht="15.0" customHeight="1">
      <c r="A155" s="295">
        <f>IF(C156="","",152)</f>
        <v>152</v>
      </c>
      <c r="B155" s="117" t="str">
        <f>IF('2_Data_Pelanggan'!D155="","",'2_Data_Pelanggan'!B155)</f>
        <v>ARM-0151</v>
      </c>
      <c r="C155" s="296" t="str">
        <f>IF('2_Data_Pelanggan'!D155="","",'2_Data_Pelanggan'!D155)</f>
        <v>HERRY SUPRAPTO </v>
      </c>
      <c r="D155" s="282">
        <f>IF('2_Data_Pelanggan'!D155="","",'2_Data_Pelanggan'!M155)</f>
        <v>20</v>
      </c>
      <c r="E155" s="292">
        <f>IF('2_Data_Pelanggan'!D155="","",'2_Data_Pelanggan'!N155)</f>
        <v>115000</v>
      </c>
      <c r="F155" s="297" t="s">
        <v>1605</v>
      </c>
      <c r="G155" s="297" t="s">
        <v>1605</v>
      </c>
      <c r="H155" s="297" t="s">
        <v>1605</v>
      </c>
      <c r="I155" s="297" t="s">
        <v>1605</v>
      </c>
      <c r="J155" s="297" t="s">
        <v>1605</v>
      </c>
      <c r="K155" s="297" t="s">
        <v>1605</v>
      </c>
      <c r="L155" s="297" t="s">
        <v>1605</v>
      </c>
      <c r="M155" s="297" t="s">
        <v>1605</v>
      </c>
      <c r="N155" s="297" t="s">
        <v>1605</v>
      </c>
      <c r="O155" s="297" t="s">
        <v>1605</v>
      </c>
      <c r="P155" s="297" t="s">
        <v>1605</v>
      </c>
      <c r="Q155" s="297" t="s">
        <v>1605</v>
      </c>
      <c r="R155" s="298">
        <f t="shared" si="2"/>
        <v>0</v>
      </c>
      <c r="S155" s="47"/>
      <c r="T155" s="47"/>
      <c r="U155" s="47"/>
      <c r="V155" s="47"/>
      <c r="W155" s="47"/>
      <c r="X155" s="47"/>
      <c r="Y155" s="47"/>
      <c r="Z155" s="47"/>
    </row>
    <row r="156" ht="15.0" customHeight="1">
      <c r="A156" s="290">
        <f>IF(C157="","",153)</f>
        <v>153</v>
      </c>
      <c r="B156" s="122" t="str">
        <f>IF('2_Data_Pelanggan'!D156="","",'2_Data_Pelanggan'!B156)</f>
        <v>ARM-0152</v>
      </c>
      <c r="C156" s="291" t="str">
        <f>IF('2_Data_Pelanggan'!D156="","",'2_Data_Pelanggan'!D156)</f>
        <v>WASINGUN</v>
      </c>
      <c r="D156" s="279">
        <f>IF('2_Data_Pelanggan'!D156="","",'2_Data_Pelanggan'!M156)</f>
        <v>20</v>
      </c>
      <c r="E156" s="292">
        <f>IF('2_Data_Pelanggan'!D156="","",'2_Data_Pelanggan'!N156)</f>
        <v>115000</v>
      </c>
      <c r="F156" s="293" t="s">
        <v>1605</v>
      </c>
      <c r="G156" s="293" t="s">
        <v>1605</v>
      </c>
      <c r="H156" s="293" t="s">
        <v>1605</v>
      </c>
      <c r="I156" s="293" t="s">
        <v>1605</v>
      </c>
      <c r="J156" s="293" t="s">
        <v>1605</v>
      </c>
      <c r="K156" s="293" t="s">
        <v>1605</v>
      </c>
      <c r="L156" s="293" t="s">
        <v>1605</v>
      </c>
      <c r="M156" s="293" t="s">
        <v>1605</v>
      </c>
      <c r="N156" s="293" t="s">
        <v>1605</v>
      </c>
      <c r="O156" s="293" t="s">
        <v>1605</v>
      </c>
      <c r="P156" s="293" t="s">
        <v>1605</v>
      </c>
      <c r="Q156" s="293" t="s">
        <v>1605</v>
      </c>
      <c r="R156" s="294">
        <f t="shared" si="2"/>
        <v>0</v>
      </c>
      <c r="S156" s="47"/>
      <c r="T156" s="47"/>
      <c r="U156" s="47"/>
      <c r="V156" s="47"/>
      <c r="W156" s="47"/>
      <c r="X156" s="47"/>
      <c r="Y156" s="47"/>
      <c r="Z156" s="47"/>
    </row>
    <row r="157" ht="15.0" customHeight="1">
      <c r="A157" s="295">
        <f>IF(C158="","",154)</f>
        <v>154</v>
      </c>
      <c r="B157" s="117" t="str">
        <f>IF('2_Data_Pelanggan'!D157="","",'2_Data_Pelanggan'!B157)</f>
        <v>ARM-0153</v>
      </c>
      <c r="C157" s="296" t="str">
        <f>IF('2_Data_Pelanggan'!D157="","",'2_Data_Pelanggan'!D157)</f>
        <v>MARJITO</v>
      </c>
      <c r="D157" s="282">
        <f>IF('2_Data_Pelanggan'!D157="","",'2_Data_Pelanggan'!M157)</f>
        <v>20</v>
      </c>
      <c r="E157" s="292">
        <f>IF('2_Data_Pelanggan'!D157="","",'2_Data_Pelanggan'!N157)</f>
        <v>115000</v>
      </c>
      <c r="F157" s="297" t="s">
        <v>1605</v>
      </c>
      <c r="G157" s="297" t="s">
        <v>1605</v>
      </c>
      <c r="H157" s="297" t="s">
        <v>1605</v>
      </c>
      <c r="I157" s="297" t="s">
        <v>1605</v>
      </c>
      <c r="J157" s="297" t="s">
        <v>1605</v>
      </c>
      <c r="K157" s="297" t="s">
        <v>1605</v>
      </c>
      <c r="L157" s="297" t="s">
        <v>1605</v>
      </c>
      <c r="M157" s="297" t="s">
        <v>1605</v>
      </c>
      <c r="N157" s="297" t="s">
        <v>1605</v>
      </c>
      <c r="O157" s="297" t="s">
        <v>1605</v>
      </c>
      <c r="P157" s="297" t="s">
        <v>1605</v>
      </c>
      <c r="Q157" s="297" t="s">
        <v>1605</v>
      </c>
      <c r="R157" s="298">
        <f t="shared" si="2"/>
        <v>0</v>
      </c>
      <c r="S157" s="47"/>
      <c r="T157" s="47"/>
      <c r="U157" s="47"/>
      <c r="V157" s="47"/>
      <c r="W157" s="47"/>
      <c r="X157" s="47"/>
      <c r="Y157" s="47"/>
      <c r="Z157" s="47"/>
    </row>
    <row r="158" ht="15.0" customHeight="1">
      <c r="A158" s="290">
        <f>IF(C159="","",155)</f>
        <v>155</v>
      </c>
      <c r="B158" s="122" t="str">
        <f>IF('2_Data_Pelanggan'!D158="","",'2_Data_Pelanggan'!B158)</f>
        <v>ARM-0154</v>
      </c>
      <c r="C158" s="291" t="str">
        <f>IF('2_Data_Pelanggan'!D158="","",'2_Data_Pelanggan'!D158)</f>
        <v>ANITA YUNITA</v>
      </c>
      <c r="D158" s="279">
        <f>IF('2_Data_Pelanggan'!D158="","",'2_Data_Pelanggan'!M158)</f>
        <v>20</v>
      </c>
      <c r="E158" s="292">
        <f>IF('2_Data_Pelanggan'!D158="","",'2_Data_Pelanggan'!N158)</f>
        <v>115000</v>
      </c>
      <c r="F158" s="293" t="s">
        <v>1605</v>
      </c>
      <c r="G158" s="293" t="s">
        <v>1605</v>
      </c>
      <c r="H158" s="293" t="s">
        <v>1605</v>
      </c>
      <c r="I158" s="293" t="s">
        <v>1605</v>
      </c>
      <c r="J158" s="293" t="s">
        <v>1605</v>
      </c>
      <c r="K158" s="293" t="s">
        <v>1605</v>
      </c>
      <c r="L158" s="293" t="s">
        <v>1605</v>
      </c>
      <c r="M158" s="293" t="s">
        <v>1605</v>
      </c>
      <c r="N158" s="293" t="s">
        <v>1605</v>
      </c>
      <c r="O158" s="293" t="s">
        <v>1605</v>
      </c>
      <c r="P158" s="293" t="s">
        <v>1605</v>
      </c>
      <c r="Q158" s="293" t="s">
        <v>1605</v>
      </c>
      <c r="R158" s="294">
        <f t="shared" si="2"/>
        <v>0</v>
      </c>
      <c r="S158" s="47"/>
      <c r="T158" s="47"/>
      <c r="U158" s="47"/>
      <c r="V158" s="47"/>
      <c r="W158" s="47"/>
      <c r="X158" s="47"/>
      <c r="Y158" s="47"/>
      <c r="Z158" s="47"/>
    </row>
    <row r="159" ht="15.0" customHeight="1">
      <c r="A159" s="295">
        <f>IF(C160="","",156)</f>
        <v>156</v>
      </c>
      <c r="B159" s="117" t="str">
        <f>IF('2_Data_Pelanggan'!D159="","",'2_Data_Pelanggan'!B159)</f>
        <v>ARM-0155</v>
      </c>
      <c r="C159" s="296" t="str">
        <f>IF('2_Data_Pelanggan'!D159="","",'2_Data_Pelanggan'!D159)</f>
        <v>TARYONO</v>
      </c>
      <c r="D159" s="282">
        <f>IF('2_Data_Pelanggan'!D159="","",'2_Data_Pelanggan'!M159)</f>
        <v>30</v>
      </c>
      <c r="E159" s="292">
        <f>IF('2_Data_Pelanggan'!D159="","",'2_Data_Pelanggan'!N159)</f>
        <v>142000</v>
      </c>
      <c r="F159" s="297" t="s">
        <v>1605</v>
      </c>
      <c r="G159" s="297" t="s">
        <v>1605</v>
      </c>
      <c r="H159" s="297" t="s">
        <v>1605</v>
      </c>
      <c r="I159" s="297" t="s">
        <v>1605</v>
      </c>
      <c r="J159" s="297" t="s">
        <v>1605</v>
      </c>
      <c r="K159" s="297" t="s">
        <v>1605</v>
      </c>
      <c r="L159" s="297" t="s">
        <v>1605</v>
      </c>
      <c r="M159" s="297" t="s">
        <v>1605</v>
      </c>
      <c r="N159" s="297" t="s">
        <v>1605</v>
      </c>
      <c r="O159" s="297" t="s">
        <v>1605</v>
      </c>
      <c r="P159" s="297" t="s">
        <v>1605</v>
      </c>
      <c r="Q159" s="297" t="s">
        <v>1605</v>
      </c>
      <c r="R159" s="298">
        <f t="shared" si="2"/>
        <v>0</v>
      </c>
      <c r="S159" s="47"/>
      <c r="T159" s="47"/>
      <c r="U159" s="47"/>
      <c r="V159" s="47"/>
      <c r="W159" s="47"/>
      <c r="X159" s="47"/>
      <c r="Y159" s="47"/>
      <c r="Z159" s="47"/>
    </row>
    <row r="160" ht="15.0" customHeight="1">
      <c r="A160" s="290">
        <f>IF(C161="","",157)</f>
        <v>157</v>
      </c>
      <c r="B160" s="122" t="str">
        <f>IF('2_Data_Pelanggan'!D160="","",'2_Data_Pelanggan'!B160)</f>
        <v>ARM-0156</v>
      </c>
      <c r="C160" s="291" t="str">
        <f>IF('2_Data_Pelanggan'!D160="","",'2_Data_Pelanggan'!D160)</f>
        <v>SULISTIYONO</v>
      </c>
      <c r="D160" s="279">
        <f>IF('2_Data_Pelanggan'!D160="","",'2_Data_Pelanggan'!M160)</f>
        <v>30</v>
      </c>
      <c r="E160" s="292">
        <f>IF('2_Data_Pelanggan'!D160="","",'2_Data_Pelanggan'!N160)</f>
        <v>142000</v>
      </c>
      <c r="F160" s="293" t="s">
        <v>1605</v>
      </c>
      <c r="G160" s="293" t="s">
        <v>1605</v>
      </c>
      <c r="H160" s="293" t="s">
        <v>1605</v>
      </c>
      <c r="I160" s="293" t="s">
        <v>1605</v>
      </c>
      <c r="J160" s="293" t="s">
        <v>1605</v>
      </c>
      <c r="K160" s="293" t="s">
        <v>1605</v>
      </c>
      <c r="L160" s="293" t="s">
        <v>1605</v>
      </c>
      <c r="M160" s="293" t="s">
        <v>1605</v>
      </c>
      <c r="N160" s="293" t="s">
        <v>1605</v>
      </c>
      <c r="O160" s="293" t="s">
        <v>1605</v>
      </c>
      <c r="P160" s="293" t="s">
        <v>1605</v>
      </c>
      <c r="Q160" s="293" t="s">
        <v>1605</v>
      </c>
      <c r="R160" s="294">
        <f t="shared" si="2"/>
        <v>0</v>
      </c>
      <c r="S160" s="47"/>
      <c r="T160" s="47"/>
      <c r="U160" s="47"/>
      <c r="V160" s="47"/>
      <c r="W160" s="47"/>
      <c r="X160" s="47"/>
      <c r="Y160" s="47"/>
      <c r="Z160" s="47"/>
    </row>
    <row r="161" ht="15.0" customHeight="1">
      <c r="A161" s="295">
        <f>IF(C162="","",158)</f>
        <v>158</v>
      </c>
      <c r="B161" s="117" t="str">
        <f>IF('2_Data_Pelanggan'!D161="","",'2_Data_Pelanggan'!B161)</f>
        <v>ARM-0157</v>
      </c>
      <c r="C161" s="296" t="str">
        <f>IF('2_Data_Pelanggan'!D161="","",'2_Data_Pelanggan'!D161)</f>
        <v>TITIN RESTIYANI</v>
      </c>
      <c r="D161" s="282">
        <f>IF('2_Data_Pelanggan'!D161="","",'2_Data_Pelanggan'!M161)</f>
        <v>20</v>
      </c>
      <c r="E161" s="292">
        <f>IF('2_Data_Pelanggan'!D161="","",'2_Data_Pelanggan'!N161)</f>
        <v>115000</v>
      </c>
      <c r="F161" s="297" t="s">
        <v>1605</v>
      </c>
      <c r="G161" s="297" t="s">
        <v>1605</v>
      </c>
      <c r="H161" s="297" t="s">
        <v>1605</v>
      </c>
      <c r="I161" s="297" t="s">
        <v>1605</v>
      </c>
      <c r="J161" s="297" t="s">
        <v>1605</v>
      </c>
      <c r="K161" s="297" t="s">
        <v>1605</v>
      </c>
      <c r="L161" s="297" t="s">
        <v>1605</v>
      </c>
      <c r="M161" s="297" t="s">
        <v>1605</v>
      </c>
      <c r="N161" s="297" t="s">
        <v>1605</v>
      </c>
      <c r="O161" s="297" t="s">
        <v>1605</v>
      </c>
      <c r="P161" s="297" t="s">
        <v>1605</v>
      </c>
      <c r="Q161" s="297" t="s">
        <v>1605</v>
      </c>
      <c r="R161" s="298">
        <f t="shared" si="2"/>
        <v>0</v>
      </c>
      <c r="S161" s="47"/>
      <c r="T161" s="47"/>
      <c r="U161" s="47"/>
      <c r="V161" s="47"/>
      <c r="W161" s="47"/>
      <c r="X161" s="47"/>
      <c r="Y161" s="47"/>
      <c r="Z161" s="47"/>
    </row>
    <row r="162" ht="15.0" customHeight="1">
      <c r="A162" s="290">
        <f>IF(C163="","",159)</f>
        <v>159</v>
      </c>
      <c r="B162" s="122" t="str">
        <f>IF('2_Data_Pelanggan'!D162="","",'2_Data_Pelanggan'!B162)</f>
        <v>ARM-0158</v>
      </c>
      <c r="C162" s="291" t="str">
        <f>IF('2_Data_Pelanggan'!D162="","",'2_Data_Pelanggan'!D162)</f>
        <v>SRIYATI NINGRUM</v>
      </c>
      <c r="D162" s="279">
        <f>IF('2_Data_Pelanggan'!D162="","",'2_Data_Pelanggan'!M162)</f>
        <v>20</v>
      </c>
      <c r="E162" s="292">
        <f>IF('2_Data_Pelanggan'!D162="","",'2_Data_Pelanggan'!N162)</f>
        <v>115000</v>
      </c>
      <c r="F162" s="293" t="s">
        <v>1605</v>
      </c>
      <c r="G162" s="293" t="s">
        <v>1605</v>
      </c>
      <c r="H162" s="293" t="s">
        <v>1605</v>
      </c>
      <c r="I162" s="293" t="s">
        <v>1605</v>
      </c>
      <c r="J162" s="293" t="s">
        <v>1605</v>
      </c>
      <c r="K162" s="293" t="s">
        <v>1605</v>
      </c>
      <c r="L162" s="293" t="s">
        <v>1605</v>
      </c>
      <c r="M162" s="293" t="s">
        <v>1605</v>
      </c>
      <c r="N162" s="293" t="s">
        <v>1605</v>
      </c>
      <c r="O162" s="293" t="s">
        <v>1605</v>
      </c>
      <c r="P162" s="293" t="s">
        <v>1605</v>
      </c>
      <c r="Q162" s="293" t="s">
        <v>1605</v>
      </c>
      <c r="R162" s="294">
        <f t="shared" si="2"/>
        <v>0</v>
      </c>
      <c r="S162" s="47"/>
      <c r="T162" s="47"/>
      <c r="U162" s="47"/>
      <c r="V162" s="47"/>
      <c r="W162" s="47"/>
      <c r="X162" s="47"/>
      <c r="Y162" s="47"/>
      <c r="Z162" s="47"/>
    </row>
    <row r="163" ht="15.0" customHeight="1">
      <c r="A163" s="295">
        <f>IF(C164="","",160)</f>
        <v>160</v>
      </c>
      <c r="B163" s="117" t="str">
        <f>IF('2_Data_Pelanggan'!D163="","",'2_Data_Pelanggan'!B163)</f>
        <v>ARM-0159</v>
      </c>
      <c r="C163" s="296" t="str">
        <f>IF('2_Data_Pelanggan'!D163="","",'2_Data_Pelanggan'!D163)</f>
        <v>SURIPNO</v>
      </c>
      <c r="D163" s="282">
        <f>IF('2_Data_Pelanggan'!D163="","",'2_Data_Pelanggan'!M163)</f>
        <v>20</v>
      </c>
      <c r="E163" s="292">
        <f>IF('2_Data_Pelanggan'!D163="","",'2_Data_Pelanggan'!N163)</f>
        <v>115000</v>
      </c>
      <c r="F163" s="297" t="s">
        <v>1605</v>
      </c>
      <c r="G163" s="297" t="s">
        <v>1605</v>
      </c>
      <c r="H163" s="297" t="s">
        <v>1605</v>
      </c>
      <c r="I163" s="297" t="s">
        <v>1605</v>
      </c>
      <c r="J163" s="297" t="s">
        <v>1605</v>
      </c>
      <c r="K163" s="297" t="s">
        <v>1605</v>
      </c>
      <c r="L163" s="297" t="s">
        <v>1605</v>
      </c>
      <c r="M163" s="297" t="s">
        <v>1605</v>
      </c>
      <c r="N163" s="297" t="s">
        <v>1605</v>
      </c>
      <c r="O163" s="297" t="s">
        <v>1605</v>
      </c>
      <c r="P163" s="297" t="s">
        <v>1605</v>
      </c>
      <c r="Q163" s="297" t="s">
        <v>1605</v>
      </c>
      <c r="R163" s="298">
        <f t="shared" si="2"/>
        <v>0</v>
      </c>
      <c r="S163" s="47"/>
      <c r="T163" s="47"/>
      <c r="U163" s="47"/>
      <c r="V163" s="47"/>
      <c r="W163" s="47"/>
      <c r="X163" s="47"/>
      <c r="Y163" s="47"/>
      <c r="Z163" s="47"/>
    </row>
    <row r="164" ht="15.0" customHeight="1">
      <c r="A164" s="290">
        <f>IF(C165="","",161)</f>
        <v>161</v>
      </c>
      <c r="B164" s="122" t="str">
        <f>IF('2_Data_Pelanggan'!D164="","",'2_Data_Pelanggan'!B164)</f>
        <v>ARM-0160</v>
      </c>
      <c r="C164" s="291" t="str">
        <f>IF('2_Data_Pelanggan'!D164="","",'2_Data_Pelanggan'!D164)</f>
        <v>SUMINTO</v>
      </c>
      <c r="D164" s="279">
        <f>IF('2_Data_Pelanggan'!D164="","",'2_Data_Pelanggan'!M164)</f>
        <v>30</v>
      </c>
      <c r="E164" s="292">
        <f>IF('2_Data_Pelanggan'!D164="","",'2_Data_Pelanggan'!N164)</f>
        <v>142000</v>
      </c>
      <c r="F164" s="293" t="s">
        <v>1605</v>
      </c>
      <c r="G164" s="293" t="s">
        <v>1605</v>
      </c>
      <c r="H164" s="293" t="s">
        <v>1605</v>
      </c>
      <c r="I164" s="293" t="s">
        <v>1605</v>
      </c>
      <c r="J164" s="293" t="s">
        <v>1605</v>
      </c>
      <c r="K164" s="293" t="s">
        <v>1605</v>
      </c>
      <c r="L164" s="293" t="s">
        <v>1605</v>
      </c>
      <c r="M164" s="293" t="s">
        <v>1605</v>
      </c>
      <c r="N164" s="293" t="s">
        <v>1605</v>
      </c>
      <c r="O164" s="293" t="s">
        <v>1605</v>
      </c>
      <c r="P164" s="293" t="s">
        <v>1605</v>
      </c>
      <c r="Q164" s="293" t="s">
        <v>1605</v>
      </c>
      <c r="R164" s="294">
        <f t="shared" si="2"/>
        <v>0</v>
      </c>
      <c r="S164" s="47"/>
      <c r="T164" s="47"/>
      <c r="U164" s="47"/>
      <c r="V164" s="47"/>
      <c r="W164" s="47"/>
      <c r="X164" s="47"/>
      <c r="Y164" s="47"/>
      <c r="Z164" s="47"/>
    </row>
    <row r="165" ht="15.0" customHeight="1">
      <c r="A165" s="295">
        <f>IF(C166="","",162)</f>
        <v>162</v>
      </c>
      <c r="B165" s="117" t="str">
        <f>IF('2_Data_Pelanggan'!D165="","",'2_Data_Pelanggan'!B165)</f>
        <v>ARM-0161</v>
      </c>
      <c r="C165" s="296" t="str">
        <f>IF('2_Data_Pelanggan'!D165="","",'2_Data_Pelanggan'!D165)</f>
        <v>ANDHIKA DWI SAPUTRA</v>
      </c>
      <c r="D165" s="282">
        <f>IF('2_Data_Pelanggan'!D165="","",'2_Data_Pelanggan'!M165)</f>
        <v>20</v>
      </c>
      <c r="E165" s="292">
        <f>IF('2_Data_Pelanggan'!D165="","",'2_Data_Pelanggan'!N165)</f>
        <v>115000</v>
      </c>
      <c r="F165" s="297" t="s">
        <v>1605</v>
      </c>
      <c r="G165" s="297" t="s">
        <v>1605</v>
      </c>
      <c r="H165" s="297" t="s">
        <v>1605</v>
      </c>
      <c r="I165" s="297" t="s">
        <v>1605</v>
      </c>
      <c r="J165" s="297" t="s">
        <v>1605</v>
      </c>
      <c r="K165" s="297" t="s">
        <v>1605</v>
      </c>
      <c r="L165" s="297" t="s">
        <v>1605</v>
      </c>
      <c r="M165" s="297" t="s">
        <v>1605</v>
      </c>
      <c r="N165" s="297" t="s">
        <v>1605</v>
      </c>
      <c r="O165" s="297" t="s">
        <v>1605</v>
      </c>
      <c r="P165" s="297" t="s">
        <v>1605</v>
      </c>
      <c r="Q165" s="297" t="s">
        <v>1605</v>
      </c>
      <c r="R165" s="298">
        <f t="shared" si="2"/>
        <v>0</v>
      </c>
      <c r="S165" s="47"/>
      <c r="T165" s="47"/>
      <c r="U165" s="47"/>
      <c r="V165" s="47"/>
      <c r="W165" s="47"/>
      <c r="X165" s="47"/>
      <c r="Y165" s="47"/>
      <c r="Z165" s="47"/>
    </row>
    <row r="166" ht="15.0" customHeight="1">
      <c r="A166" s="290">
        <f>IF(C167="","",163)</f>
        <v>163</v>
      </c>
      <c r="B166" s="122" t="str">
        <f>IF('2_Data_Pelanggan'!D166="","",'2_Data_Pelanggan'!B166)</f>
        <v>ARM-0162</v>
      </c>
      <c r="C166" s="291" t="str">
        <f>IF('2_Data_Pelanggan'!D166="","",'2_Data_Pelanggan'!D166)</f>
        <v>SUYATI</v>
      </c>
      <c r="D166" s="279">
        <f>IF('2_Data_Pelanggan'!D166="","",'2_Data_Pelanggan'!M166)</f>
        <v>20</v>
      </c>
      <c r="E166" s="292">
        <f>IF('2_Data_Pelanggan'!D166="","",'2_Data_Pelanggan'!N166)</f>
        <v>115000</v>
      </c>
      <c r="F166" s="293" t="s">
        <v>1605</v>
      </c>
      <c r="G166" s="293" t="s">
        <v>1605</v>
      </c>
      <c r="H166" s="293" t="s">
        <v>1605</v>
      </c>
      <c r="I166" s="293" t="s">
        <v>1605</v>
      </c>
      <c r="J166" s="293" t="s">
        <v>1605</v>
      </c>
      <c r="K166" s="293" t="s">
        <v>1605</v>
      </c>
      <c r="L166" s="293" t="s">
        <v>1605</v>
      </c>
      <c r="M166" s="293" t="s">
        <v>1605</v>
      </c>
      <c r="N166" s="293" t="s">
        <v>1605</v>
      </c>
      <c r="O166" s="293" t="s">
        <v>1605</v>
      </c>
      <c r="P166" s="293" t="s">
        <v>1605</v>
      </c>
      <c r="Q166" s="293" t="s">
        <v>1605</v>
      </c>
      <c r="R166" s="294">
        <f t="shared" si="2"/>
        <v>0</v>
      </c>
      <c r="S166" s="47"/>
      <c r="T166" s="47"/>
      <c r="U166" s="47"/>
      <c r="V166" s="47"/>
      <c r="W166" s="47"/>
      <c r="X166" s="47"/>
      <c r="Y166" s="47"/>
      <c r="Z166" s="47"/>
    </row>
    <row r="167" ht="15.0" customHeight="1">
      <c r="A167" s="295">
        <f>IF(C168="","",164)</f>
        <v>164</v>
      </c>
      <c r="B167" s="117" t="str">
        <f>IF('2_Data_Pelanggan'!D167="","",'2_Data_Pelanggan'!B167)</f>
        <v>ARM-0163</v>
      </c>
      <c r="C167" s="296" t="str">
        <f>IF('2_Data_Pelanggan'!D167="","",'2_Data_Pelanggan'!D167)</f>
        <v>RAMINAH</v>
      </c>
      <c r="D167" s="282">
        <f>IF('2_Data_Pelanggan'!D167="","",'2_Data_Pelanggan'!M167)</f>
        <v>20</v>
      </c>
      <c r="E167" s="292">
        <f>IF('2_Data_Pelanggan'!D167="","",'2_Data_Pelanggan'!N167)</f>
        <v>115000</v>
      </c>
      <c r="F167" s="297" t="s">
        <v>1605</v>
      </c>
      <c r="G167" s="297" t="s">
        <v>1605</v>
      </c>
      <c r="H167" s="297" t="s">
        <v>1605</v>
      </c>
      <c r="I167" s="297" t="s">
        <v>1605</v>
      </c>
      <c r="J167" s="297" t="s">
        <v>1605</v>
      </c>
      <c r="K167" s="297" t="s">
        <v>1605</v>
      </c>
      <c r="L167" s="297" t="s">
        <v>1605</v>
      </c>
      <c r="M167" s="297" t="s">
        <v>1605</v>
      </c>
      <c r="N167" s="297" t="s">
        <v>1605</v>
      </c>
      <c r="O167" s="297" t="s">
        <v>1605</v>
      </c>
      <c r="P167" s="297" t="s">
        <v>1605</v>
      </c>
      <c r="Q167" s="297" t="s">
        <v>1605</v>
      </c>
      <c r="R167" s="298">
        <f t="shared" si="2"/>
        <v>0</v>
      </c>
      <c r="S167" s="47"/>
      <c r="T167" s="47"/>
      <c r="U167" s="47"/>
      <c r="V167" s="47"/>
      <c r="W167" s="47"/>
      <c r="X167" s="47"/>
      <c r="Y167" s="47"/>
      <c r="Z167" s="47"/>
    </row>
    <row r="168" ht="15.0" customHeight="1">
      <c r="A168" s="290">
        <f>IF(C169="","",165)</f>
        <v>165</v>
      </c>
      <c r="B168" s="122" t="str">
        <f>IF('2_Data_Pelanggan'!D168="","",'2_Data_Pelanggan'!B168)</f>
        <v>ARM-0164</v>
      </c>
      <c r="C168" s="291" t="str">
        <f>IF('2_Data_Pelanggan'!D168="","",'2_Data_Pelanggan'!D168)</f>
        <v>SULIYAH</v>
      </c>
      <c r="D168" s="279">
        <f>IF('2_Data_Pelanggan'!D168="","",'2_Data_Pelanggan'!M168)</f>
        <v>20</v>
      </c>
      <c r="E168" s="292">
        <f>IF('2_Data_Pelanggan'!D168="","",'2_Data_Pelanggan'!N168)</f>
        <v>115000</v>
      </c>
      <c r="F168" s="293" t="s">
        <v>1605</v>
      </c>
      <c r="G168" s="293" t="s">
        <v>1605</v>
      </c>
      <c r="H168" s="293" t="s">
        <v>1605</v>
      </c>
      <c r="I168" s="293" t="s">
        <v>1605</v>
      </c>
      <c r="J168" s="293" t="s">
        <v>1605</v>
      </c>
      <c r="K168" s="293" t="s">
        <v>1605</v>
      </c>
      <c r="L168" s="293" t="s">
        <v>1605</v>
      </c>
      <c r="M168" s="293" t="s">
        <v>1605</v>
      </c>
      <c r="N168" s="293" t="s">
        <v>1605</v>
      </c>
      <c r="O168" s="293" t="s">
        <v>1605</v>
      </c>
      <c r="P168" s="293" t="s">
        <v>1605</v>
      </c>
      <c r="Q168" s="293" t="s">
        <v>1605</v>
      </c>
      <c r="R168" s="294">
        <f t="shared" si="2"/>
        <v>0</v>
      </c>
      <c r="S168" s="47"/>
      <c r="T168" s="47"/>
      <c r="U168" s="47"/>
      <c r="V168" s="47"/>
      <c r="W168" s="47"/>
      <c r="X168" s="47"/>
      <c r="Y168" s="47"/>
      <c r="Z168" s="47"/>
    </row>
    <row r="169" ht="15.0" customHeight="1">
      <c r="A169" s="295">
        <f>IF(C170="","",166)</f>
        <v>166</v>
      </c>
      <c r="B169" s="117" t="str">
        <f>IF('2_Data_Pelanggan'!D169="","",'2_Data_Pelanggan'!B169)</f>
        <v>ARM-0165</v>
      </c>
      <c r="C169" s="296" t="str">
        <f>IF('2_Data_Pelanggan'!D169="","",'2_Data_Pelanggan'!D169)</f>
        <v>SALSADILA NAHDIATUL AWALIYAH</v>
      </c>
      <c r="D169" s="282">
        <f>IF('2_Data_Pelanggan'!D169="","",'2_Data_Pelanggan'!M169)</f>
        <v>50</v>
      </c>
      <c r="E169" s="292">
        <f>IF('2_Data_Pelanggan'!D169="","",'2_Data_Pelanggan'!N169)</f>
        <v>182000</v>
      </c>
      <c r="F169" s="297" t="s">
        <v>1605</v>
      </c>
      <c r="G169" s="297" t="s">
        <v>1605</v>
      </c>
      <c r="H169" s="297" t="s">
        <v>1605</v>
      </c>
      <c r="I169" s="297" t="s">
        <v>1605</v>
      </c>
      <c r="J169" s="297" t="s">
        <v>1605</v>
      </c>
      <c r="K169" s="297" t="s">
        <v>1605</v>
      </c>
      <c r="L169" s="297" t="s">
        <v>1605</v>
      </c>
      <c r="M169" s="297" t="s">
        <v>1605</v>
      </c>
      <c r="N169" s="297" t="s">
        <v>1605</v>
      </c>
      <c r="O169" s="297" t="s">
        <v>1605</v>
      </c>
      <c r="P169" s="297" t="s">
        <v>1605</v>
      </c>
      <c r="Q169" s="297" t="s">
        <v>1605</v>
      </c>
      <c r="R169" s="298">
        <f t="shared" si="2"/>
        <v>0</v>
      </c>
      <c r="S169" s="47"/>
      <c r="T169" s="47"/>
      <c r="U169" s="47"/>
      <c r="V169" s="47"/>
      <c r="W169" s="47"/>
      <c r="X169" s="47"/>
      <c r="Y169" s="47"/>
      <c r="Z169" s="47"/>
    </row>
    <row r="170" ht="15.0" customHeight="1">
      <c r="A170" s="290">
        <f>IF(C171="","",167)</f>
        <v>167</v>
      </c>
      <c r="B170" s="122" t="str">
        <f>IF('2_Data_Pelanggan'!D170="","",'2_Data_Pelanggan'!B170)</f>
        <v>ARM-0166</v>
      </c>
      <c r="C170" s="291" t="str">
        <f>IF('2_Data_Pelanggan'!D170="","",'2_Data_Pelanggan'!D170)</f>
        <v>RUMYATNI</v>
      </c>
      <c r="D170" s="279">
        <f>IF('2_Data_Pelanggan'!D170="","",'2_Data_Pelanggan'!M170)</f>
        <v>20</v>
      </c>
      <c r="E170" s="292">
        <f>IF('2_Data_Pelanggan'!D170="","",'2_Data_Pelanggan'!N170)</f>
        <v>115000</v>
      </c>
      <c r="F170" s="293" t="s">
        <v>1605</v>
      </c>
      <c r="G170" s="293" t="s">
        <v>1605</v>
      </c>
      <c r="H170" s="293" t="s">
        <v>1605</v>
      </c>
      <c r="I170" s="293" t="s">
        <v>1605</v>
      </c>
      <c r="J170" s="293" t="s">
        <v>1605</v>
      </c>
      <c r="K170" s="293" t="s">
        <v>1605</v>
      </c>
      <c r="L170" s="293" t="s">
        <v>1605</v>
      </c>
      <c r="M170" s="293" t="s">
        <v>1605</v>
      </c>
      <c r="N170" s="293" t="s">
        <v>1605</v>
      </c>
      <c r="O170" s="293" t="s">
        <v>1605</v>
      </c>
      <c r="P170" s="293" t="s">
        <v>1605</v>
      </c>
      <c r="Q170" s="293" t="s">
        <v>1605</v>
      </c>
      <c r="R170" s="294">
        <f t="shared" si="2"/>
        <v>0</v>
      </c>
      <c r="S170" s="47"/>
      <c r="T170" s="47"/>
      <c r="U170" s="47"/>
      <c r="V170" s="47"/>
      <c r="W170" s="47"/>
      <c r="X170" s="47"/>
      <c r="Y170" s="47"/>
      <c r="Z170" s="47"/>
    </row>
    <row r="171" ht="15.0" customHeight="1">
      <c r="A171" s="295">
        <f>IF(C172="","",168)</f>
        <v>168</v>
      </c>
      <c r="B171" s="117" t="str">
        <f>IF('2_Data_Pelanggan'!D171="","",'2_Data_Pelanggan'!B171)</f>
        <v>ARM-0167</v>
      </c>
      <c r="C171" s="296" t="str">
        <f>IF('2_Data_Pelanggan'!D171="","",'2_Data_Pelanggan'!D171)</f>
        <v>LILIS PRIYANI</v>
      </c>
      <c r="D171" s="282">
        <f>IF('2_Data_Pelanggan'!D171="","",'2_Data_Pelanggan'!M171)</f>
        <v>20</v>
      </c>
      <c r="E171" s="292">
        <f>IF('2_Data_Pelanggan'!D171="","",'2_Data_Pelanggan'!N171)</f>
        <v>115000</v>
      </c>
      <c r="F171" s="297" t="s">
        <v>1605</v>
      </c>
      <c r="G171" s="297" t="s">
        <v>1605</v>
      </c>
      <c r="H171" s="297" t="s">
        <v>1605</v>
      </c>
      <c r="I171" s="297" t="s">
        <v>1605</v>
      </c>
      <c r="J171" s="297" t="s">
        <v>1605</v>
      </c>
      <c r="K171" s="297" t="s">
        <v>1605</v>
      </c>
      <c r="L171" s="297" t="s">
        <v>1605</v>
      </c>
      <c r="M171" s="297" t="s">
        <v>1605</v>
      </c>
      <c r="N171" s="297" t="s">
        <v>1605</v>
      </c>
      <c r="O171" s="297" t="s">
        <v>1605</v>
      </c>
      <c r="P171" s="297" t="s">
        <v>1605</v>
      </c>
      <c r="Q171" s="297" t="s">
        <v>1605</v>
      </c>
      <c r="R171" s="298">
        <f t="shared" si="2"/>
        <v>0</v>
      </c>
      <c r="S171" s="47"/>
      <c r="T171" s="47"/>
      <c r="U171" s="47"/>
      <c r="V171" s="47"/>
      <c r="W171" s="47"/>
      <c r="X171" s="47"/>
      <c r="Y171" s="47"/>
      <c r="Z171" s="47"/>
    </row>
    <row r="172" ht="15.0" customHeight="1">
      <c r="A172" s="290">
        <f>IF(C173="","",169)</f>
        <v>169</v>
      </c>
      <c r="B172" s="122" t="str">
        <f>IF('2_Data_Pelanggan'!D172="","",'2_Data_Pelanggan'!B172)</f>
        <v>ARM-0168</v>
      </c>
      <c r="C172" s="291" t="str">
        <f>IF('2_Data_Pelanggan'!D172="","",'2_Data_Pelanggan'!D172)</f>
        <v>WASIM</v>
      </c>
      <c r="D172" s="279">
        <f>IF('2_Data_Pelanggan'!D172="","",'2_Data_Pelanggan'!M172)</f>
        <v>20</v>
      </c>
      <c r="E172" s="292">
        <f>IF('2_Data_Pelanggan'!D172="","",'2_Data_Pelanggan'!N172)</f>
        <v>115000</v>
      </c>
      <c r="F172" s="293" t="s">
        <v>1605</v>
      </c>
      <c r="G172" s="293" t="s">
        <v>1605</v>
      </c>
      <c r="H172" s="293" t="s">
        <v>1605</v>
      </c>
      <c r="I172" s="293" t="s">
        <v>1605</v>
      </c>
      <c r="J172" s="293" t="s">
        <v>1605</v>
      </c>
      <c r="K172" s="293" t="s">
        <v>1605</v>
      </c>
      <c r="L172" s="293" t="s">
        <v>1605</v>
      </c>
      <c r="M172" s="293" t="s">
        <v>1605</v>
      </c>
      <c r="N172" s="293" t="s">
        <v>1605</v>
      </c>
      <c r="O172" s="293" t="s">
        <v>1605</v>
      </c>
      <c r="P172" s="293" t="s">
        <v>1605</v>
      </c>
      <c r="Q172" s="293" t="s">
        <v>1605</v>
      </c>
      <c r="R172" s="294">
        <f t="shared" si="2"/>
        <v>0</v>
      </c>
      <c r="S172" s="47"/>
      <c r="T172" s="47"/>
      <c r="U172" s="47"/>
      <c r="V172" s="47"/>
      <c r="W172" s="47"/>
      <c r="X172" s="47"/>
      <c r="Y172" s="47"/>
      <c r="Z172" s="47"/>
    </row>
    <row r="173" ht="15.0" customHeight="1">
      <c r="A173" s="295">
        <f>IF(C174="","",170)</f>
        <v>170</v>
      </c>
      <c r="B173" s="117" t="str">
        <f>IF('2_Data_Pelanggan'!D173="","",'2_Data_Pelanggan'!B173)</f>
        <v>ARM-0169</v>
      </c>
      <c r="C173" s="296" t="str">
        <f>IF('2_Data_Pelanggan'!D173="","",'2_Data_Pelanggan'!D173)</f>
        <v>KUSTILAH</v>
      </c>
      <c r="D173" s="282">
        <f>IF('2_Data_Pelanggan'!D173="","",'2_Data_Pelanggan'!M173)</f>
        <v>20</v>
      </c>
      <c r="E173" s="292">
        <f>IF('2_Data_Pelanggan'!D173="","",'2_Data_Pelanggan'!N173)</f>
        <v>115000</v>
      </c>
      <c r="F173" s="297" t="s">
        <v>1605</v>
      </c>
      <c r="G173" s="297" t="s">
        <v>1605</v>
      </c>
      <c r="H173" s="297" t="s">
        <v>1605</v>
      </c>
      <c r="I173" s="297" t="s">
        <v>1605</v>
      </c>
      <c r="J173" s="297" t="s">
        <v>1605</v>
      </c>
      <c r="K173" s="297" t="s">
        <v>1605</v>
      </c>
      <c r="L173" s="297" t="s">
        <v>1605</v>
      </c>
      <c r="M173" s="297" t="s">
        <v>1605</v>
      </c>
      <c r="N173" s="297" t="s">
        <v>1605</v>
      </c>
      <c r="O173" s="297" t="s">
        <v>1605</v>
      </c>
      <c r="P173" s="297" t="s">
        <v>1605</v>
      </c>
      <c r="Q173" s="297" t="s">
        <v>1605</v>
      </c>
      <c r="R173" s="298">
        <f t="shared" si="2"/>
        <v>0</v>
      </c>
      <c r="S173" s="47"/>
      <c r="T173" s="47"/>
      <c r="U173" s="47"/>
      <c r="V173" s="47"/>
      <c r="W173" s="47"/>
      <c r="X173" s="47"/>
      <c r="Y173" s="47"/>
      <c r="Z173" s="47"/>
    </row>
    <row r="174" ht="15.0" customHeight="1">
      <c r="A174" s="290">
        <f>IF(C175="","",171)</f>
        <v>171</v>
      </c>
      <c r="B174" s="122" t="str">
        <f>IF('2_Data_Pelanggan'!D174="","",'2_Data_Pelanggan'!B174)</f>
        <v>ARM-0170</v>
      </c>
      <c r="C174" s="291" t="str">
        <f>IF('2_Data_Pelanggan'!D174="","",'2_Data_Pelanggan'!D174)</f>
        <v>JAMHARI</v>
      </c>
      <c r="D174" s="279">
        <f>IF('2_Data_Pelanggan'!D174="","",'2_Data_Pelanggan'!M174)</f>
        <v>20</v>
      </c>
      <c r="E174" s="292">
        <f>IF('2_Data_Pelanggan'!D174="","",'2_Data_Pelanggan'!N174)</f>
        <v>115000</v>
      </c>
      <c r="F174" s="293" t="s">
        <v>1605</v>
      </c>
      <c r="G174" s="293" t="s">
        <v>1605</v>
      </c>
      <c r="H174" s="293" t="s">
        <v>1605</v>
      </c>
      <c r="I174" s="293" t="s">
        <v>1605</v>
      </c>
      <c r="J174" s="293" t="s">
        <v>1605</v>
      </c>
      <c r="K174" s="293" t="s">
        <v>1605</v>
      </c>
      <c r="L174" s="293" t="s">
        <v>1605</v>
      </c>
      <c r="M174" s="293" t="s">
        <v>1605</v>
      </c>
      <c r="N174" s="293" t="s">
        <v>1605</v>
      </c>
      <c r="O174" s="293" t="s">
        <v>1605</v>
      </c>
      <c r="P174" s="293" t="s">
        <v>1605</v>
      </c>
      <c r="Q174" s="293" t="s">
        <v>1605</v>
      </c>
      <c r="R174" s="294">
        <f t="shared" si="2"/>
        <v>0</v>
      </c>
      <c r="S174" s="47"/>
      <c r="T174" s="47"/>
      <c r="U174" s="47"/>
      <c r="V174" s="47"/>
      <c r="W174" s="47"/>
      <c r="X174" s="47"/>
      <c r="Y174" s="47"/>
      <c r="Z174" s="47"/>
    </row>
    <row r="175" ht="15.0" customHeight="1">
      <c r="A175" s="295">
        <f>IF(C176="","",172)</f>
        <v>172</v>
      </c>
      <c r="B175" s="117" t="str">
        <f>IF('2_Data_Pelanggan'!D175="","",'2_Data_Pelanggan'!B175)</f>
        <v>ARM-0171</v>
      </c>
      <c r="C175" s="296" t="str">
        <f>IF('2_Data_Pelanggan'!D175="","",'2_Data_Pelanggan'!D175)</f>
        <v>FIRDOS PRIO GUNAWAN</v>
      </c>
      <c r="D175" s="282">
        <f>IF('2_Data_Pelanggan'!D175="","",'2_Data_Pelanggan'!M175)</f>
        <v>20</v>
      </c>
      <c r="E175" s="292">
        <f>IF('2_Data_Pelanggan'!D175="","",'2_Data_Pelanggan'!N175)</f>
        <v>115000</v>
      </c>
      <c r="F175" s="297" t="s">
        <v>1605</v>
      </c>
      <c r="G175" s="297" t="s">
        <v>1605</v>
      </c>
      <c r="H175" s="297" t="s">
        <v>1605</v>
      </c>
      <c r="I175" s="297" t="s">
        <v>1605</v>
      </c>
      <c r="J175" s="297" t="s">
        <v>1605</v>
      </c>
      <c r="K175" s="297" t="s">
        <v>1605</v>
      </c>
      <c r="L175" s="297" t="s">
        <v>1605</v>
      </c>
      <c r="M175" s="297" t="s">
        <v>1605</v>
      </c>
      <c r="N175" s="297" t="s">
        <v>1605</v>
      </c>
      <c r="O175" s="297" t="s">
        <v>1605</v>
      </c>
      <c r="P175" s="297" t="s">
        <v>1605</v>
      </c>
      <c r="Q175" s="297" t="s">
        <v>1605</v>
      </c>
      <c r="R175" s="298">
        <f t="shared" si="2"/>
        <v>0</v>
      </c>
      <c r="S175" s="47"/>
      <c r="T175" s="47"/>
      <c r="U175" s="47"/>
      <c r="V175" s="47"/>
      <c r="W175" s="47"/>
      <c r="X175" s="47"/>
      <c r="Y175" s="47"/>
      <c r="Z175" s="47"/>
    </row>
    <row r="176" ht="15.0" customHeight="1">
      <c r="A176" s="290">
        <f>IF(C177="","",173)</f>
        <v>173</v>
      </c>
      <c r="B176" s="122" t="str">
        <f>IF('2_Data_Pelanggan'!D176="","",'2_Data_Pelanggan'!B176)</f>
        <v>ARM-0172</v>
      </c>
      <c r="C176" s="291" t="str">
        <f>IF('2_Data_Pelanggan'!D176="","",'2_Data_Pelanggan'!D176)</f>
        <v>SHOLICHIN</v>
      </c>
      <c r="D176" s="279">
        <f>IF('2_Data_Pelanggan'!D176="","",'2_Data_Pelanggan'!M176)</f>
        <v>30</v>
      </c>
      <c r="E176" s="292">
        <f>IF('2_Data_Pelanggan'!D176="","",'2_Data_Pelanggan'!N176)</f>
        <v>142000</v>
      </c>
      <c r="F176" s="293" t="s">
        <v>1605</v>
      </c>
      <c r="G176" s="293" t="s">
        <v>1605</v>
      </c>
      <c r="H176" s="293" t="s">
        <v>1605</v>
      </c>
      <c r="I176" s="293" t="s">
        <v>1605</v>
      </c>
      <c r="J176" s="293" t="s">
        <v>1605</v>
      </c>
      <c r="K176" s="293" t="s">
        <v>1605</v>
      </c>
      <c r="L176" s="293" t="s">
        <v>1605</v>
      </c>
      <c r="M176" s="293" t="s">
        <v>1605</v>
      </c>
      <c r="N176" s="293" t="s">
        <v>1605</v>
      </c>
      <c r="O176" s="293" t="s">
        <v>1605</v>
      </c>
      <c r="P176" s="293" t="s">
        <v>1605</v>
      </c>
      <c r="Q176" s="293" t="s">
        <v>1605</v>
      </c>
      <c r="R176" s="294">
        <f t="shared" si="2"/>
        <v>0</v>
      </c>
      <c r="S176" s="47"/>
      <c r="T176" s="47"/>
      <c r="U176" s="47"/>
      <c r="V176" s="47"/>
      <c r="W176" s="47"/>
      <c r="X176" s="47"/>
      <c r="Y176" s="47"/>
      <c r="Z176" s="47"/>
    </row>
    <row r="177" ht="15.0" customHeight="1">
      <c r="A177" s="295">
        <f>IF(C178="","",174)</f>
        <v>174</v>
      </c>
      <c r="B177" s="117" t="str">
        <f>IF('2_Data_Pelanggan'!D177="","",'2_Data_Pelanggan'!B177)</f>
        <v>ARM-0173</v>
      </c>
      <c r="C177" s="296" t="str">
        <f>IF('2_Data_Pelanggan'!D177="","",'2_Data_Pelanggan'!D177)</f>
        <v>RIMBOWO</v>
      </c>
      <c r="D177" s="282">
        <f>IF('2_Data_Pelanggan'!D177="","",'2_Data_Pelanggan'!M177)</f>
        <v>20</v>
      </c>
      <c r="E177" s="292">
        <f>IF('2_Data_Pelanggan'!D177="","",'2_Data_Pelanggan'!N177)</f>
        <v>115000</v>
      </c>
      <c r="F177" s="297" t="s">
        <v>1605</v>
      </c>
      <c r="G177" s="297" t="s">
        <v>1605</v>
      </c>
      <c r="H177" s="297" t="s">
        <v>1605</v>
      </c>
      <c r="I177" s="297" t="s">
        <v>1605</v>
      </c>
      <c r="J177" s="297" t="s">
        <v>1605</v>
      </c>
      <c r="K177" s="297" t="s">
        <v>1605</v>
      </c>
      <c r="L177" s="297" t="s">
        <v>1605</v>
      </c>
      <c r="M177" s="297" t="s">
        <v>1605</v>
      </c>
      <c r="N177" s="297" t="s">
        <v>1605</v>
      </c>
      <c r="O177" s="297" t="s">
        <v>1605</v>
      </c>
      <c r="P177" s="297" t="s">
        <v>1605</v>
      </c>
      <c r="Q177" s="297" t="s">
        <v>1605</v>
      </c>
      <c r="R177" s="298">
        <f t="shared" si="2"/>
        <v>0</v>
      </c>
      <c r="S177" s="47"/>
      <c r="T177" s="47"/>
      <c r="U177" s="47"/>
      <c r="V177" s="47"/>
      <c r="W177" s="47"/>
      <c r="X177" s="47"/>
      <c r="Y177" s="47"/>
      <c r="Z177" s="47"/>
    </row>
    <row r="178" ht="15.0" customHeight="1">
      <c r="A178" s="290">
        <f>IF(C179="","",175)</f>
        <v>175</v>
      </c>
      <c r="B178" s="122" t="str">
        <f>IF('2_Data_Pelanggan'!D178="","",'2_Data_Pelanggan'!B178)</f>
        <v>ARM-0174</v>
      </c>
      <c r="C178" s="291" t="str">
        <f>IF('2_Data_Pelanggan'!D178="","",'2_Data_Pelanggan'!D178)</f>
        <v>YUDHI ROBATA</v>
      </c>
      <c r="D178" s="279">
        <f>IF('2_Data_Pelanggan'!D178="","",'2_Data_Pelanggan'!M178)</f>
        <v>20</v>
      </c>
      <c r="E178" s="292">
        <f>IF('2_Data_Pelanggan'!D178="","",'2_Data_Pelanggan'!N178)</f>
        <v>115000</v>
      </c>
      <c r="F178" s="293" t="s">
        <v>1605</v>
      </c>
      <c r="G178" s="293" t="s">
        <v>1605</v>
      </c>
      <c r="H178" s="293" t="s">
        <v>1605</v>
      </c>
      <c r="I178" s="293" t="s">
        <v>1605</v>
      </c>
      <c r="J178" s="293" t="s">
        <v>1605</v>
      </c>
      <c r="K178" s="293" t="s">
        <v>1605</v>
      </c>
      <c r="L178" s="293" t="s">
        <v>1605</v>
      </c>
      <c r="M178" s="293" t="s">
        <v>1605</v>
      </c>
      <c r="N178" s="293" t="s">
        <v>1605</v>
      </c>
      <c r="O178" s="293" t="s">
        <v>1605</v>
      </c>
      <c r="P178" s="293" t="s">
        <v>1605</v>
      </c>
      <c r="Q178" s="293" t="s">
        <v>1605</v>
      </c>
      <c r="R178" s="294">
        <f t="shared" si="2"/>
        <v>0</v>
      </c>
      <c r="S178" s="47"/>
      <c r="T178" s="47"/>
      <c r="U178" s="47"/>
      <c r="V178" s="47"/>
      <c r="W178" s="47"/>
      <c r="X178" s="47"/>
      <c r="Y178" s="47"/>
      <c r="Z178" s="47"/>
    </row>
    <row r="179" ht="15.0" customHeight="1">
      <c r="A179" s="295">
        <f>IF(C180="","",176)</f>
        <v>176</v>
      </c>
      <c r="B179" s="117" t="str">
        <f>IF('2_Data_Pelanggan'!D179="","",'2_Data_Pelanggan'!B179)</f>
        <v>ARM-0175</v>
      </c>
      <c r="C179" s="296" t="str">
        <f>IF('2_Data_Pelanggan'!D179="","",'2_Data_Pelanggan'!D179)</f>
        <v>RISTO</v>
      </c>
      <c r="D179" s="282">
        <f>IF('2_Data_Pelanggan'!D179="","",'2_Data_Pelanggan'!M179)</f>
        <v>20</v>
      </c>
      <c r="E179" s="292">
        <f>IF('2_Data_Pelanggan'!D179="","",'2_Data_Pelanggan'!N179)</f>
        <v>115000</v>
      </c>
      <c r="F179" s="297" t="s">
        <v>1605</v>
      </c>
      <c r="G179" s="297" t="s">
        <v>1605</v>
      </c>
      <c r="H179" s="297" t="s">
        <v>1605</v>
      </c>
      <c r="I179" s="297" t="s">
        <v>1605</v>
      </c>
      <c r="J179" s="297" t="s">
        <v>1605</v>
      </c>
      <c r="K179" s="297" t="s">
        <v>1605</v>
      </c>
      <c r="L179" s="297" t="s">
        <v>1605</v>
      </c>
      <c r="M179" s="297" t="s">
        <v>1605</v>
      </c>
      <c r="N179" s="297" t="s">
        <v>1605</v>
      </c>
      <c r="O179" s="297" t="s">
        <v>1605</v>
      </c>
      <c r="P179" s="297" t="s">
        <v>1605</v>
      </c>
      <c r="Q179" s="297" t="s">
        <v>1605</v>
      </c>
      <c r="R179" s="298">
        <f t="shared" si="2"/>
        <v>0</v>
      </c>
      <c r="S179" s="47"/>
      <c r="T179" s="47"/>
      <c r="U179" s="47"/>
      <c r="V179" s="47"/>
      <c r="W179" s="47"/>
      <c r="X179" s="47"/>
      <c r="Y179" s="47"/>
      <c r="Z179" s="47"/>
    </row>
    <row r="180" ht="15.0" customHeight="1">
      <c r="A180" s="290">
        <f>IF(C181="","",177)</f>
        <v>177</v>
      </c>
      <c r="B180" s="122" t="str">
        <f>IF('2_Data_Pelanggan'!D180="","",'2_Data_Pelanggan'!B180)</f>
        <v>ARM-0176</v>
      </c>
      <c r="C180" s="291" t="str">
        <f>IF('2_Data_Pelanggan'!D180="","",'2_Data_Pelanggan'!D180)</f>
        <v>SRIYANTI LESTARI</v>
      </c>
      <c r="D180" s="279">
        <f>IF('2_Data_Pelanggan'!D180="","",'2_Data_Pelanggan'!M180)</f>
        <v>20</v>
      </c>
      <c r="E180" s="292">
        <f>IF('2_Data_Pelanggan'!D180="","",'2_Data_Pelanggan'!N180)</f>
        <v>115000</v>
      </c>
      <c r="F180" s="293" t="s">
        <v>1605</v>
      </c>
      <c r="G180" s="293" t="s">
        <v>1605</v>
      </c>
      <c r="H180" s="293" t="s">
        <v>1605</v>
      </c>
      <c r="I180" s="293" t="s">
        <v>1605</v>
      </c>
      <c r="J180" s="293" t="s">
        <v>1605</v>
      </c>
      <c r="K180" s="293" t="s">
        <v>1605</v>
      </c>
      <c r="L180" s="293" t="s">
        <v>1605</v>
      </c>
      <c r="M180" s="293" t="s">
        <v>1605</v>
      </c>
      <c r="N180" s="293" t="s">
        <v>1605</v>
      </c>
      <c r="O180" s="293" t="s">
        <v>1605</v>
      </c>
      <c r="P180" s="293" t="s">
        <v>1605</v>
      </c>
      <c r="Q180" s="293" t="s">
        <v>1605</v>
      </c>
      <c r="R180" s="294">
        <f t="shared" si="2"/>
        <v>0</v>
      </c>
      <c r="S180" s="47"/>
      <c r="T180" s="47"/>
      <c r="U180" s="47"/>
      <c r="V180" s="47"/>
      <c r="W180" s="47"/>
      <c r="X180" s="47"/>
      <c r="Y180" s="47"/>
      <c r="Z180" s="47"/>
    </row>
    <row r="181" ht="15.0" customHeight="1">
      <c r="A181" s="295">
        <f>IF(C182="","",178)</f>
        <v>178</v>
      </c>
      <c r="B181" s="117" t="str">
        <f>IF('2_Data_Pelanggan'!D181="","",'2_Data_Pelanggan'!B181)</f>
        <v>ARM-0177</v>
      </c>
      <c r="C181" s="296" t="str">
        <f>IF('2_Data_Pelanggan'!D181="","",'2_Data_Pelanggan'!D181)</f>
        <v>DUSWIYATI</v>
      </c>
      <c r="D181" s="282">
        <f>IF('2_Data_Pelanggan'!D181="","",'2_Data_Pelanggan'!M181)</f>
        <v>20</v>
      </c>
      <c r="E181" s="292">
        <f>IF('2_Data_Pelanggan'!D181="","",'2_Data_Pelanggan'!N181)</f>
        <v>115000</v>
      </c>
      <c r="F181" s="297" t="s">
        <v>1605</v>
      </c>
      <c r="G181" s="297" t="s">
        <v>1605</v>
      </c>
      <c r="H181" s="297" t="s">
        <v>1605</v>
      </c>
      <c r="I181" s="297" t="s">
        <v>1605</v>
      </c>
      <c r="J181" s="297" t="s">
        <v>1605</v>
      </c>
      <c r="K181" s="297" t="s">
        <v>1605</v>
      </c>
      <c r="L181" s="297" t="s">
        <v>1605</v>
      </c>
      <c r="M181" s="297" t="s">
        <v>1605</v>
      </c>
      <c r="N181" s="297" t="s">
        <v>1605</v>
      </c>
      <c r="O181" s="297" t="s">
        <v>1605</v>
      </c>
      <c r="P181" s="297" t="s">
        <v>1605</v>
      </c>
      <c r="Q181" s="297" t="s">
        <v>1605</v>
      </c>
      <c r="R181" s="298">
        <f t="shared" si="2"/>
        <v>0</v>
      </c>
      <c r="S181" s="47"/>
      <c r="T181" s="47"/>
      <c r="U181" s="47"/>
      <c r="V181" s="47"/>
      <c r="W181" s="47"/>
      <c r="X181" s="47"/>
      <c r="Y181" s="47"/>
      <c r="Z181" s="47"/>
    </row>
    <row r="182" ht="15.0" customHeight="1">
      <c r="A182" s="290">
        <f>IF(C183="","",179)</f>
        <v>179</v>
      </c>
      <c r="B182" s="122" t="str">
        <f>IF('2_Data_Pelanggan'!D182="","",'2_Data_Pelanggan'!B182)</f>
        <v>ARM-0178</v>
      </c>
      <c r="C182" s="291" t="str">
        <f>IF('2_Data_Pelanggan'!D182="","",'2_Data_Pelanggan'!D182)</f>
        <v>WARUN WIDIYANTO</v>
      </c>
      <c r="D182" s="279">
        <f>IF('2_Data_Pelanggan'!D182="","",'2_Data_Pelanggan'!M182)</f>
        <v>20</v>
      </c>
      <c r="E182" s="292">
        <f>IF('2_Data_Pelanggan'!D182="","",'2_Data_Pelanggan'!N182)</f>
        <v>115000</v>
      </c>
      <c r="F182" s="293" t="s">
        <v>1605</v>
      </c>
      <c r="G182" s="293" t="s">
        <v>1605</v>
      </c>
      <c r="H182" s="293" t="s">
        <v>1605</v>
      </c>
      <c r="I182" s="293" t="s">
        <v>1605</v>
      </c>
      <c r="J182" s="293" t="s">
        <v>1605</v>
      </c>
      <c r="K182" s="293" t="s">
        <v>1605</v>
      </c>
      <c r="L182" s="293" t="s">
        <v>1605</v>
      </c>
      <c r="M182" s="293" t="s">
        <v>1605</v>
      </c>
      <c r="N182" s="293" t="s">
        <v>1605</v>
      </c>
      <c r="O182" s="293" t="s">
        <v>1605</v>
      </c>
      <c r="P182" s="293" t="s">
        <v>1605</v>
      </c>
      <c r="Q182" s="293" t="s">
        <v>1605</v>
      </c>
      <c r="R182" s="294">
        <f t="shared" si="2"/>
        <v>0</v>
      </c>
      <c r="S182" s="47"/>
      <c r="T182" s="47"/>
      <c r="U182" s="47"/>
      <c r="V182" s="47"/>
      <c r="W182" s="47"/>
      <c r="X182" s="47"/>
      <c r="Y182" s="47"/>
      <c r="Z182" s="47"/>
    </row>
    <row r="183" ht="15.0" customHeight="1">
      <c r="A183" s="295">
        <f>IF(C184="","",180)</f>
        <v>180</v>
      </c>
      <c r="B183" s="117" t="str">
        <f>IF('2_Data_Pelanggan'!D183="","",'2_Data_Pelanggan'!B183)</f>
        <v>ARM-0179</v>
      </c>
      <c r="C183" s="296" t="str">
        <f>IF('2_Data_Pelanggan'!D183="","",'2_Data_Pelanggan'!D183)</f>
        <v>DARYATI</v>
      </c>
      <c r="D183" s="282">
        <f>IF('2_Data_Pelanggan'!D183="","",'2_Data_Pelanggan'!M183)</f>
        <v>20</v>
      </c>
      <c r="E183" s="292">
        <f>IF('2_Data_Pelanggan'!D183="","",'2_Data_Pelanggan'!N183)</f>
        <v>115000</v>
      </c>
      <c r="F183" s="297" t="s">
        <v>1605</v>
      </c>
      <c r="G183" s="297" t="s">
        <v>1605</v>
      </c>
      <c r="H183" s="297" t="s">
        <v>1605</v>
      </c>
      <c r="I183" s="297" t="s">
        <v>1605</v>
      </c>
      <c r="J183" s="297" t="s">
        <v>1605</v>
      </c>
      <c r="K183" s="297" t="s">
        <v>1605</v>
      </c>
      <c r="L183" s="297" t="s">
        <v>1605</v>
      </c>
      <c r="M183" s="297" t="s">
        <v>1605</v>
      </c>
      <c r="N183" s="297" t="s">
        <v>1605</v>
      </c>
      <c r="O183" s="297" t="s">
        <v>1605</v>
      </c>
      <c r="P183" s="297" t="s">
        <v>1605</v>
      </c>
      <c r="Q183" s="297" t="s">
        <v>1605</v>
      </c>
      <c r="R183" s="298">
        <f t="shared" si="2"/>
        <v>0</v>
      </c>
      <c r="S183" s="47"/>
      <c r="T183" s="47"/>
      <c r="U183" s="47"/>
      <c r="V183" s="47"/>
      <c r="W183" s="47"/>
      <c r="X183" s="47"/>
      <c r="Y183" s="47"/>
      <c r="Z183" s="47"/>
    </row>
    <row r="184" ht="15.0" customHeight="1">
      <c r="A184" s="290">
        <f>IF(C185="","",181)</f>
        <v>181</v>
      </c>
      <c r="B184" s="122" t="str">
        <f>IF('2_Data_Pelanggan'!D184="","",'2_Data_Pelanggan'!B184)</f>
        <v>ARM-0180</v>
      </c>
      <c r="C184" s="291" t="str">
        <f>IF('2_Data_Pelanggan'!D184="","",'2_Data_Pelanggan'!D184)</f>
        <v>SITI SOLEHATI</v>
      </c>
      <c r="D184" s="279">
        <f>IF('2_Data_Pelanggan'!D184="","",'2_Data_Pelanggan'!M184)</f>
        <v>20</v>
      </c>
      <c r="E184" s="292">
        <f>IF('2_Data_Pelanggan'!D184="","",'2_Data_Pelanggan'!N184)</f>
        <v>115000</v>
      </c>
      <c r="F184" s="293" t="s">
        <v>1605</v>
      </c>
      <c r="G184" s="293" t="s">
        <v>1605</v>
      </c>
      <c r="H184" s="293" t="s">
        <v>1605</v>
      </c>
      <c r="I184" s="293" t="s">
        <v>1605</v>
      </c>
      <c r="J184" s="293" t="s">
        <v>1605</v>
      </c>
      <c r="K184" s="293" t="s">
        <v>1605</v>
      </c>
      <c r="L184" s="293" t="s">
        <v>1605</v>
      </c>
      <c r="M184" s="293" t="s">
        <v>1605</v>
      </c>
      <c r="N184" s="293" t="s">
        <v>1605</v>
      </c>
      <c r="O184" s="293" t="s">
        <v>1605</v>
      </c>
      <c r="P184" s="293" t="s">
        <v>1605</v>
      </c>
      <c r="Q184" s="293" t="s">
        <v>1605</v>
      </c>
      <c r="R184" s="294">
        <f t="shared" si="2"/>
        <v>0</v>
      </c>
      <c r="S184" s="47"/>
      <c r="T184" s="47"/>
      <c r="U184" s="47"/>
      <c r="V184" s="47"/>
      <c r="W184" s="47"/>
      <c r="X184" s="47"/>
      <c r="Y184" s="47"/>
      <c r="Z184" s="47"/>
    </row>
    <row r="185" ht="15.0" customHeight="1">
      <c r="A185" s="295" t="str">
        <f>IF(C186="","",182)</f>
        <v/>
      </c>
      <c r="B185" s="117" t="str">
        <f>IF('2_Data_Pelanggan'!D185="","",'2_Data_Pelanggan'!B185)</f>
        <v>ARM-0181</v>
      </c>
      <c r="C185" s="296" t="str">
        <f>IF('2_Data_Pelanggan'!D185="","",'2_Data_Pelanggan'!D185)</f>
        <v>FIKA NANDA FIRMANA</v>
      </c>
      <c r="D185" s="282">
        <f>IF('2_Data_Pelanggan'!D185="","",'2_Data_Pelanggan'!M185)</f>
        <v>20</v>
      </c>
      <c r="E185" s="292">
        <f>IF('2_Data_Pelanggan'!D185="","",'2_Data_Pelanggan'!N185)</f>
        <v>115000</v>
      </c>
      <c r="F185" s="297" t="s">
        <v>1605</v>
      </c>
      <c r="G185" s="297" t="s">
        <v>1605</v>
      </c>
      <c r="H185" s="297" t="s">
        <v>1605</v>
      </c>
      <c r="I185" s="297" t="s">
        <v>1605</v>
      </c>
      <c r="J185" s="297" t="s">
        <v>1605</v>
      </c>
      <c r="K185" s="297" t="s">
        <v>1605</v>
      </c>
      <c r="L185" s="297" t="s">
        <v>1605</v>
      </c>
      <c r="M185" s="297" t="s">
        <v>1605</v>
      </c>
      <c r="N185" s="297" t="s">
        <v>1605</v>
      </c>
      <c r="O185" s="297" t="s">
        <v>1605</v>
      </c>
      <c r="P185" s="297" t="s">
        <v>1605</v>
      </c>
      <c r="Q185" s="297" t="s">
        <v>1605</v>
      </c>
      <c r="R185" s="298">
        <f t="shared" si="2"/>
        <v>0</v>
      </c>
      <c r="S185" s="47"/>
      <c r="T185" s="47"/>
      <c r="U185" s="47"/>
      <c r="V185" s="47"/>
      <c r="W185" s="47"/>
      <c r="X185" s="47"/>
      <c r="Y185" s="47"/>
      <c r="Z185" s="47"/>
    </row>
    <row r="186" ht="15.0" customHeight="1">
      <c r="A186" s="290" t="str">
        <f>IF(C187="","",183)</f>
        <v/>
      </c>
      <c r="B186" s="122" t="str">
        <f>IF('2_Data_Pelanggan'!D186="","",'2_Data_Pelanggan'!B186)</f>
        <v/>
      </c>
      <c r="C186" s="291" t="str">
        <f>IF('2_Data_Pelanggan'!D186="","",'2_Data_Pelanggan'!D186)</f>
        <v/>
      </c>
      <c r="D186" s="279" t="str">
        <f>IF('2_Data_Pelanggan'!D186="","",'2_Data_Pelanggan'!M186)</f>
        <v/>
      </c>
      <c r="E186" s="292" t="str">
        <f>IF('2_Data_Pelanggan'!D186="","",'2_Data_Pelanggan'!N186)</f>
        <v/>
      </c>
      <c r="F186" s="293" t="s">
        <v>1605</v>
      </c>
      <c r="G186" s="293" t="s">
        <v>1605</v>
      </c>
      <c r="H186" s="293" t="s">
        <v>1605</v>
      </c>
      <c r="I186" s="293" t="s">
        <v>1605</v>
      </c>
      <c r="J186" s="293" t="s">
        <v>1605</v>
      </c>
      <c r="K186" s="293" t="s">
        <v>1605</v>
      </c>
      <c r="L186" s="293" t="s">
        <v>1605</v>
      </c>
      <c r="M186" s="293" t="s">
        <v>1605</v>
      </c>
      <c r="N186" s="293" t="s">
        <v>1605</v>
      </c>
      <c r="O186" s="293" t="s">
        <v>1605</v>
      </c>
      <c r="P186" s="293" t="s">
        <v>1605</v>
      </c>
      <c r="Q186" s="293" t="s">
        <v>1605</v>
      </c>
      <c r="R186" s="294">
        <f t="shared" si="2"/>
        <v>0</v>
      </c>
      <c r="S186" s="47"/>
      <c r="T186" s="47"/>
      <c r="U186" s="47"/>
      <c r="V186" s="47"/>
      <c r="W186" s="47"/>
      <c r="X186" s="47"/>
      <c r="Y186" s="47"/>
      <c r="Z186" s="47"/>
    </row>
    <row r="187" ht="15.0" customHeight="1">
      <c r="A187" s="295" t="str">
        <f>IF(C188="","",184)</f>
        <v/>
      </c>
      <c r="B187" s="117" t="str">
        <f>IF('2_Data_Pelanggan'!D187="","",'2_Data_Pelanggan'!B187)</f>
        <v/>
      </c>
      <c r="C187" s="296" t="str">
        <f>IF('2_Data_Pelanggan'!D187="","",'2_Data_Pelanggan'!D187)</f>
        <v/>
      </c>
      <c r="D187" s="282" t="str">
        <f>IF('2_Data_Pelanggan'!D187="","",'2_Data_Pelanggan'!M187)</f>
        <v/>
      </c>
      <c r="E187" s="292" t="str">
        <f>IF('2_Data_Pelanggan'!D187="","",'2_Data_Pelanggan'!N187)</f>
        <v/>
      </c>
      <c r="F187" s="297" t="s">
        <v>1605</v>
      </c>
      <c r="G187" s="297" t="s">
        <v>1605</v>
      </c>
      <c r="H187" s="297" t="s">
        <v>1605</v>
      </c>
      <c r="I187" s="297" t="s">
        <v>1605</v>
      </c>
      <c r="J187" s="297" t="s">
        <v>1605</v>
      </c>
      <c r="K187" s="297" t="s">
        <v>1605</v>
      </c>
      <c r="L187" s="297" t="s">
        <v>1605</v>
      </c>
      <c r="M187" s="297" t="s">
        <v>1605</v>
      </c>
      <c r="N187" s="297" t="s">
        <v>1605</v>
      </c>
      <c r="O187" s="297" t="s">
        <v>1605</v>
      </c>
      <c r="P187" s="297" t="s">
        <v>1605</v>
      </c>
      <c r="Q187" s="297" t="s">
        <v>1605</v>
      </c>
      <c r="R187" s="298">
        <f t="shared" si="2"/>
        <v>0</v>
      </c>
      <c r="S187" s="47"/>
      <c r="T187" s="47"/>
      <c r="U187" s="47"/>
      <c r="V187" s="47"/>
      <c r="W187" s="47"/>
      <c r="X187" s="47"/>
      <c r="Y187" s="47"/>
      <c r="Z187" s="47"/>
    </row>
    <row r="188" ht="15.0" customHeight="1">
      <c r="A188" s="290" t="str">
        <f>IF(C189="","",185)</f>
        <v/>
      </c>
      <c r="B188" s="122" t="str">
        <f>IF('2_Data_Pelanggan'!D188="","",'2_Data_Pelanggan'!B188)</f>
        <v/>
      </c>
      <c r="C188" s="291" t="str">
        <f>IF('2_Data_Pelanggan'!D188="","",'2_Data_Pelanggan'!D188)</f>
        <v/>
      </c>
      <c r="D188" s="279" t="str">
        <f>IF('2_Data_Pelanggan'!D188="","",'2_Data_Pelanggan'!M188)</f>
        <v/>
      </c>
      <c r="E188" s="292" t="str">
        <f>IF('2_Data_Pelanggan'!D188="","",'2_Data_Pelanggan'!N188)</f>
        <v/>
      </c>
      <c r="F188" s="293" t="s">
        <v>1605</v>
      </c>
      <c r="G188" s="293" t="s">
        <v>1605</v>
      </c>
      <c r="H188" s="293" t="s">
        <v>1605</v>
      </c>
      <c r="I188" s="293" t="s">
        <v>1605</v>
      </c>
      <c r="J188" s="293" t="s">
        <v>1605</v>
      </c>
      <c r="K188" s="293" t="s">
        <v>1605</v>
      </c>
      <c r="L188" s="293" t="s">
        <v>1605</v>
      </c>
      <c r="M188" s="293" t="s">
        <v>1605</v>
      </c>
      <c r="N188" s="293" t="s">
        <v>1605</v>
      </c>
      <c r="O188" s="293" t="s">
        <v>1605</v>
      </c>
      <c r="P188" s="293" t="s">
        <v>1605</v>
      </c>
      <c r="Q188" s="293" t="s">
        <v>1605</v>
      </c>
      <c r="R188" s="294">
        <f t="shared" si="2"/>
        <v>0</v>
      </c>
      <c r="S188" s="47"/>
      <c r="T188" s="47"/>
      <c r="U188" s="47"/>
      <c r="V188" s="47"/>
      <c r="W188" s="47"/>
      <c r="X188" s="47"/>
      <c r="Y188" s="47"/>
      <c r="Z188" s="47"/>
    </row>
    <row r="189" ht="15.0" customHeight="1">
      <c r="A189" s="295" t="str">
        <f>IF(C190="","",186)</f>
        <v/>
      </c>
      <c r="B189" s="117" t="str">
        <f>IF('2_Data_Pelanggan'!D189="","",'2_Data_Pelanggan'!B189)</f>
        <v/>
      </c>
      <c r="C189" s="296" t="str">
        <f>IF('2_Data_Pelanggan'!D189="","",'2_Data_Pelanggan'!D189)</f>
        <v/>
      </c>
      <c r="D189" s="282" t="str">
        <f>IF('2_Data_Pelanggan'!D189="","",'2_Data_Pelanggan'!M189)</f>
        <v/>
      </c>
      <c r="E189" s="292" t="str">
        <f>IF('2_Data_Pelanggan'!D189="","",'2_Data_Pelanggan'!N189)</f>
        <v/>
      </c>
      <c r="F189" s="297" t="s">
        <v>1605</v>
      </c>
      <c r="G189" s="297" t="s">
        <v>1605</v>
      </c>
      <c r="H189" s="297" t="s">
        <v>1605</v>
      </c>
      <c r="I189" s="297" t="s">
        <v>1605</v>
      </c>
      <c r="J189" s="297" t="s">
        <v>1605</v>
      </c>
      <c r="K189" s="297" t="s">
        <v>1605</v>
      </c>
      <c r="L189" s="297" t="s">
        <v>1605</v>
      </c>
      <c r="M189" s="297" t="s">
        <v>1605</v>
      </c>
      <c r="N189" s="297" t="s">
        <v>1605</v>
      </c>
      <c r="O189" s="297" t="s">
        <v>1605</v>
      </c>
      <c r="P189" s="297" t="s">
        <v>1605</v>
      </c>
      <c r="Q189" s="297" t="s">
        <v>1605</v>
      </c>
      <c r="R189" s="298">
        <f t="shared" si="2"/>
        <v>0</v>
      </c>
      <c r="S189" s="47"/>
      <c r="T189" s="47"/>
      <c r="U189" s="47"/>
      <c r="V189" s="47"/>
      <c r="W189" s="47"/>
      <c r="X189" s="47"/>
      <c r="Y189" s="47"/>
      <c r="Z189" s="47"/>
    </row>
    <row r="190" ht="15.0" customHeight="1">
      <c r="A190" s="290" t="str">
        <f>IF(C191="","",187)</f>
        <v/>
      </c>
      <c r="B190" s="122" t="str">
        <f>IF('2_Data_Pelanggan'!D190="","",'2_Data_Pelanggan'!B190)</f>
        <v/>
      </c>
      <c r="C190" s="291" t="str">
        <f>IF('2_Data_Pelanggan'!D190="","",'2_Data_Pelanggan'!D190)</f>
        <v/>
      </c>
      <c r="D190" s="279" t="str">
        <f>IF('2_Data_Pelanggan'!D190="","",'2_Data_Pelanggan'!M190)</f>
        <v/>
      </c>
      <c r="E190" s="292" t="str">
        <f>IF('2_Data_Pelanggan'!D190="","",'2_Data_Pelanggan'!N190)</f>
        <v/>
      </c>
      <c r="F190" s="293" t="s">
        <v>1605</v>
      </c>
      <c r="G190" s="293" t="s">
        <v>1605</v>
      </c>
      <c r="H190" s="293" t="s">
        <v>1605</v>
      </c>
      <c r="I190" s="293" t="s">
        <v>1605</v>
      </c>
      <c r="J190" s="293" t="s">
        <v>1605</v>
      </c>
      <c r="K190" s="293" t="s">
        <v>1605</v>
      </c>
      <c r="L190" s="293" t="s">
        <v>1605</v>
      </c>
      <c r="M190" s="293" t="s">
        <v>1605</v>
      </c>
      <c r="N190" s="293" t="s">
        <v>1605</v>
      </c>
      <c r="O190" s="293" t="s">
        <v>1605</v>
      </c>
      <c r="P190" s="293" t="s">
        <v>1605</v>
      </c>
      <c r="Q190" s="293" t="s">
        <v>1605</v>
      </c>
      <c r="R190" s="294">
        <f t="shared" si="2"/>
        <v>0</v>
      </c>
      <c r="S190" s="47"/>
      <c r="T190" s="47"/>
      <c r="U190" s="47"/>
      <c r="V190" s="47"/>
      <c r="W190" s="47"/>
      <c r="X190" s="47"/>
      <c r="Y190" s="47"/>
      <c r="Z190" s="47"/>
    </row>
    <row r="191" ht="15.0" customHeight="1">
      <c r="A191" s="295" t="str">
        <f>IF(C192="","",188)</f>
        <v/>
      </c>
      <c r="B191" s="117" t="str">
        <f>IF('2_Data_Pelanggan'!D191="","",'2_Data_Pelanggan'!B191)</f>
        <v/>
      </c>
      <c r="C191" s="296" t="str">
        <f>IF('2_Data_Pelanggan'!D191="","",'2_Data_Pelanggan'!D191)</f>
        <v/>
      </c>
      <c r="D191" s="282" t="str">
        <f>IF('2_Data_Pelanggan'!D191="","",'2_Data_Pelanggan'!M191)</f>
        <v/>
      </c>
      <c r="E191" s="292" t="str">
        <f>IF('2_Data_Pelanggan'!D191="","",'2_Data_Pelanggan'!N191)</f>
        <v/>
      </c>
      <c r="F191" s="297" t="s">
        <v>1605</v>
      </c>
      <c r="G191" s="297" t="s">
        <v>1605</v>
      </c>
      <c r="H191" s="297" t="s">
        <v>1605</v>
      </c>
      <c r="I191" s="297" t="s">
        <v>1605</v>
      </c>
      <c r="J191" s="297" t="s">
        <v>1605</v>
      </c>
      <c r="K191" s="297" t="s">
        <v>1605</v>
      </c>
      <c r="L191" s="297" t="s">
        <v>1605</v>
      </c>
      <c r="M191" s="297" t="s">
        <v>1605</v>
      </c>
      <c r="N191" s="297" t="s">
        <v>1605</v>
      </c>
      <c r="O191" s="297" t="s">
        <v>1605</v>
      </c>
      <c r="P191" s="297" t="s">
        <v>1605</v>
      </c>
      <c r="Q191" s="297" t="s">
        <v>1605</v>
      </c>
      <c r="R191" s="298">
        <f t="shared" si="2"/>
        <v>0</v>
      </c>
      <c r="S191" s="47"/>
      <c r="T191" s="47"/>
      <c r="U191" s="47"/>
      <c r="V191" s="47"/>
      <c r="W191" s="47"/>
      <c r="X191" s="47"/>
      <c r="Y191" s="47"/>
      <c r="Z191" s="47"/>
    </row>
    <row r="192" ht="15.0" customHeight="1">
      <c r="A192" s="290" t="str">
        <f>IF(C193="","",189)</f>
        <v/>
      </c>
      <c r="B192" s="122" t="str">
        <f>IF('2_Data_Pelanggan'!D192="","",'2_Data_Pelanggan'!B192)</f>
        <v/>
      </c>
      <c r="C192" s="291" t="str">
        <f>IF('2_Data_Pelanggan'!D192="","",'2_Data_Pelanggan'!D192)</f>
        <v/>
      </c>
      <c r="D192" s="279" t="str">
        <f>IF('2_Data_Pelanggan'!D192="","",'2_Data_Pelanggan'!M192)</f>
        <v/>
      </c>
      <c r="E192" s="292" t="str">
        <f>IF('2_Data_Pelanggan'!D192="","",'2_Data_Pelanggan'!N192)</f>
        <v/>
      </c>
      <c r="F192" s="293" t="s">
        <v>1605</v>
      </c>
      <c r="G192" s="293" t="s">
        <v>1605</v>
      </c>
      <c r="H192" s="293" t="s">
        <v>1605</v>
      </c>
      <c r="I192" s="293" t="s">
        <v>1605</v>
      </c>
      <c r="J192" s="293" t="s">
        <v>1605</v>
      </c>
      <c r="K192" s="293" t="s">
        <v>1605</v>
      </c>
      <c r="L192" s="293" t="s">
        <v>1605</v>
      </c>
      <c r="M192" s="293" t="s">
        <v>1605</v>
      </c>
      <c r="N192" s="293" t="s">
        <v>1605</v>
      </c>
      <c r="O192" s="293" t="s">
        <v>1605</v>
      </c>
      <c r="P192" s="293" t="s">
        <v>1605</v>
      </c>
      <c r="Q192" s="293" t="s">
        <v>1605</v>
      </c>
      <c r="R192" s="294">
        <f t="shared" si="2"/>
        <v>0</v>
      </c>
      <c r="S192" s="47"/>
      <c r="T192" s="47"/>
      <c r="U192" s="47"/>
      <c r="V192" s="47"/>
      <c r="W192" s="47"/>
      <c r="X192" s="47"/>
      <c r="Y192" s="47"/>
      <c r="Z192" s="47"/>
    </row>
    <row r="193" ht="15.0" customHeight="1">
      <c r="A193" s="295" t="str">
        <f>IF(C194="","",190)</f>
        <v/>
      </c>
      <c r="B193" s="117" t="str">
        <f>IF('2_Data_Pelanggan'!D193="","",'2_Data_Pelanggan'!B193)</f>
        <v/>
      </c>
      <c r="C193" s="296" t="str">
        <f>IF('2_Data_Pelanggan'!D193="","",'2_Data_Pelanggan'!D193)</f>
        <v/>
      </c>
      <c r="D193" s="282" t="str">
        <f>IF('2_Data_Pelanggan'!D193="","",'2_Data_Pelanggan'!M193)</f>
        <v/>
      </c>
      <c r="E193" s="292" t="str">
        <f>IF('2_Data_Pelanggan'!D193="","",'2_Data_Pelanggan'!N193)</f>
        <v/>
      </c>
      <c r="F193" s="297" t="s">
        <v>1605</v>
      </c>
      <c r="G193" s="297" t="s">
        <v>1605</v>
      </c>
      <c r="H193" s="297" t="s">
        <v>1605</v>
      </c>
      <c r="I193" s="297" t="s">
        <v>1605</v>
      </c>
      <c r="J193" s="297" t="s">
        <v>1605</v>
      </c>
      <c r="K193" s="297" t="s">
        <v>1605</v>
      </c>
      <c r="L193" s="297" t="s">
        <v>1605</v>
      </c>
      <c r="M193" s="297" t="s">
        <v>1605</v>
      </c>
      <c r="N193" s="297" t="s">
        <v>1605</v>
      </c>
      <c r="O193" s="297" t="s">
        <v>1605</v>
      </c>
      <c r="P193" s="297" t="s">
        <v>1605</v>
      </c>
      <c r="Q193" s="297" t="s">
        <v>1605</v>
      </c>
      <c r="R193" s="298">
        <f t="shared" si="2"/>
        <v>0</v>
      </c>
      <c r="S193" s="47"/>
      <c r="T193" s="47"/>
      <c r="U193" s="47"/>
      <c r="V193" s="47"/>
      <c r="W193" s="47"/>
      <c r="X193" s="47"/>
      <c r="Y193" s="47"/>
      <c r="Z193" s="47"/>
    </row>
    <row r="194" ht="15.0" customHeight="1">
      <c r="A194" s="290" t="str">
        <f>IF(C195="","",191)</f>
        <v/>
      </c>
      <c r="B194" s="122" t="str">
        <f>IF('2_Data_Pelanggan'!D194="","",'2_Data_Pelanggan'!B194)</f>
        <v/>
      </c>
      <c r="C194" s="291" t="str">
        <f>IF('2_Data_Pelanggan'!D194="","",'2_Data_Pelanggan'!D194)</f>
        <v/>
      </c>
      <c r="D194" s="279" t="str">
        <f>IF('2_Data_Pelanggan'!D194="","",'2_Data_Pelanggan'!M194)</f>
        <v/>
      </c>
      <c r="E194" s="292" t="str">
        <f>IF('2_Data_Pelanggan'!D194="","",'2_Data_Pelanggan'!N194)</f>
        <v/>
      </c>
      <c r="F194" s="293" t="s">
        <v>1605</v>
      </c>
      <c r="G194" s="293" t="s">
        <v>1605</v>
      </c>
      <c r="H194" s="293" t="s">
        <v>1605</v>
      </c>
      <c r="I194" s="293" t="s">
        <v>1605</v>
      </c>
      <c r="J194" s="293" t="s">
        <v>1605</v>
      </c>
      <c r="K194" s="293" t="s">
        <v>1605</v>
      </c>
      <c r="L194" s="293" t="s">
        <v>1605</v>
      </c>
      <c r="M194" s="293" t="s">
        <v>1605</v>
      </c>
      <c r="N194" s="293" t="s">
        <v>1605</v>
      </c>
      <c r="O194" s="293" t="s">
        <v>1605</v>
      </c>
      <c r="P194" s="293" t="s">
        <v>1605</v>
      </c>
      <c r="Q194" s="293" t="s">
        <v>1605</v>
      </c>
      <c r="R194" s="294">
        <f t="shared" si="2"/>
        <v>0</v>
      </c>
      <c r="S194" s="47"/>
      <c r="T194" s="47"/>
      <c r="U194" s="47"/>
      <c r="V194" s="47"/>
      <c r="W194" s="47"/>
      <c r="X194" s="47"/>
      <c r="Y194" s="47"/>
      <c r="Z194" s="47"/>
    </row>
    <row r="195" ht="15.0" customHeight="1">
      <c r="A195" s="295" t="str">
        <f>IF(C196="","",192)</f>
        <v/>
      </c>
      <c r="B195" s="117" t="str">
        <f>IF('2_Data_Pelanggan'!D195="","",'2_Data_Pelanggan'!B195)</f>
        <v/>
      </c>
      <c r="C195" s="296" t="str">
        <f>IF('2_Data_Pelanggan'!D195="","",'2_Data_Pelanggan'!D195)</f>
        <v/>
      </c>
      <c r="D195" s="282" t="str">
        <f>IF('2_Data_Pelanggan'!D195="","",'2_Data_Pelanggan'!M195)</f>
        <v/>
      </c>
      <c r="E195" s="292" t="str">
        <f>IF('2_Data_Pelanggan'!D195="","",'2_Data_Pelanggan'!N195)</f>
        <v/>
      </c>
      <c r="F195" s="297" t="s">
        <v>1605</v>
      </c>
      <c r="G195" s="297" t="s">
        <v>1605</v>
      </c>
      <c r="H195" s="297" t="s">
        <v>1605</v>
      </c>
      <c r="I195" s="297" t="s">
        <v>1605</v>
      </c>
      <c r="J195" s="297" t="s">
        <v>1605</v>
      </c>
      <c r="K195" s="297" t="s">
        <v>1605</v>
      </c>
      <c r="L195" s="297" t="s">
        <v>1605</v>
      </c>
      <c r="M195" s="297" t="s">
        <v>1605</v>
      </c>
      <c r="N195" s="297" t="s">
        <v>1605</v>
      </c>
      <c r="O195" s="297" t="s">
        <v>1605</v>
      </c>
      <c r="P195" s="297" t="s">
        <v>1605</v>
      </c>
      <c r="Q195" s="297" t="s">
        <v>1605</v>
      </c>
      <c r="R195" s="298">
        <f t="shared" si="2"/>
        <v>0</v>
      </c>
      <c r="S195" s="47"/>
      <c r="T195" s="47"/>
      <c r="U195" s="47"/>
      <c r="V195" s="47"/>
      <c r="W195" s="47"/>
      <c r="X195" s="47"/>
      <c r="Y195" s="47"/>
      <c r="Z195" s="47"/>
    </row>
    <row r="196" ht="15.0" customHeight="1">
      <c r="A196" s="290" t="str">
        <f>IF(C197="","",193)</f>
        <v/>
      </c>
      <c r="B196" s="122" t="str">
        <f>IF('2_Data_Pelanggan'!D196="","",'2_Data_Pelanggan'!B196)</f>
        <v/>
      </c>
      <c r="C196" s="291" t="str">
        <f>IF('2_Data_Pelanggan'!D196="","",'2_Data_Pelanggan'!D196)</f>
        <v/>
      </c>
      <c r="D196" s="279" t="str">
        <f>IF('2_Data_Pelanggan'!D196="","",'2_Data_Pelanggan'!M196)</f>
        <v/>
      </c>
      <c r="E196" s="292" t="str">
        <f>IF('2_Data_Pelanggan'!D196="","",'2_Data_Pelanggan'!N196)</f>
        <v/>
      </c>
      <c r="F196" s="293" t="s">
        <v>1605</v>
      </c>
      <c r="G196" s="293" t="s">
        <v>1605</v>
      </c>
      <c r="H196" s="293" t="s">
        <v>1605</v>
      </c>
      <c r="I196" s="293" t="s">
        <v>1605</v>
      </c>
      <c r="J196" s="293" t="s">
        <v>1605</v>
      </c>
      <c r="K196" s="293" t="s">
        <v>1605</v>
      </c>
      <c r="L196" s="293" t="s">
        <v>1605</v>
      </c>
      <c r="M196" s="293" t="s">
        <v>1605</v>
      </c>
      <c r="N196" s="293" t="s">
        <v>1605</v>
      </c>
      <c r="O196" s="293" t="s">
        <v>1605</v>
      </c>
      <c r="P196" s="293" t="s">
        <v>1605</v>
      </c>
      <c r="Q196" s="293" t="s">
        <v>1605</v>
      </c>
      <c r="R196" s="294">
        <f t="shared" si="2"/>
        <v>0</v>
      </c>
      <c r="S196" s="47"/>
      <c r="T196" s="47"/>
      <c r="U196" s="47"/>
      <c r="V196" s="47"/>
      <c r="W196" s="47"/>
      <c r="X196" s="47"/>
      <c r="Y196" s="47"/>
      <c r="Z196" s="47"/>
    </row>
    <row r="197" ht="15.0" customHeight="1">
      <c r="A197" s="295" t="str">
        <f>IF(C198="","",194)</f>
        <v/>
      </c>
      <c r="B197" s="117" t="str">
        <f>IF('2_Data_Pelanggan'!D197="","",'2_Data_Pelanggan'!B197)</f>
        <v/>
      </c>
      <c r="C197" s="296" t="str">
        <f>IF('2_Data_Pelanggan'!D197="","",'2_Data_Pelanggan'!D197)</f>
        <v/>
      </c>
      <c r="D197" s="282" t="str">
        <f>IF('2_Data_Pelanggan'!D197="","",'2_Data_Pelanggan'!M197)</f>
        <v/>
      </c>
      <c r="E197" s="292" t="str">
        <f>IF('2_Data_Pelanggan'!D197="","",'2_Data_Pelanggan'!N197)</f>
        <v/>
      </c>
      <c r="F197" s="297" t="s">
        <v>1605</v>
      </c>
      <c r="G197" s="297" t="s">
        <v>1605</v>
      </c>
      <c r="H197" s="297" t="s">
        <v>1605</v>
      </c>
      <c r="I197" s="297" t="s">
        <v>1605</v>
      </c>
      <c r="J197" s="297" t="s">
        <v>1605</v>
      </c>
      <c r="K197" s="297" t="s">
        <v>1605</v>
      </c>
      <c r="L197" s="297" t="s">
        <v>1605</v>
      </c>
      <c r="M197" s="297" t="s">
        <v>1605</v>
      </c>
      <c r="N197" s="297" t="s">
        <v>1605</v>
      </c>
      <c r="O197" s="297" t="s">
        <v>1605</v>
      </c>
      <c r="P197" s="297" t="s">
        <v>1605</v>
      </c>
      <c r="Q197" s="297" t="s">
        <v>1605</v>
      </c>
      <c r="R197" s="298">
        <f t="shared" si="2"/>
        <v>0</v>
      </c>
      <c r="S197" s="47"/>
      <c r="T197" s="47"/>
      <c r="U197" s="47"/>
      <c r="V197" s="47"/>
      <c r="W197" s="47"/>
      <c r="X197" s="47"/>
      <c r="Y197" s="47"/>
      <c r="Z197" s="47"/>
    </row>
    <row r="198" ht="15.0" customHeight="1">
      <c r="A198" s="290" t="str">
        <f>IF(C199="","",195)</f>
        <v/>
      </c>
      <c r="B198" s="122" t="str">
        <f>IF('2_Data_Pelanggan'!D198="","",'2_Data_Pelanggan'!B198)</f>
        <v/>
      </c>
      <c r="C198" s="291" t="str">
        <f>IF('2_Data_Pelanggan'!D198="","",'2_Data_Pelanggan'!D198)</f>
        <v/>
      </c>
      <c r="D198" s="279" t="str">
        <f>IF('2_Data_Pelanggan'!D198="","",'2_Data_Pelanggan'!M198)</f>
        <v/>
      </c>
      <c r="E198" s="292" t="str">
        <f>IF('2_Data_Pelanggan'!D198="","",'2_Data_Pelanggan'!N198)</f>
        <v/>
      </c>
      <c r="F198" s="293" t="s">
        <v>1605</v>
      </c>
      <c r="G198" s="293" t="s">
        <v>1605</v>
      </c>
      <c r="H198" s="293" t="s">
        <v>1605</v>
      </c>
      <c r="I198" s="293" t="s">
        <v>1605</v>
      </c>
      <c r="J198" s="293" t="s">
        <v>1605</v>
      </c>
      <c r="K198" s="293" t="s">
        <v>1605</v>
      </c>
      <c r="L198" s="293" t="s">
        <v>1605</v>
      </c>
      <c r="M198" s="293" t="s">
        <v>1605</v>
      </c>
      <c r="N198" s="293" t="s">
        <v>1605</v>
      </c>
      <c r="O198" s="293" t="s">
        <v>1605</v>
      </c>
      <c r="P198" s="293" t="s">
        <v>1605</v>
      </c>
      <c r="Q198" s="293" t="s">
        <v>1605</v>
      </c>
      <c r="R198" s="294">
        <f t="shared" si="2"/>
        <v>0</v>
      </c>
      <c r="S198" s="47"/>
      <c r="T198" s="47"/>
      <c r="U198" s="47"/>
      <c r="V198" s="47"/>
      <c r="W198" s="47"/>
      <c r="X198" s="47"/>
      <c r="Y198" s="47"/>
      <c r="Z198" s="47"/>
    </row>
    <row r="199" ht="15.0" customHeight="1">
      <c r="A199" s="295" t="str">
        <f>IF(C200="","",196)</f>
        <v/>
      </c>
      <c r="B199" s="117" t="str">
        <f>IF('2_Data_Pelanggan'!D199="","",'2_Data_Pelanggan'!B199)</f>
        <v/>
      </c>
      <c r="C199" s="296" t="str">
        <f>IF('2_Data_Pelanggan'!D199="","",'2_Data_Pelanggan'!D199)</f>
        <v/>
      </c>
      <c r="D199" s="282" t="str">
        <f>IF('2_Data_Pelanggan'!D199="","",'2_Data_Pelanggan'!M199)</f>
        <v/>
      </c>
      <c r="E199" s="292" t="str">
        <f>IF('2_Data_Pelanggan'!D199="","",'2_Data_Pelanggan'!N199)</f>
        <v/>
      </c>
      <c r="F199" s="297" t="s">
        <v>1605</v>
      </c>
      <c r="G199" s="297" t="s">
        <v>1605</v>
      </c>
      <c r="H199" s="297" t="s">
        <v>1605</v>
      </c>
      <c r="I199" s="297" t="s">
        <v>1605</v>
      </c>
      <c r="J199" s="297" t="s">
        <v>1605</v>
      </c>
      <c r="K199" s="297" t="s">
        <v>1605</v>
      </c>
      <c r="L199" s="297" t="s">
        <v>1605</v>
      </c>
      <c r="M199" s="297" t="s">
        <v>1605</v>
      </c>
      <c r="N199" s="297" t="s">
        <v>1605</v>
      </c>
      <c r="O199" s="297" t="s">
        <v>1605</v>
      </c>
      <c r="P199" s="297" t="s">
        <v>1605</v>
      </c>
      <c r="Q199" s="297" t="s">
        <v>1605</v>
      </c>
      <c r="R199" s="298">
        <f t="shared" si="2"/>
        <v>0</v>
      </c>
      <c r="S199" s="47"/>
      <c r="T199" s="47"/>
      <c r="U199" s="47"/>
      <c r="V199" s="47"/>
      <c r="W199" s="47"/>
      <c r="X199" s="47"/>
      <c r="Y199" s="47"/>
      <c r="Z199" s="47"/>
    </row>
    <row r="200" ht="15.0" customHeight="1">
      <c r="A200" s="290" t="str">
        <f>IF(C201="","",197)</f>
        <v/>
      </c>
      <c r="B200" s="122" t="str">
        <f>IF('2_Data_Pelanggan'!D200="","",'2_Data_Pelanggan'!B200)</f>
        <v/>
      </c>
      <c r="C200" s="291" t="str">
        <f>IF('2_Data_Pelanggan'!D200="","",'2_Data_Pelanggan'!D200)</f>
        <v/>
      </c>
      <c r="D200" s="279" t="str">
        <f>IF('2_Data_Pelanggan'!D200="","",'2_Data_Pelanggan'!M200)</f>
        <v/>
      </c>
      <c r="E200" s="292" t="str">
        <f>IF('2_Data_Pelanggan'!D200="","",'2_Data_Pelanggan'!N200)</f>
        <v/>
      </c>
      <c r="F200" s="293" t="s">
        <v>1605</v>
      </c>
      <c r="G200" s="293" t="s">
        <v>1605</v>
      </c>
      <c r="H200" s="293" t="s">
        <v>1605</v>
      </c>
      <c r="I200" s="293" t="s">
        <v>1605</v>
      </c>
      <c r="J200" s="293" t="s">
        <v>1605</v>
      </c>
      <c r="K200" s="293" t="s">
        <v>1605</v>
      </c>
      <c r="L200" s="293" t="s">
        <v>1605</v>
      </c>
      <c r="M200" s="293" t="s">
        <v>1605</v>
      </c>
      <c r="N200" s="293" t="s">
        <v>1605</v>
      </c>
      <c r="O200" s="293" t="s">
        <v>1605</v>
      </c>
      <c r="P200" s="293" t="s">
        <v>1605</v>
      </c>
      <c r="Q200" s="293" t="s">
        <v>1605</v>
      </c>
      <c r="R200" s="294">
        <f t="shared" si="2"/>
        <v>0</v>
      </c>
      <c r="S200" s="47"/>
      <c r="T200" s="47"/>
      <c r="U200" s="47"/>
      <c r="V200" s="47"/>
      <c r="W200" s="47"/>
      <c r="X200" s="47"/>
      <c r="Y200" s="47"/>
      <c r="Z200" s="47"/>
    </row>
    <row r="201" ht="15.0" customHeight="1">
      <c r="A201" s="295" t="str">
        <f>IF(C202="","",198)</f>
        <v/>
      </c>
      <c r="B201" s="117" t="str">
        <f>IF('2_Data_Pelanggan'!D201="","",'2_Data_Pelanggan'!B201)</f>
        <v/>
      </c>
      <c r="C201" s="296" t="str">
        <f>IF('2_Data_Pelanggan'!D201="","",'2_Data_Pelanggan'!D201)</f>
        <v/>
      </c>
      <c r="D201" s="282" t="str">
        <f>IF('2_Data_Pelanggan'!D201="","",'2_Data_Pelanggan'!M201)</f>
        <v/>
      </c>
      <c r="E201" s="292" t="str">
        <f>IF('2_Data_Pelanggan'!D201="","",'2_Data_Pelanggan'!N201)</f>
        <v/>
      </c>
      <c r="F201" s="297" t="s">
        <v>1605</v>
      </c>
      <c r="G201" s="297" t="s">
        <v>1605</v>
      </c>
      <c r="H201" s="297" t="s">
        <v>1605</v>
      </c>
      <c r="I201" s="297" t="s">
        <v>1605</v>
      </c>
      <c r="J201" s="297" t="s">
        <v>1605</v>
      </c>
      <c r="K201" s="297" t="s">
        <v>1605</v>
      </c>
      <c r="L201" s="297" t="s">
        <v>1605</v>
      </c>
      <c r="M201" s="297" t="s">
        <v>1605</v>
      </c>
      <c r="N201" s="297" t="s">
        <v>1605</v>
      </c>
      <c r="O201" s="297" t="s">
        <v>1605</v>
      </c>
      <c r="P201" s="297" t="s">
        <v>1605</v>
      </c>
      <c r="Q201" s="297" t="s">
        <v>1605</v>
      </c>
      <c r="R201" s="298">
        <f t="shared" si="2"/>
        <v>0</v>
      </c>
      <c r="S201" s="47"/>
      <c r="T201" s="47"/>
      <c r="U201" s="47"/>
      <c r="V201" s="47"/>
      <c r="W201" s="47"/>
      <c r="X201" s="47"/>
      <c r="Y201" s="47"/>
      <c r="Z201" s="47"/>
    </row>
    <row r="202" ht="15.0" customHeight="1">
      <c r="A202" s="290" t="str">
        <f>IF(C203="","",199)</f>
        <v/>
      </c>
      <c r="B202" s="122" t="str">
        <f>IF('2_Data_Pelanggan'!D202="","",'2_Data_Pelanggan'!B202)</f>
        <v/>
      </c>
      <c r="C202" s="291" t="str">
        <f>IF('2_Data_Pelanggan'!D202="","",'2_Data_Pelanggan'!D202)</f>
        <v/>
      </c>
      <c r="D202" s="279" t="str">
        <f>IF('2_Data_Pelanggan'!D202="","",'2_Data_Pelanggan'!M202)</f>
        <v/>
      </c>
      <c r="E202" s="292" t="str">
        <f>IF('2_Data_Pelanggan'!D202="","",'2_Data_Pelanggan'!N202)</f>
        <v/>
      </c>
      <c r="F202" s="293" t="s">
        <v>1605</v>
      </c>
      <c r="G202" s="293" t="s">
        <v>1605</v>
      </c>
      <c r="H202" s="293" t="s">
        <v>1605</v>
      </c>
      <c r="I202" s="293" t="s">
        <v>1605</v>
      </c>
      <c r="J202" s="293" t="s">
        <v>1605</v>
      </c>
      <c r="K202" s="293" t="s">
        <v>1605</v>
      </c>
      <c r="L202" s="293" t="s">
        <v>1605</v>
      </c>
      <c r="M202" s="293" t="s">
        <v>1605</v>
      </c>
      <c r="N202" s="293" t="s">
        <v>1605</v>
      </c>
      <c r="O202" s="293" t="s">
        <v>1605</v>
      </c>
      <c r="P202" s="293" t="s">
        <v>1605</v>
      </c>
      <c r="Q202" s="293" t="s">
        <v>1605</v>
      </c>
      <c r="R202" s="294">
        <f t="shared" si="2"/>
        <v>0</v>
      </c>
      <c r="S202" s="47"/>
      <c r="T202" s="47"/>
      <c r="U202" s="47"/>
      <c r="V202" s="47"/>
      <c r="W202" s="47"/>
      <c r="X202" s="47"/>
      <c r="Y202" s="47"/>
      <c r="Z202" s="47"/>
    </row>
    <row r="203" ht="15.0" customHeight="1">
      <c r="A203" s="295" t="str">
        <f>IF(C204="","",200)</f>
        <v/>
      </c>
      <c r="B203" s="117" t="str">
        <f>IF('2_Data_Pelanggan'!D203="","",'2_Data_Pelanggan'!B203)</f>
        <v/>
      </c>
      <c r="C203" s="296" t="str">
        <f>IF('2_Data_Pelanggan'!D203="","",'2_Data_Pelanggan'!D203)</f>
        <v/>
      </c>
      <c r="D203" s="282" t="str">
        <f>IF('2_Data_Pelanggan'!D203="","",'2_Data_Pelanggan'!M203)</f>
        <v/>
      </c>
      <c r="E203" s="292" t="str">
        <f>IF('2_Data_Pelanggan'!D203="","",'2_Data_Pelanggan'!N203)</f>
        <v/>
      </c>
      <c r="F203" s="297" t="s">
        <v>1605</v>
      </c>
      <c r="G203" s="297" t="s">
        <v>1605</v>
      </c>
      <c r="H203" s="297" t="s">
        <v>1605</v>
      </c>
      <c r="I203" s="297" t="s">
        <v>1605</v>
      </c>
      <c r="J203" s="297" t="s">
        <v>1605</v>
      </c>
      <c r="K203" s="297" t="s">
        <v>1605</v>
      </c>
      <c r="L203" s="297" t="s">
        <v>1605</v>
      </c>
      <c r="M203" s="297" t="s">
        <v>1605</v>
      </c>
      <c r="N203" s="297" t="s">
        <v>1605</v>
      </c>
      <c r="O203" s="297" t="s">
        <v>1605</v>
      </c>
      <c r="P203" s="297" t="s">
        <v>1605</v>
      </c>
      <c r="Q203" s="297" t="s">
        <v>1605</v>
      </c>
      <c r="R203" s="298">
        <f t="shared" si="2"/>
        <v>0</v>
      </c>
      <c r="S203" s="47"/>
      <c r="T203" s="47"/>
      <c r="U203" s="47"/>
      <c r="V203" s="47"/>
      <c r="W203" s="47"/>
      <c r="X203" s="47"/>
      <c r="Y203" s="47"/>
      <c r="Z203" s="47"/>
    </row>
    <row r="204" ht="15.0" customHeight="1">
      <c r="A204" s="290" t="str">
        <f>IF(C205="","",201)</f>
        <v/>
      </c>
      <c r="B204" s="122" t="str">
        <f>IF('2_Data_Pelanggan'!D204="","",'2_Data_Pelanggan'!B204)</f>
        <v/>
      </c>
      <c r="C204" s="291" t="str">
        <f>IF('2_Data_Pelanggan'!D204="","",'2_Data_Pelanggan'!D204)</f>
        <v/>
      </c>
      <c r="D204" s="279" t="str">
        <f>IF('2_Data_Pelanggan'!D204="","",'2_Data_Pelanggan'!M204)</f>
        <v/>
      </c>
      <c r="E204" s="292" t="str">
        <f>IF('2_Data_Pelanggan'!D204="","",'2_Data_Pelanggan'!N204)</f>
        <v/>
      </c>
      <c r="F204" s="293" t="s">
        <v>1605</v>
      </c>
      <c r="G204" s="293" t="s">
        <v>1605</v>
      </c>
      <c r="H204" s="293" t="s">
        <v>1605</v>
      </c>
      <c r="I204" s="293" t="s">
        <v>1605</v>
      </c>
      <c r="J204" s="293" t="s">
        <v>1605</v>
      </c>
      <c r="K204" s="293" t="s">
        <v>1605</v>
      </c>
      <c r="L204" s="293" t="s">
        <v>1605</v>
      </c>
      <c r="M204" s="293" t="s">
        <v>1605</v>
      </c>
      <c r="N204" s="293" t="s">
        <v>1605</v>
      </c>
      <c r="O204" s="293" t="s">
        <v>1605</v>
      </c>
      <c r="P204" s="293" t="s">
        <v>1605</v>
      </c>
      <c r="Q204" s="293" t="s">
        <v>1605</v>
      </c>
      <c r="R204" s="294">
        <f t="shared" si="2"/>
        <v>0</v>
      </c>
      <c r="S204" s="47"/>
      <c r="T204" s="47"/>
      <c r="U204" s="47"/>
      <c r="V204" s="47"/>
      <c r="W204" s="47"/>
      <c r="X204" s="47"/>
      <c r="Y204" s="47"/>
      <c r="Z204" s="47"/>
    </row>
    <row r="205" ht="15.0" customHeight="1">
      <c r="A205" s="295" t="str">
        <f>IF(C206="","",202)</f>
        <v/>
      </c>
      <c r="B205" s="117" t="str">
        <f>IF('2_Data_Pelanggan'!D205="","",'2_Data_Pelanggan'!B205)</f>
        <v/>
      </c>
      <c r="C205" s="296" t="str">
        <f>IF('2_Data_Pelanggan'!D205="","",'2_Data_Pelanggan'!D205)</f>
        <v/>
      </c>
      <c r="D205" s="282" t="str">
        <f>IF('2_Data_Pelanggan'!D205="","",'2_Data_Pelanggan'!M205)</f>
        <v/>
      </c>
      <c r="E205" s="292" t="str">
        <f>IF('2_Data_Pelanggan'!D205="","",'2_Data_Pelanggan'!N205)</f>
        <v/>
      </c>
      <c r="F205" s="297" t="s">
        <v>1605</v>
      </c>
      <c r="G205" s="297" t="s">
        <v>1605</v>
      </c>
      <c r="H205" s="297" t="s">
        <v>1605</v>
      </c>
      <c r="I205" s="297" t="s">
        <v>1605</v>
      </c>
      <c r="J205" s="297" t="s">
        <v>1605</v>
      </c>
      <c r="K205" s="297" t="s">
        <v>1605</v>
      </c>
      <c r="L205" s="297" t="s">
        <v>1605</v>
      </c>
      <c r="M205" s="297" t="s">
        <v>1605</v>
      </c>
      <c r="N205" s="297" t="s">
        <v>1605</v>
      </c>
      <c r="O205" s="297" t="s">
        <v>1605</v>
      </c>
      <c r="P205" s="297" t="s">
        <v>1605</v>
      </c>
      <c r="Q205" s="297" t="s">
        <v>1605</v>
      </c>
      <c r="R205" s="298">
        <f t="shared" si="2"/>
        <v>0</v>
      </c>
      <c r="S205" s="47"/>
      <c r="T205" s="47"/>
      <c r="U205" s="47"/>
      <c r="V205" s="47"/>
      <c r="W205" s="47"/>
      <c r="X205" s="47"/>
      <c r="Y205" s="47"/>
      <c r="Z205" s="47"/>
    </row>
    <row r="206" ht="15.0" customHeight="1">
      <c r="A206" s="290" t="str">
        <f>IF(C207="","",203)</f>
        <v/>
      </c>
      <c r="B206" s="122" t="str">
        <f>IF('2_Data_Pelanggan'!D206="","",'2_Data_Pelanggan'!B206)</f>
        <v/>
      </c>
      <c r="C206" s="291" t="str">
        <f>IF('2_Data_Pelanggan'!D206="","",'2_Data_Pelanggan'!D206)</f>
        <v/>
      </c>
      <c r="D206" s="279" t="str">
        <f>IF('2_Data_Pelanggan'!D206="","",'2_Data_Pelanggan'!M206)</f>
        <v/>
      </c>
      <c r="E206" s="292" t="str">
        <f>IF('2_Data_Pelanggan'!D206="","",'2_Data_Pelanggan'!N206)</f>
        <v/>
      </c>
      <c r="F206" s="293" t="s">
        <v>1605</v>
      </c>
      <c r="G206" s="293" t="s">
        <v>1605</v>
      </c>
      <c r="H206" s="293" t="s">
        <v>1605</v>
      </c>
      <c r="I206" s="293" t="s">
        <v>1605</v>
      </c>
      <c r="J206" s="293" t="s">
        <v>1605</v>
      </c>
      <c r="K206" s="293" t="s">
        <v>1605</v>
      </c>
      <c r="L206" s="293" t="s">
        <v>1605</v>
      </c>
      <c r="M206" s="293" t="s">
        <v>1605</v>
      </c>
      <c r="N206" s="293" t="s">
        <v>1605</v>
      </c>
      <c r="O206" s="293" t="s">
        <v>1605</v>
      </c>
      <c r="P206" s="293" t="s">
        <v>1605</v>
      </c>
      <c r="Q206" s="293" t="s">
        <v>1605</v>
      </c>
      <c r="R206" s="294">
        <f t="shared" si="2"/>
        <v>0</v>
      </c>
      <c r="S206" s="47"/>
      <c r="T206" s="47"/>
      <c r="U206" s="47"/>
      <c r="V206" s="47"/>
      <c r="W206" s="47"/>
      <c r="X206" s="47"/>
      <c r="Y206" s="47"/>
      <c r="Z206" s="47"/>
    </row>
    <row r="207" ht="15.0" customHeight="1">
      <c r="A207" s="295">
        <f>IF(C208="","",204)</f>
        <v>204</v>
      </c>
      <c r="B207" s="117" t="str">
        <f>IF('2_Data_Pelanggan'!D207="","",'2_Data_Pelanggan'!B207)</f>
        <v/>
      </c>
      <c r="C207" s="296" t="str">
        <f>IF('2_Data_Pelanggan'!D207="","",'2_Data_Pelanggan'!D207)</f>
        <v/>
      </c>
      <c r="D207" s="282" t="str">
        <f>IF('2_Data_Pelanggan'!D207="","",'2_Data_Pelanggan'!M207)</f>
        <v/>
      </c>
      <c r="E207" s="292" t="str">
        <f>IF('2_Data_Pelanggan'!D207="","",'2_Data_Pelanggan'!N207)</f>
        <v/>
      </c>
      <c r="F207" s="297" t="s">
        <v>1605</v>
      </c>
      <c r="G207" s="297" t="s">
        <v>1605</v>
      </c>
      <c r="H207" s="297" t="s">
        <v>1605</v>
      </c>
      <c r="I207" s="297" t="s">
        <v>1605</v>
      </c>
      <c r="J207" s="297" t="s">
        <v>1605</v>
      </c>
      <c r="K207" s="297" t="s">
        <v>1605</v>
      </c>
      <c r="L207" s="297" t="s">
        <v>1605</v>
      </c>
      <c r="M207" s="297" t="s">
        <v>1605</v>
      </c>
      <c r="N207" s="297" t="s">
        <v>1605</v>
      </c>
      <c r="O207" s="297" t="s">
        <v>1605</v>
      </c>
      <c r="P207" s="297" t="s">
        <v>1605</v>
      </c>
      <c r="Q207" s="297" t="s">
        <v>1605</v>
      </c>
      <c r="R207" s="298">
        <f t="shared" si="2"/>
        <v>98748927</v>
      </c>
      <c r="S207" s="47"/>
      <c r="T207" s="47"/>
      <c r="U207" s="47"/>
      <c r="V207" s="47"/>
      <c r="W207" s="47"/>
      <c r="X207" s="47"/>
      <c r="Y207" s="47"/>
      <c r="Z207" s="47"/>
    </row>
    <row r="208" ht="15.0" customHeight="1">
      <c r="A208" s="301"/>
      <c r="B208" s="301"/>
      <c r="C208" s="265" t="s">
        <v>1889</v>
      </c>
      <c r="D208" s="301"/>
      <c r="E208" s="47"/>
      <c r="F208" s="302">
        <f t="shared" ref="F208:Q208" si="3">SUM(F5:F207)</f>
        <v>0</v>
      </c>
      <c r="G208" s="302">
        <f t="shared" si="3"/>
        <v>0</v>
      </c>
      <c r="H208" s="302">
        <f t="shared" si="3"/>
        <v>0</v>
      </c>
      <c r="I208" s="302">
        <f t="shared" si="3"/>
        <v>0</v>
      </c>
      <c r="J208" s="302">
        <f t="shared" si="3"/>
        <v>4456018</v>
      </c>
      <c r="K208" s="302">
        <f t="shared" si="3"/>
        <v>13608969</v>
      </c>
      <c r="L208" s="302">
        <f t="shared" si="3"/>
        <v>15569418</v>
      </c>
      <c r="M208" s="302">
        <f t="shared" si="3"/>
        <v>13023573</v>
      </c>
      <c r="N208" s="302">
        <f t="shared" si="3"/>
        <v>13023573</v>
      </c>
      <c r="O208" s="302">
        <f t="shared" si="3"/>
        <v>13023573</v>
      </c>
      <c r="P208" s="302">
        <f t="shared" si="3"/>
        <v>13022457</v>
      </c>
      <c r="Q208" s="302">
        <f t="shared" si="3"/>
        <v>13021346</v>
      </c>
      <c r="R208" s="255">
        <f t="shared" si="2"/>
        <v>0</v>
      </c>
      <c r="S208" s="47"/>
      <c r="T208" s="47"/>
      <c r="U208" s="47"/>
      <c r="V208" s="47"/>
      <c r="W208" s="47"/>
      <c r="X208" s="47"/>
      <c r="Y208" s="47"/>
      <c r="Z208" s="47"/>
    </row>
    <row r="209" ht="15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4:$Q$208"/>
  <mergeCells count="2">
    <mergeCell ref="A1:Q1"/>
    <mergeCell ref="A2:Q2"/>
  </mergeCells>
  <conditionalFormatting sqref="F4">
    <cfRule type="expression" dxfId="4" priority="1">
      <formula>MONTH(TODAY())=1</formula>
    </cfRule>
  </conditionalFormatting>
  <conditionalFormatting sqref="F5:F208">
    <cfRule type="expression" dxfId="5" priority="2">
      <formula>MONTH(TODAY())=1</formula>
    </cfRule>
  </conditionalFormatting>
  <conditionalFormatting sqref="F209">
    <cfRule type="expression" dxfId="4" priority="3">
      <formula>MONTH(TODAY())=1</formula>
    </cfRule>
  </conditionalFormatting>
  <conditionalFormatting sqref="G4">
    <cfRule type="expression" dxfId="4" priority="4">
      <formula>MONTH(TODAY())=2</formula>
    </cfRule>
  </conditionalFormatting>
  <conditionalFormatting sqref="G5:G208">
    <cfRule type="expression" dxfId="5" priority="5">
      <formula>MONTH(TODAY())=2</formula>
    </cfRule>
  </conditionalFormatting>
  <conditionalFormatting sqref="G209">
    <cfRule type="expression" dxfId="4" priority="6">
      <formula>MONTH(TODAY())=2</formula>
    </cfRule>
  </conditionalFormatting>
  <conditionalFormatting sqref="H4">
    <cfRule type="expression" dxfId="4" priority="7">
      <formula>MONTH(TODAY())=3</formula>
    </cfRule>
  </conditionalFormatting>
  <conditionalFormatting sqref="H5:H208">
    <cfRule type="expression" dxfId="5" priority="8">
      <formula>MONTH(TODAY())=3</formula>
    </cfRule>
  </conditionalFormatting>
  <conditionalFormatting sqref="H209">
    <cfRule type="expression" dxfId="4" priority="9">
      <formula>MONTH(TODAY())=3</formula>
    </cfRule>
  </conditionalFormatting>
  <conditionalFormatting sqref="I4">
    <cfRule type="expression" dxfId="4" priority="10">
      <formula>MONTH(TODAY())=4</formula>
    </cfRule>
  </conditionalFormatting>
  <conditionalFormatting sqref="I5:I208">
    <cfRule type="expression" dxfId="5" priority="11">
      <formula>MONTH(TODAY())=4</formula>
    </cfRule>
  </conditionalFormatting>
  <conditionalFormatting sqref="I209">
    <cfRule type="expression" dxfId="4" priority="12">
      <formula>MONTH(TODAY())=4</formula>
    </cfRule>
  </conditionalFormatting>
  <conditionalFormatting sqref="J4">
    <cfRule type="expression" dxfId="4" priority="13">
      <formula>MONTH(TODAY())=5</formula>
    </cfRule>
  </conditionalFormatting>
  <conditionalFormatting sqref="J5:J208">
    <cfRule type="expression" dxfId="5" priority="14">
      <formula>MONTH(TODAY())=5</formula>
    </cfRule>
  </conditionalFormatting>
  <conditionalFormatting sqref="J209">
    <cfRule type="expression" dxfId="4" priority="15">
      <formula>MONTH(TODAY())=5</formula>
    </cfRule>
  </conditionalFormatting>
  <conditionalFormatting sqref="K4">
    <cfRule type="expression" dxfId="4" priority="16">
      <formula>MONTH(TODAY())=6</formula>
    </cfRule>
  </conditionalFormatting>
  <conditionalFormatting sqref="K5:K208">
    <cfRule type="expression" dxfId="5" priority="17">
      <formula>MONTH(TODAY())=6</formula>
    </cfRule>
  </conditionalFormatting>
  <conditionalFormatting sqref="K209">
    <cfRule type="expression" dxfId="4" priority="18">
      <formula>MONTH(TODAY())=6</formula>
    </cfRule>
  </conditionalFormatting>
  <conditionalFormatting sqref="L4">
    <cfRule type="expression" dxfId="4" priority="19">
      <formula>MONTH(TODAY())=7</formula>
    </cfRule>
  </conditionalFormatting>
  <conditionalFormatting sqref="L5:L208">
    <cfRule type="expression" dxfId="5" priority="20">
      <formula>MONTH(TODAY())=7</formula>
    </cfRule>
  </conditionalFormatting>
  <conditionalFormatting sqref="L209">
    <cfRule type="expression" dxfId="4" priority="21">
      <formula>MONTH(TODAY())=7</formula>
    </cfRule>
  </conditionalFormatting>
  <conditionalFormatting sqref="M4">
    <cfRule type="expression" dxfId="4" priority="22">
      <formula>MONTH(TODAY())=8</formula>
    </cfRule>
  </conditionalFormatting>
  <conditionalFormatting sqref="M5:M208">
    <cfRule type="expression" dxfId="5" priority="23">
      <formula>MONTH(TODAY())=8</formula>
    </cfRule>
  </conditionalFormatting>
  <conditionalFormatting sqref="M209">
    <cfRule type="expression" dxfId="4" priority="24">
      <formula>MONTH(TODAY())=8</formula>
    </cfRule>
  </conditionalFormatting>
  <conditionalFormatting sqref="N4">
    <cfRule type="expression" dxfId="4" priority="25">
      <formula>MONTH(TODAY())=9</formula>
    </cfRule>
  </conditionalFormatting>
  <conditionalFormatting sqref="N5:N208">
    <cfRule type="expression" dxfId="5" priority="26">
      <formula>MONTH(TODAY())=9</formula>
    </cfRule>
  </conditionalFormatting>
  <conditionalFormatting sqref="N209">
    <cfRule type="expression" dxfId="4" priority="27">
      <formula>MONTH(TODAY())=9</formula>
    </cfRule>
  </conditionalFormatting>
  <conditionalFormatting sqref="O4">
    <cfRule type="expression" dxfId="4" priority="28">
      <formula>MONTH(TODAY())=10</formula>
    </cfRule>
  </conditionalFormatting>
  <conditionalFormatting sqref="O5:O208">
    <cfRule type="expression" dxfId="5" priority="29">
      <formula>MONTH(TODAY())=10</formula>
    </cfRule>
  </conditionalFormatting>
  <conditionalFormatting sqref="O209">
    <cfRule type="expression" dxfId="4" priority="30">
      <formula>MONTH(TODAY())=10</formula>
    </cfRule>
  </conditionalFormatting>
  <conditionalFormatting sqref="P4">
    <cfRule type="expression" dxfId="4" priority="31">
      <formula>MONTH(TODAY())=11</formula>
    </cfRule>
  </conditionalFormatting>
  <conditionalFormatting sqref="P5:P208">
    <cfRule type="expression" dxfId="5" priority="32">
      <formula>MONTH(TODAY())=11</formula>
    </cfRule>
  </conditionalFormatting>
  <conditionalFormatting sqref="P209">
    <cfRule type="expression" dxfId="4" priority="33">
      <formula>MONTH(TODAY())=11</formula>
    </cfRule>
  </conditionalFormatting>
  <conditionalFormatting sqref="Q4">
    <cfRule type="expression" dxfId="4" priority="34">
      <formula>MONTH(TODAY())=12</formula>
    </cfRule>
  </conditionalFormatting>
  <conditionalFormatting sqref="Q5:Q208">
    <cfRule type="expression" dxfId="5" priority="35">
      <formula>MONTH(TODAY())=12</formula>
    </cfRule>
  </conditionalFormatting>
  <conditionalFormatting sqref="Q209">
    <cfRule type="expression" dxfId="4" priority="36">
      <formula>MONTH(TODAY())=12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11.0"/>
    <col customWidth="1" min="4" max="4" width="14.0"/>
    <col customWidth="1" min="5" max="5" width="24.0"/>
    <col customWidth="1" min="6" max="6" width="16.0"/>
    <col customWidth="1" min="7" max="26" width="8.71"/>
  </cols>
  <sheetData>
    <row r="1">
      <c r="A1" s="47"/>
      <c r="B1" s="47"/>
      <c r="C1" s="47"/>
      <c r="D1" s="47"/>
      <c r="E1" s="47"/>
      <c r="F1" s="47"/>
      <c r="G1" s="47"/>
    </row>
    <row r="2" ht="21.75" customHeight="1">
      <c r="A2" s="47"/>
      <c r="B2" s="303" t="s">
        <v>1890</v>
      </c>
      <c r="C2" s="304"/>
      <c r="D2" s="305"/>
      <c r="E2" s="306" t="s">
        <v>1891</v>
      </c>
      <c r="F2" s="69"/>
      <c r="G2" s="47"/>
    </row>
    <row r="3" ht="15.75" customHeight="1">
      <c r="A3" s="47"/>
      <c r="B3" s="307"/>
      <c r="C3" s="308"/>
      <c r="D3" s="309"/>
      <c r="E3" s="310" t="str">
        <f>IF(OR($C$9="",$C$10=""),"Periode: -","Periode: "&amp;CHOOSE($C$9,"Januari","Februari","Maret","April","Mei","Juni","Juli","Agustus","September","Oktober","November","Desember")&amp;" "&amp;$C$10)</f>
        <v>Periode: Juli 2026</v>
      </c>
      <c r="F3" s="69"/>
      <c r="G3" s="47"/>
    </row>
    <row r="4" ht="15.0" customHeight="1">
      <c r="A4" s="47"/>
      <c r="B4" s="311" t="s">
        <v>1892</v>
      </c>
      <c r="G4" s="47"/>
    </row>
    <row r="5">
      <c r="A5" s="47"/>
      <c r="B5" s="47"/>
      <c r="C5" s="47"/>
      <c r="D5" s="47"/>
      <c r="E5" s="47"/>
      <c r="F5" s="47"/>
      <c r="G5" s="47"/>
    </row>
    <row r="6" ht="15.0" customHeight="1">
      <c r="A6" s="47"/>
      <c r="B6" s="312" t="s">
        <v>1893</v>
      </c>
      <c r="G6" s="47"/>
    </row>
    <row r="7" ht="15.0" customHeight="1">
      <c r="A7" s="47"/>
      <c r="B7" s="313" t="s">
        <v>1894</v>
      </c>
      <c r="C7" s="314"/>
      <c r="D7" s="47"/>
      <c r="E7" s="313" t="s">
        <v>1895</v>
      </c>
      <c r="F7" s="315" t="str">
        <f>IF($C$11="","-",IF(DATEDIF($C$11,DATE($C$10,$C$9,1),"y")=0,DATEDIF($C$11,DATE($C$10,$C$9,1),"ym")&amp;" bulan",DATEDIF($C$11,DATE($C$10,$C$9,1),"y")&amp;" thn "&amp;DATEDIF($C$11,DATE($C$10,$C$9,1),"ym")&amp;" bln"))</f>
        <v>-</v>
      </c>
      <c r="G7" s="47"/>
    </row>
    <row r="8" ht="15.0" customHeight="1">
      <c r="A8" s="47"/>
      <c r="B8" s="313" t="s">
        <v>1896</v>
      </c>
      <c r="C8" s="314" t="s">
        <v>1897</v>
      </c>
      <c r="D8" s="47"/>
      <c r="E8" s="313" t="s">
        <v>1898</v>
      </c>
      <c r="F8" s="316">
        <f>TODAY()</f>
        <v>46223</v>
      </c>
      <c r="G8" s="47"/>
    </row>
    <row r="9" ht="15.0" customHeight="1">
      <c r="A9" s="47"/>
      <c r="B9" s="313" t="s">
        <v>1899</v>
      </c>
      <c r="C9" s="314">
        <v>7.0</v>
      </c>
      <c r="D9" s="47"/>
      <c r="E9" s="313" t="s">
        <v>1900</v>
      </c>
      <c r="F9" s="317">
        <v>40000.0</v>
      </c>
      <c r="G9" s="47"/>
    </row>
    <row r="10" ht="15.0" customHeight="1">
      <c r="A10" s="47"/>
      <c r="B10" s="313" t="s">
        <v>1901</v>
      </c>
      <c r="C10" s="314">
        <v>2026.0</v>
      </c>
      <c r="D10" s="47"/>
      <c r="E10" s="313" t="s">
        <v>1902</v>
      </c>
      <c r="F10" s="314"/>
      <c r="G10" s="47"/>
    </row>
    <row r="11" ht="15.0" customHeight="1">
      <c r="A11" s="47"/>
      <c r="B11" s="313" t="s">
        <v>1903</v>
      </c>
      <c r="C11" s="318"/>
      <c r="D11" s="47"/>
      <c r="E11" s="47"/>
      <c r="F11" s="47"/>
      <c r="G11" s="47"/>
    </row>
    <row r="12" ht="15.0" customHeight="1">
      <c r="A12" s="47"/>
      <c r="B12" s="313" t="s">
        <v>166</v>
      </c>
      <c r="C12" s="314" t="s">
        <v>1904</v>
      </c>
      <c r="D12" s="47"/>
      <c r="E12" s="47"/>
      <c r="F12" s="47"/>
      <c r="G12" s="47"/>
    </row>
    <row r="13">
      <c r="A13" s="47"/>
      <c r="B13" s="47"/>
      <c r="C13" s="47"/>
      <c r="D13" s="47"/>
      <c r="E13" s="47"/>
      <c r="F13" s="47"/>
      <c r="G13" s="47"/>
    </row>
    <row r="14" ht="19.5" customHeight="1">
      <c r="A14" s="47"/>
      <c r="B14" s="192" t="s">
        <v>1905</v>
      </c>
      <c r="C14" s="192" t="s">
        <v>1906</v>
      </c>
      <c r="D14" s="192" t="s">
        <v>1907</v>
      </c>
      <c r="E14" s="192" t="s">
        <v>1908</v>
      </c>
      <c r="F14" s="319" t="s">
        <v>1771</v>
      </c>
      <c r="G14" s="47"/>
    </row>
    <row r="15" ht="15.0" customHeight="1">
      <c r="A15" s="47"/>
      <c r="B15" s="320" t="s">
        <v>1909</v>
      </c>
      <c r="C15" s="321">
        <v>1.0</v>
      </c>
      <c r="D15" s="322">
        <v>1300000.0</v>
      </c>
      <c r="E15" s="323" t="s">
        <v>1910</v>
      </c>
      <c r="F15" s="324">
        <f t="shared" ref="F15:F18" si="1">C15*D15</f>
        <v>1300000</v>
      </c>
      <c r="G15" s="47"/>
    </row>
    <row r="16" ht="15.0" customHeight="1">
      <c r="A16" s="47"/>
      <c r="B16" s="320" t="s">
        <v>1911</v>
      </c>
      <c r="C16" s="321"/>
      <c r="D16" s="325">
        <f>IF($F$10=0,0,$F$9/$F$10)</f>
        <v>0</v>
      </c>
      <c r="E16" s="323" t="str">
        <f>IF($F$10="","(isi Jumlah Teknisi Pasang di F10)","Rp"&amp;TEXT($F$9,"#,##0")&amp;" dibagi "&amp;$F$10&amp;" teknisi")</f>
        <v>(isi Jumlah Teknisi Pasang di F10)</v>
      </c>
      <c r="F16" s="324">
        <f t="shared" si="1"/>
        <v>0</v>
      </c>
      <c r="G16" s="47"/>
    </row>
    <row r="17" ht="15.0" customHeight="1">
      <c r="A17" s="47"/>
      <c r="B17" s="320" t="s">
        <v>1912</v>
      </c>
      <c r="C17" s="321"/>
      <c r="D17" s="322">
        <v>5000.0</v>
      </c>
      <c r="E17" s="323" t="s">
        <v>1913</v>
      </c>
      <c r="F17" s="324">
        <f t="shared" si="1"/>
        <v>0</v>
      </c>
      <c r="G17" s="47"/>
    </row>
    <row r="18" ht="15.0" customHeight="1">
      <c r="A18" s="47"/>
      <c r="B18" s="320" t="s">
        <v>1914</v>
      </c>
      <c r="C18" s="321"/>
      <c r="D18" s="322">
        <v>20000.0</v>
      </c>
      <c r="E18" s="323" t="s">
        <v>1915</v>
      </c>
      <c r="F18" s="324">
        <f t="shared" si="1"/>
        <v>0</v>
      </c>
      <c r="G18" s="47"/>
    </row>
    <row r="19" ht="15.0" customHeight="1">
      <c r="A19" s="47"/>
      <c r="B19" s="326" t="s">
        <v>1916</v>
      </c>
      <c r="C19" s="327"/>
      <c r="D19" s="327"/>
      <c r="E19" s="327"/>
      <c r="F19" s="328">
        <f>SUM(F15:F18)</f>
        <v>1300000</v>
      </c>
      <c r="G19" s="47"/>
    </row>
    <row r="20" ht="15.0" customHeight="1">
      <c r="A20" s="47"/>
      <c r="B20" s="329" t="s">
        <v>1917</v>
      </c>
      <c r="C20" s="47"/>
      <c r="D20" s="47"/>
      <c r="E20" s="47"/>
      <c r="F20" s="47"/>
      <c r="G20" s="47"/>
    </row>
    <row r="21" ht="15.0" customHeight="1">
      <c r="A21" s="47"/>
      <c r="B21" s="330" t="s">
        <v>1918</v>
      </c>
      <c r="C21" s="331"/>
      <c r="D21" s="322"/>
      <c r="E21" s="332" t="s">
        <v>1919</v>
      </c>
      <c r="F21" s="333">
        <f t="shared" ref="F21:F22" si="2">IF(D21="",0,-D21)</f>
        <v>0</v>
      </c>
      <c r="G21" s="47"/>
    </row>
    <row r="22" ht="15.0" customHeight="1">
      <c r="A22" s="47"/>
      <c r="B22" s="330" t="s">
        <v>1920</v>
      </c>
      <c r="C22" s="331"/>
      <c r="D22" s="322"/>
      <c r="E22" s="332"/>
      <c r="F22" s="333">
        <f t="shared" si="2"/>
        <v>0</v>
      </c>
      <c r="G22" s="47"/>
    </row>
    <row r="23" ht="15.0" customHeight="1">
      <c r="A23" s="47"/>
      <c r="B23" s="334" t="s">
        <v>1921</v>
      </c>
      <c r="C23" s="327"/>
      <c r="D23" s="327"/>
      <c r="E23" s="327"/>
      <c r="F23" s="335">
        <f>SUM(F21:F22)</f>
        <v>0</v>
      </c>
      <c r="G23" s="47"/>
    </row>
    <row r="24" ht="15.75" customHeight="1">
      <c r="A24" s="47"/>
      <c r="B24" s="47"/>
      <c r="C24" s="47"/>
      <c r="D24" s="47"/>
      <c r="E24" s="47"/>
      <c r="F24" s="47"/>
      <c r="G24" s="47"/>
    </row>
    <row r="25" ht="25.5" customHeight="1">
      <c r="A25" s="47"/>
      <c r="B25" s="336" t="s">
        <v>1922</v>
      </c>
      <c r="C25" s="21"/>
      <c r="D25" s="21"/>
      <c r="E25" s="4"/>
      <c r="F25" s="337">
        <f>F19+F23</f>
        <v>1300000</v>
      </c>
      <c r="G25" s="47"/>
    </row>
    <row r="26" ht="15.75" customHeight="1">
      <c r="A26" s="47"/>
      <c r="B26" s="47"/>
      <c r="C26" s="47"/>
      <c r="D26" s="47"/>
      <c r="E26" s="47"/>
      <c r="F26" s="47"/>
      <c r="G26" s="47"/>
    </row>
    <row r="27" ht="15.0" customHeight="1">
      <c r="A27" s="47"/>
      <c r="B27" s="338" t="s">
        <v>1923</v>
      </c>
      <c r="C27" s="47"/>
      <c r="D27" s="47"/>
      <c r="E27" s="47"/>
      <c r="F27" s="47"/>
      <c r="G27" s="47"/>
    </row>
    <row r="28" ht="15.0" customHeight="1">
      <c r="A28" s="47"/>
      <c r="B28" s="338" t="s">
        <v>1924</v>
      </c>
      <c r="G28" s="47"/>
    </row>
    <row r="29" ht="15.0" customHeight="1">
      <c r="A29" s="47"/>
      <c r="B29" s="338" t="s">
        <v>1925</v>
      </c>
      <c r="G29" s="47"/>
    </row>
    <row r="30" ht="15.0" customHeight="1">
      <c r="A30" s="47"/>
      <c r="B30" s="338" t="s">
        <v>1926</v>
      </c>
      <c r="G30" s="47"/>
    </row>
    <row r="31" ht="15.0" customHeight="1">
      <c r="A31" s="47"/>
      <c r="B31" s="338" t="s">
        <v>1927</v>
      </c>
      <c r="G31" s="47"/>
    </row>
    <row r="32" ht="15.75" customHeight="1">
      <c r="A32" s="47"/>
      <c r="B32" s="47"/>
      <c r="C32" s="47"/>
      <c r="D32" s="47"/>
      <c r="E32" s="47"/>
      <c r="F32" s="47"/>
      <c r="G32" s="47"/>
    </row>
    <row r="33" ht="15.0" customHeight="1">
      <c r="A33" s="47"/>
      <c r="B33" s="339" t="s">
        <v>1928</v>
      </c>
      <c r="C33" s="47"/>
      <c r="D33" s="47"/>
      <c r="E33" s="339" t="s">
        <v>1929</v>
      </c>
      <c r="F33" s="47"/>
      <c r="G33" s="47"/>
    </row>
    <row r="34" ht="15.75" customHeight="1">
      <c r="A34" s="47"/>
      <c r="B34" s="47"/>
      <c r="C34" s="47"/>
      <c r="D34" s="47"/>
      <c r="E34" s="47"/>
      <c r="F34" s="47"/>
      <c r="G34" s="47"/>
    </row>
    <row r="35" ht="15.75" customHeight="1">
      <c r="A35" s="47"/>
      <c r="B35" s="47"/>
      <c r="C35" s="47"/>
      <c r="D35" s="47"/>
      <c r="E35" s="47"/>
      <c r="F35" s="47"/>
      <c r="G35" s="47"/>
    </row>
    <row r="36" ht="15.75" customHeight="1">
      <c r="A36" s="47"/>
      <c r="B36" s="47"/>
      <c r="C36" s="47"/>
      <c r="D36" s="47"/>
      <c r="E36" s="47"/>
      <c r="F36" s="47"/>
      <c r="G36" s="47"/>
    </row>
    <row r="37" ht="15.0" customHeight="1">
      <c r="A37" s="47"/>
      <c r="B37" s="340" t="str">
        <f>IF($C$7="","(...................)",$C$7)</f>
        <v>(...................)</v>
      </c>
      <c r="C37" s="47"/>
      <c r="D37" s="47"/>
      <c r="E37" s="341" t="s">
        <v>1890</v>
      </c>
      <c r="F37" s="47"/>
      <c r="G37" s="47"/>
    </row>
    <row r="38" ht="15.75" customHeight="1">
      <c r="A38" s="47"/>
      <c r="B38" s="47"/>
      <c r="C38" s="47"/>
      <c r="D38" s="47"/>
      <c r="E38" s="47"/>
      <c r="F38" s="47"/>
      <c r="G38" s="47"/>
    </row>
    <row r="39" ht="15.75" customHeight="1">
      <c r="A39" s="47"/>
      <c r="B39" s="47"/>
      <c r="C39" s="47"/>
      <c r="D39" s="47"/>
      <c r="E39" s="47"/>
      <c r="F39" s="47"/>
      <c r="G39" s="47"/>
    </row>
    <row r="40" ht="15.0" customHeight="1">
      <c r="A40" s="47"/>
      <c r="B40" s="312" t="s">
        <v>1930</v>
      </c>
      <c r="G40" s="47"/>
    </row>
    <row r="41" ht="24.0" customHeight="1">
      <c r="A41" s="47"/>
      <c r="B41" s="342" t="s">
        <v>1931</v>
      </c>
      <c r="C41" s="343" t="s">
        <v>1932</v>
      </c>
      <c r="G41" s="47"/>
    </row>
    <row r="42" ht="24.0" customHeight="1">
      <c r="A42" s="47"/>
      <c r="B42" s="342" t="s">
        <v>1933</v>
      </c>
      <c r="C42" s="343" t="s">
        <v>1934</v>
      </c>
      <c r="G42" s="47"/>
    </row>
    <row r="43" ht="24.0" customHeight="1">
      <c r="A43" s="47"/>
      <c r="B43" s="342" t="s">
        <v>1935</v>
      </c>
      <c r="C43" s="343" t="s">
        <v>1936</v>
      </c>
      <c r="G43" s="47"/>
    </row>
    <row r="44" ht="24.0" customHeight="1">
      <c r="A44" s="47"/>
      <c r="B44" s="342" t="s">
        <v>1937</v>
      </c>
      <c r="C44" s="343" t="s">
        <v>1938</v>
      </c>
      <c r="G44" s="47"/>
    </row>
    <row r="45" ht="24.0" customHeight="1">
      <c r="A45" s="47"/>
      <c r="B45" s="342" t="s">
        <v>1939</v>
      </c>
      <c r="C45" s="343" t="s">
        <v>1940</v>
      </c>
      <c r="G45" s="47"/>
    </row>
    <row r="46" ht="24.0" customHeight="1">
      <c r="A46" s="47"/>
      <c r="B46" s="342" t="s">
        <v>1941</v>
      </c>
      <c r="C46" s="343" t="s">
        <v>1942</v>
      </c>
      <c r="G46" s="47"/>
    </row>
    <row r="47" ht="15.75" customHeight="1">
      <c r="A47" s="47"/>
      <c r="B47" s="47"/>
      <c r="C47" s="47"/>
      <c r="D47" s="47"/>
      <c r="E47" s="47"/>
      <c r="F47" s="47"/>
      <c r="G47" s="47"/>
    </row>
    <row r="48" ht="15.75" customHeight="1">
      <c r="A48" s="47"/>
      <c r="B48" s="47"/>
      <c r="C48" s="47"/>
      <c r="D48" s="47"/>
      <c r="E48" s="47"/>
      <c r="F48" s="47"/>
      <c r="G48" s="47"/>
    </row>
    <row r="49" ht="15.75" customHeight="1">
      <c r="A49" s="47"/>
      <c r="B49" s="47"/>
      <c r="C49" s="47"/>
      <c r="D49" s="47"/>
      <c r="E49" s="47"/>
      <c r="F49" s="47"/>
      <c r="G49" s="47"/>
    </row>
    <row r="50" ht="15.75" customHeight="1">
      <c r="A50" s="47"/>
      <c r="B50" s="47"/>
      <c r="C50" s="47"/>
      <c r="D50" s="47"/>
      <c r="E50" s="47"/>
      <c r="F50" s="47"/>
      <c r="G50" s="47"/>
    </row>
    <row r="51" ht="15.75" customHeight="1">
      <c r="A51" s="47"/>
      <c r="B51" s="47"/>
      <c r="C51" s="47"/>
      <c r="D51" s="47"/>
      <c r="E51" s="47"/>
      <c r="F51" s="47"/>
      <c r="G51" s="47"/>
    </row>
    <row r="52" ht="15.75" customHeight="1">
      <c r="A52" s="47"/>
      <c r="B52" s="47"/>
      <c r="C52" s="47"/>
      <c r="D52" s="47"/>
      <c r="E52" s="47"/>
      <c r="F52" s="47"/>
      <c r="G52" s="47"/>
    </row>
    <row r="53" ht="15.75" customHeight="1">
      <c r="A53" s="47"/>
      <c r="B53" s="47"/>
      <c r="C53" s="47"/>
      <c r="D53" s="47"/>
      <c r="E53" s="47"/>
      <c r="F53" s="47"/>
      <c r="G53" s="47"/>
    </row>
    <row r="54" ht="15.75" customHeight="1">
      <c r="A54" s="47"/>
      <c r="B54" s="47"/>
      <c r="C54" s="47"/>
      <c r="D54" s="47"/>
      <c r="E54" s="47"/>
      <c r="F54" s="47"/>
      <c r="G54" s="47"/>
    </row>
    <row r="55" ht="15.75" customHeight="1">
      <c r="A55" s="47"/>
      <c r="B55" s="47"/>
      <c r="C55" s="47"/>
      <c r="D55" s="47"/>
      <c r="E55" s="47"/>
      <c r="F55" s="47"/>
      <c r="G55" s="47"/>
    </row>
    <row r="56" ht="15.75" customHeight="1">
      <c r="A56" s="47"/>
      <c r="B56" s="47"/>
      <c r="C56" s="47"/>
      <c r="D56" s="47"/>
      <c r="E56" s="47"/>
      <c r="F56" s="47"/>
      <c r="G56" s="47"/>
    </row>
    <row r="57" ht="15.75" customHeight="1">
      <c r="A57" s="47"/>
      <c r="B57" s="47"/>
      <c r="C57" s="47"/>
      <c r="D57" s="47"/>
      <c r="E57" s="47"/>
      <c r="F57" s="47"/>
      <c r="G57" s="47"/>
    </row>
    <row r="58" ht="15.75" customHeight="1">
      <c r="A58" s="47"/>
      <c r="B58" s="47"/>
      <c r="C58" s="47"/>
      <c r="D58" s="47"/>
      <c r="E58" s="47"/>
      <c r="F58" s="47"/>
      <c r="G58" s="47"/>
    </row>
    <row r="59" ht="15.75" customHeight="1">
      <c r="A59" s="47"/>
      <c r="B59" s="47"/>
      <c r="C59" s="47"/>
      <c r="D59" s="47"/>
      <c r="E59" s="47"/>
      <c r="F59" s="47"/>
      <c r="G59" s="47"/>
    </row>
    <row r="60" ht="15.75" customHeight="1">
      <c r="A60" s="47"/>
      <c r="B60" s="47"/>
      <c r="C60" s="47"/>
      <c r="D60" s="47"/>
      <c r="E60" s="47"/>
      <c r="F60" s="47"/>
      <c r="G60" s="47"/>
    </row>
    <row r="61" ht="15.75" customHeight="1">
      <c r="A61" s="47"/>
      <c r="B61" s="47"/>
      <c r="C61" s="47"/>
      <c r="D61" s="47"/>
      <c r="E61" s="47"/>
      <c r="F61" s="47"/>
      <c r="G61" s="47"/>
    </row>
    <row r="62" ht="15.75" customHeight="1">
      <c r="A62" s="47"/>
      <c r="B62" s="47"/>
      <c r="C62" s="47"/>
      <c r="D62" s="47"/>
      <c r="E62" s="47"/>
      <c r="F62" s="47"/>
      <c r="G62" s="47"/>
    </row>
    <row r="63" ht="15.75" customHeight="1">
      <c r="A63" s="47"/>
      <c r="B63" s="47"/>
      <c r="C63" s="47"/>
      <c r="D63" s="47"/>
      <c r="E63" s="47"/>
      <c r="F63" s="47"/>
      <c r="G63" s="47"/>
    </row>
    <row r="64" ht="15.75" customHeight="1">
      <c r="A64" s="47"/>
      <c r="B64" s="47"/>
      <c r="C64" s="47"/>
      <c r="D64" s="47"/>
      <c r="E64" s="47"/>
      <c r="F64" s="47"/>
      <c r="G64" s="47"/>
    </row>
    <row r="65" ht="15.75" customHeight="1">
      <c r="A65" s="47"/>
      <c r="B65" s="47"/>
      <c r="C65" s="47"/>
      <c r="D65" s="47"/>
      <c r="E65" s="47"/>
      <c r="F65" s="47"/>
      <c r="G65" s="47"/>
    </row>
    <row r="66" ht="15.75" customHeight="1">
      <c r="A66" s="47"/>
      <c r="B66" s="47"/>
      <c r="C66" s="47"/>
      <c r="D66" s="47"/>
      <c r="E66" s="47"/>
      <c r="F66" s="47"/>
      <c r="G66" s="47"/>
    </row>
    <row r="67" ht="15.75" customHeight="1">
      <c r="A67" s="47"/>
      <c r="B67" s="47"/>
      <c r="C67" s="47"/>
      <c r="D67" s="47"/>
      <c r="E67" s="47"/>
      <c r="F67" s="47"/>
      <c r="G67" s="47"/>
    </row>
    <row r="68" ht="15.75" customHeight="1">
      <c r="A68" s="47"/>
      <c r="B68" s="47"/>
      <c r="C68" s="47"/>
      <c r="D68" s="47"/>
      <c r="E68" s="47"/>
      <c r="F68" s="47"/>
      <c r="G68" s="47"/>
    </row>
    <row r="69" ht="15.75" customHeight="1">
      <c r="A69" s="47"/>
      <c r="B69" s="47"/>
      <c r="C69" s="47"/>
      <c r="D69" s="47"/>
      <c r="E69" s="47"/>
      <c r="F69" s="47"/>
      <c r="G69" s="47"/>
    </row>
    <row r="70" ht="15.75" customHeight="1">
      <c r="A70" s="47"/>
      <c r="B70" s="47"/>
      <c r="C70" s="47"/>
      <c r="D70" s="47"/>
      <c r="E70" s="47"/>
      <c r="F70" s="47"/>
      <c r="G70" s="47"/>
    </row>
    <row r="71" ht="15.75" customHeight="1">
      <c r="A71" s="47"/>
      <c r="B71" s="47"/>
      <c r="C71" s="47"/>
      <c r="D71" s="47"/>
      <c r="E71" s="47"/>
      <c r="F71" s="47"/>
      <c r="G71" s="47"/>
    </row>
    <row r="72" ht="15.75" customHeight="1">
      <c r="A72" s="47"/>
      <c r="B72" s="47"/>
      <c r="C72" s="47"/>
      <c r="D72" s="47"/>
      <c r="E72" s="47"/>
      <c r="F72" s="47"/>
      <c r="G72" s="47"/>
    </row>
    <row r="73" ht="15.75" customHeight="1">
      <c r="A73" s="47"/>
      <c r="B73" s="47"/>
      <c r="C73" s="47"/>
      <c r="D73" s="47"/>
      <c r="E73" s="47"/>
      <c r="F73" s="47"/>
      <c r="G73" s="47"/>
    </row>
    <row r="74" ht="15.75" customHeight="1">
      <c r="A74" s="47"/>
      <c r="B74" s="47"/>
      <c r="C74" s="47"/>
      <c r="D74" s="47"/>
      <c r="E74" s="47"/>
      <c r="F74" s="47"/>
      <c r="G74" s="47"/>
    </row>
    <row r="75" ht="15.75" customHeight="1">
      <c r="A75" s="47"/>
      <c r="B75" s="47"/>
      <c r="C75" s="47"/>
      <c r="D75" s="47"/>
      <c r="E75" s="47"/>
      <c r="F75" s="47"/>
      <c r="G75" s="47"/>
    </row>
    <row r="76" ht="15.75" customHeight="1">
      <c r="A76" s="47"/>
      <c r="B76" s="47"/>
      <c r="C76" s="47"/>
      <c r="D76" s="47"/>
      <c r="E76" s="47"/>
      <c r="F76" s="47"/>
      <c r="G76" s="47"/>
    </row>
    <row r="77" ht="15.75" customHeight="1">
      <c r="A77" s="47"/>
      <c r="B77" s="47"/>
      <c r="C77" s="47"/>
      <c r="D77" s="47"/>
      <c r="E77" s="47"/>
      <c r="F77" s="47"/>
      <c r="G77" s="47"/>
    </row>
    <row r="78" ht="15.75" customHeight="1">
      <c r="A78" s="47"/>
      <c r="B78" s="47"/>
      <c r="C78" s="47"/>
      <c r="D78" s="47"/>
      <c r="E78" s="47"/>
      <c r="F78" s="47"/>
      <c r="G78" s="47"/>
    </row>
    <row r="79" ht="15.75" customHeight="1">
      <c r="A79" s="47"/>
      <c r="B79" s="47"/>
      <c r="C79" s="47"/>
      <c r="D79" s="47"/>
      <c r="E79" s="47"/>
      <c r="F79" s="47"/>
      <c r="G79" s="47"/>
    </row>
    <row r="80" ht="15.75" customHeight="1">
      <c r="A80" s="47"/>
      <c r="B80" s="47"/>
      <c r="C80" s="47"/>
      <c r="D80" s="47"/>
      <c r="E80" s="47"/>
      <c r="F80" s="47"/>
      <c r="G80" s="47"/>
    </row>
    <row r="81" ht="15.75" customHeight="1">
      <c r="A81" s="47"/>
      <c r="B81" s="47"/>
      <c r="C81" s="47"/>
      <c r="D81" s="47"/>
      <c r="E81" s="47"/>
      <c r="F81" s="47"/>
      <c r="G81" s="47"/>
    </row>
    <row r="82" ht="15.75" customHeight="1">
      <c r="A82" s="47"/>
      <c r="B82" s="47"/>
      <c r="C82" s="47"/>
      <c r="D82" s="47"/>
      <c r="E82" s="47"/>
      <c r="F82" s="47"/>
      <c r="G82" s="47"/>
    </row>
    <row r="83" ht="15.75" customHeight="1">
      <c r="A83" s="47"/>
      <c r="B83" s="47"/>
      <c r="C83" s="47"/>
      <c r="D83" s="47"/>
      <c r="E83" s="47"/>
      <c r="F83" s="47"/>
      <c r="G83" s="47"/>
    </row>
    <row r="84" ht="15.75" customHeight="1">
      <c r="A84" s="47"/>
      <c r="B84" s="47"/>
      <c r="C84" s="47"/>
      <c r="D84" s="47"/>
      <c r="E84" s="47"/>
      <c r="F84" s="47"/>
      <c r="G84" s="47"/>
    </row>
    <row r="85" ht="15.75" customHeight="1">
      <c r="A85" s="47"/>
      <c r="B85" s="47"/>
      <c r="C85" s="47"/>
      <c r="D85" s="47"/>
      <c r="E85" s="47"/>
      <c r="F85" s="47"/>
      <c r="G85" s="47"/>
    </row>
    <row r="86" ht="15.75" customHeight="1">
      <c r="A86" s="47"/>
      <c r="B86" s="47"/>
      <c r="C86" s="47"/>
      <c r="D86" s="47"/>
      <c r="E86" s="47"/>
      <c r="F86" s="47"/>
      <c r="G86" s="47"/>
    </row>
    <row r="87" ht="15.75" customHeight="1">
      <c r="A87" s="47"/>
      <c r="B87" s="47"/>
      <c r="C87" s="47"/>
      <c r="D87" s="47"/>
      <c r="E87" s="47"/>
      <c r="F87" s="47"/>
      <c r="G87" s="47"/>
    </row>
    <row r="88" ht="15.75" customHeight="1">
      <c r="A88" s="47"/>
      <c r="B88" s="47"/>
      <c r="C88" s="47"/>
      <c r="D88" s="47"/>
      <c r="E88" s="47"/>
      <c r="F88" s="47"/>
      <c r="G88" s="47"/>
    </row>
    <row r="89" ht="15.75" customHeight="1">
      <c r="A89" s="47"/>
      <c r="B89" s="47"/>
      <c r="C89" s="47"/>
      <c r="D89" s="47"/>
      <c r="E89" s="47"/>
      <c r="F89" s="47"/>
      <c r="G89" s="47"/>
    </row>
    <row r="90" ht="15.75" customHeight="1">
      <c r="A90" s="47"/>
      <c r="B90" s="47"/>
      <c r="C90" s="47"/>
      <c r="D90" s="47"/>
      <c r="E90" s="47"/>
      <c r="F90" s="47"/>
      <c r="G90" s="47"/>
    </row>
    <row r="91" ht="15.75" customHeight="1">
      <c r="A91" s="47"/>
      <c r="B91" s="47"/>
      <c r="C91" s="47"/>
      <c r="D91" s="47"/>
      <c r="E91" s="47"/>
      <c r="F91" s="47"/>
      <c r="G91" s="47"/>
    </row>
    <row r="92" ht="15.75" customHeight="1">
      <c r="A92" s="47"/>
      <c r="B92" s="47"/>
      <c r="C92" s="47"/>
      <c r="D92" s="47"/>
      <c r="E92" s="47"/>
      <c r="F92" s="47"/>
      <c r="G92" s="47"/>
    </row>
    <row r="93" ht="15.75" customHeight="1">
      <c r="A93" s="47"/>
      <c r="B93" s="47"/>
      <c r="C93" s="47"/>
      <c r="D93" s="47"/>
      <c r="E93" s="47"/>
      <c r="F93" s="47"/>
      <c r="G93" s="47"/>
    </row>
    <row r="94" ht="15.75" customHeight="1">
      <c r="A94" s="47"/>
      <c r="B94" s="47"/>
      <c r="C94" s="47"/>
      <c r="D94" s="47"/>
      <c r="E94" s="47"/>
      <c r="F94" s="47"/>
      <c r="G94" s="47"/>
    </row>
    <row r="95" ht="15.75" customHeight="1">
      <c r="A95" s="47"/>
      <c r="B95" s="47"/>
      <c r="C95" s="47"/>
      <c r="D95" s="47"/>
      <c r="E95" s="47"/>
      <c r="F95" s="47"/>
      <c r="G95" s="47"/>
    </row>
    <row r="96" ht="15.75" customHeight="1">
      <c r="A96" s="47"/>
      <c r="B96" s="47"/>
      <c r="C96" s="47"/>
      <c r="D96" s="47"/>
      <c r="E96" s="47"/>
      <c r="F96" s="47"/>
      <c r="G96" s="47"/>
    </row>
    <row r="97" ht="15.75" customHeight="1">
      <c r="A97" s="47"/>
      <c r="B97" s="47"/>
      <c r="C97" s="47"/>
      <c r="D97" s="47"/>
      <c r="E97" s="47"/>
      <c r="F97" s="47"/>
      <c r="G97" s="47"/>
    </row>
    <row r="98" ht="15.75" customHeight="1">
      <c r="A98" s="47"/>
      <c r="B98" s="47"/>
      <c r="C98" s="47"/>
      <c r="D98" s="47"/>
      <c r="E98" s="47"/>
      <c r="F98" s="47"/>
      <c r="G98" s="47"/>
    </row>
    <row r="99" ht="15.75" customHeight="1">
      <c r="A99" s="47"/>
      <c r="B99" s="47"/>
      <c r="C99" s="47"/>
      <c r="D99" s="47"/>
      <c r="E99" s="47"/>
      <c r="F99" s="47"/>
      <c r="G99" s="47"/>
    </row>
    <row r="100" ht="15.75" customHeight="1">
      <c r="A100" s="47"/>
      <c r="B100" s="47"/>
      <c r="C100" s="47"/>
      <c r="D100" s="47"/>
      <c r="E100" s="47"/>
      <c r="F100" s="47"/>
      <c r="G100" s="47"/>
    </row>
    <row r="101" ht="15.75" customHeight="1">
      <c r="A101" s="47"/>
      <c r="B101" s="47"/>
      <c r="C101" s="47"/>
      <c r="D101" s="47"/>
      <c r="E101" s="47"/>
      <c r="F101" s="47"/>
      <c r="G101" s="47"/>
    </row>
    <row r="102" ht="15.75" customHeight="1">
      <c r="A102" s="47"/>
      <c r="B102" s="47"/>
      <c r="C102" s="47"/>
      <c r="D102" s="47"/>
      <c r="E102" s="47"/>
      <c r="F102" s="47"/>
      <c r="G102" s="47"/>
    </row>
    <row r="103" ht="15.75" customHeight="1">
      <c r="A103" s="47"/>
      <c r="B103" s="47"/>
      <c r="C103" s="47"/>
      <c r="D103" s="47"/>
      <c r="E103" s="47"/>
      <c r="F103" s="47"/>
      <c r="G103" s="47"/>
    </row>
    <row r="104" ht="15.75" customHeight="1">
      <c r="A104" s="47"/>
      <c r="B104" s="47"/>
      <c r="C104" s="47"/>
      <c r="D104" s="47"/>
      <c r="E104" s="47"/>
      <c r="F104" s="47"/>
      <c r="G104" s="47"/>
    </row>
    <row r="105" ht="15.75" customHeight="1">
      <c r="A105" s="47"/>
      <c r="B105" s="47"/>
      <c r="C105" s="47"/>
      <c r="D105" s="47"/>
      <c r="E105" s="47"/>
      <c r="F105" s="47"/>
      <c r="G105" s="47"/>
    </row>
    <row r="106" ht="15.75" customHeight="1">
      <c r="A106" s="47"/>
      <c r="B106" s="47"/>
      <c r="C106" s="47"/>
      <c r="D106" s="47"/>
      <c r="E106" s="47"/>
      <c r="F106" s="47"/>
      <c r="G106" s="47"/>
    </row>
    <row r="107" ht="15.75" customHeight="1">
      <c r="A107" s="47"/>
      <c r="B107" s="47"/>
      <c r="C107" s="47"/>
      <c r="D107" s="47"/>
      <c r="E107" s="47"/>
      <c r="F107" s="47"/>
      <c r="G107" s="47"/>
    </row>
    <row r="108" ht="15.75" customHeight="1">
      <c r="A108" s="47"/>
      <c r="B108" s="47"/>
      <c r="C108" s="47"/>
      <c r="D108" s="47"/>
      <c r="E108" s="47"/>
      <c r="F108" s="47"/>
      <c r="G108" s="47"/>
    </row>
    <row r="109" ht="15.75" customHeight="1">
      <c r="A109" s="47"/>
      <c r="B109" s="47"/>
      <c r="C109" s="47"/>
      <c r="D109" s="47"/>
      <c r="E109" s="47"/>
      <c r="F109" s="47"/>
      <c r="G109" s="47"/>
    </row>
    <row r="110" ht="15.75" customHeight="1">
      <c r="A110" s="47"/>
      <c r="B110" s="47"/>
      <c r="C110" s="47"/>
      <c r="D110" s="47"/>
      <c r="E110" s="47"/>
      <c r="F110" s="47"/>
      <c r="G110" s="47"/>
    </row>
    <row r="111" ht="15.75" customHeight="1">
      <c r="A111" s="47"/>
      <c r="B111" s="47"/>
      <c r="C111" s="47"/>
      <c r="D111" s="47"/>
      <c r="E111" s="47"/>
      <c r="F111" s="47"/>
      <c r="G111" s="47"/>
    </row>
    <row r="112" ht="15.75" customHeight="1">
      <c r="A112" s="47"/>
      <c r="B112" s="47"/>
      <c r="C112" s="47"/>
      <c r="D112" s="47"/>
      <c r="E112" s="47"/>
      <c r="F112" s="47"/>
      <c r="G112" s="47"/>
    </row>
    <row r="113" ht="15.75" customHeight="1">
      <c r="A113" s="47"/>
      <c r="B113" s="47"/>
      <c r="C113" s="47"/>
      <c r="D113" s="47"/>
      <c r="E113" s="47"/>
      <c r="F113" s="47"/>
      <c r="G113" s="47"/>
    </row>
    <row r="114" ht="15.75" customHeight="1">
      <c r="A114" s="47"/>
      <c r="B114" s="47"/>
      <c r="C114" s="47"/>
      <c r="D114" s="47"/>
      <c r="E114" s="47"/>
      <c r="F114" s="47"/>
      <c r="G114" s="47"/>
    </row>
    <row r="115" ht="15.75" customHeight="1">
      <c r="A115" s="47"/>
      <c r="B115" s="47"/>
      <c r="C115" s="47"/>
      <c r="D115" s="47"/>
      <c r="E115" s="47"/>
      <c r="F115" s="47"/>
      <c r="G115" s="47"/>
    </row>
    <row r="116" ht="15.75" customHeight="1">
      <c r="A116" s="47"/>
      <c r="B116" s="47"/>
      <c r="C116" s="47"/>
      <c r="D116" s="47"/>
      <c r="E116" s="47"/>
      <c r="F116" s="47"/>
      <c r="G116" s="47"/>
    </row>
    <row r="117" ht="15.75" customHeight="1">
      <c r="A117" s="47"/>
      <c r="B117" s="47"/>
      <c r="C117" s="47"/>
      <c r="D117" s="47"/>
      <c r="E117" s="47"/>
      <c r="F117" s="47"/>
      <c r="G117" s="47"/>
    </row>
    <row r="118" ht="15.75" customHeight="1">
      <c r="A118" s="47"/>
      <c r="B118" s="47"/>
      <c r="C118" s="47"/>
      <c r="D118" s="47"/>
      <c r="E118" s="47"/>
      <c r="F118" s="47"/>
      <c r="G118" s="47"/>
    </row>
    <row r="119" ht="15.75" customHeight="1">
      <c r="A119" s="47"/>
      <c r="B119" s="47"/>
      <c r="C119" s="47"/>
      <c r="D119" s="47"/>
      <c r="E119" s="47"/>
      <c r="F119" s="47"/>
      <c r="G119" s="47"/>
    </row>
    <row r="120" ht="15.75" customHeight="1">
      <c r="A120" s="47"/>
      <c r="B120" s="47"/>
      <c r="C120" s="47"/>
      <c r="D120" s="47"/>
      <c r="E120" s="47"/>
      <c r="F120" s="47"/>
      <c r="G120" s="47"/>
    </row>
    <row r="121" ht="15.75" customHeight="1">
      <c r="A121" s="47"/>
      <c r="B121" s="47"/>
      <c r="C121" s="47"/>
      <c r="D121" s="47"/>
      <c r="E121" s="47"/>
      <c r="F121" s="47"/>
      <c r="G121" s="47"/>
    </row>
    <row r="122" ht="15.75" customHeight="1">
      <c r="A122" s="47"/>
      <c r="B122" s="47"/>
      <c r="C122" s="47"/>
      <c r="D122" s="47"/>
      <c r="E122" s="47"/>
      <c r="F122" s="47"/>
      <c r="G122" s="47"/>
    </row>
    <row r="123" ht="15.75" customHeight="1">
      <c r="A123" s="47"/>
      <c r="B123" s="47"/>
      <c r="C123" s="47"/>
      <c r="D123" s="47"/>
      <c r="E123" s="47"/>
      <c r="F123" s="47"/>
      <c r="G123" s="47"/>
    </row>
    <row r="124" ht="15.75" customHeight="1">
      <c r="A124" s="47"/>
      <c r="B124" s="47"/>
      <c r="C124" s="47"/>
      <c r="D124" s="47"/>
      <c r="E124" s="47"/>
      <c r="F124" s="47"/>
      <c r="G124" s="47"/>
    </row>
    <row r="125" ht="15.75" customHeight="1">
      <c r="A125" s="47"/>
      <c r="B125" s="47"/>
      <c r="C125" s="47"/>
      <c r="D125" s="47"/>
      <c r="E125" s="47"/>
      <c r="F125" s="47"/>
      <c r="G125" s="47"/>
    </row>
    <row r="126" ht="15.75" customHeight="1">
      <c r="A126" s="47"/>
      <c r="B126" s="47"/>
      <c r="C126" s="47"/>
      <c r="D126" s="47"/>
      <c r="E126" s="47"/>
      <c r="F126" s="47"/>
      <c r="G126" s="47"/>
    </row>
    <row r="127" ht="15.75" customHeight="1">
      <c r="A127" s="47"/>
      <c r="B127" s="47"/>
      <c r="C127" s="47"/>
      <c r="D127" s="47"/>
      <c r="E127" s="47"/>
      <c r="F127" s="47"/>
      <c r="G127" s="47"/>
    </row>
    <row r="128" ht="15.75" customHeight="1">
      <c r="A128" s="47"/>
      <c r="B128" s="47"/>
      <c r="C128" s="47"/>
      <c r="D128" s="47"/>
      <c r="E128" s="47"/>
      <c r="F128" s="47"/>
      <c r="G128" s="47"/>
    </row>
    <row r="129" ht="15.75" customHeight="1">
      <c r="A129" s="47"/>
      <c r="B129" s="47"/>
      <c r="C129" s="47"/>
      <c r="D129" s="47"/>
      <c r="E129" s="47"/>
      <c r="F129" s="47"/>
      <c r="G129" s="47"/>
    </row>
    <row r="130" ht="15.75" customHeight="1">
      <c r="A130" s="47"/>
      <c r="B130" s="47"/>
      <c r="C130" s="47"/>
      <c r="D130" s="47"/>
      <c r="E130" s="47"/>
      <c r="F130" s="47"/>
      <c r="G130" s="47"/>
    </row>
    <row r="131" ht="15.75" customHeight="1">
      <c r="A131" s="47"/>
      <c r="B131" s="47"/>
      <c r="C131" s="47"/>
      <c r="D131" s="47"/>
      <c r="E131" s="47"/>
      <c r="F131" s="47"/>
      <c r="G131" s="47"/>
    </row>
    <row r="132" ht="15.75" customHeight="1">
      <c r="A132" s="47"/>
      <c r="B132" s="47"/>
      <c r="C132" s="47"/>
      <c r="D132" s="47"/>
      <c r="E132" s="47"/>
      <c r="F132" s="47"/>
      <c r="G132" s="47"/>
    </row>
    <row r="133" ht="15.75" customHeight="1">
      <c r="A133" s="47"/>
      <c r="B133" s="47"/>
      <c r="C133" s="47"/>
      <c r="D133" s="47"/>
      <c r="E133" s="47"/>
      <c r="F133" s="47"/>
      <c r="G133" s="47"/>
    </row>
    <row r="134" ht="15.75" customHeight="1">
      <c r="A134" s="47"/>
      <c r="B134" s="47"/>
      <c r="C134" s="47"/>
      <c r="D134" s="47"/>
      <c r="E134" s="47"/>
      <c r="F134" s="47"/>
      <c r="G134" s="47"/>
    </row>
    <row r="135" ht="15.75" customHeight="1">
      <c r="A135" s="47"/>
      <c r="B135" s="47"/>
      <c r="C135" s="47"/>
      <c r="D135" s="47"/>
      <c r="E135" s="47"/>
      <c r="F135" s="47"/>
      <c r="G135" s="47"/>
    </row>
    <row r="136" ht="15.75" customHeight="1">
      <c r="A136" s="47"/>
      <c r="B136" s="47"/>
      <c r="C136" s="47"/>
      <c r="D136" s="47"/>
      <c r="E136" s="47"/>
      <c r="F136" s="47"/>
      <c r="G136" s="47"/>
    </row>
    <row r="137" ht="15.75" customHeight="1">
      <c r="A137" s="47"/>
      <c r="B137" s="47"/>
      <c r="C137" s="47"/>
      <c r="D137" s="47"/>
      <c r="E137" s="47"/>
      <c r="F137" s="47"/>
      <c r="G137" s="47"/>
    </row>
    <row r="138" ht="15.75" customHeight="1">
      <c r="A138" s="47"/>
      <c r="B138" s="47"/>
      <c r="C138" s="47"/>
      <c r="D138" s="47"/>
      <c r="E138" s="47"/>
      <c r="F138" s="47"/>
      <c r="G138" s="47"/>
    </row>
    <row r="139" ht="15.75" customHeight="1">
      <c r="A139" s="47"/>
      <c r="B139" s="47"/>
      <c r="C139" s="47"/>
      <c r="D139" s="47"/>
      <c r="E139" s="47"/>
      <c r="F139" s="47"/>
      <c r="G139" s="47"/>
    </row>
    <row r="140" ht="15.75" customHeight="1">
      <c r="A140" s="47"/>
      <c r="B140" s="47"/>
      <c r="C140" s="47"/>
      <c r="D140" s="47"/>
      <c r="E140" s="47"/>
      <c r="F140" s="47"/>
      <c r="G140" s="47"/>
    </row>
    <row r="141" ht="15.75" customHeight="1">
      <c r="A141" s="47"/>
      <c r="B141" s="47"/>
      <c r="C141" s="47"/>
      <c r="D141" s="47"/>
      <c r="E141" s="47"/>
      <c r="F141" s="47"/>
      <c r="G141" s="47"/>
    </row>
    <row r="142" ht="15.75" customHeight="1">
      <c r="A142" s="47"/>
      <c r="B142" s="47"/>
      <c r="C142" s="47"/>
      <c r="D142" s="47"/>
      <c r="E142" s="47"/>
      <c r="F142" s="47"/>
      <c r="G142" s="47"/>
    </row>
    <row r="143" ht="15.75" customHeight="1">
      <c r="A143" s="47"/>
      <c r="B143" s="47"/>
      <c r="C143" s="47"/>
      <c r="D143" s="47"/>
      <c r="E143" s="47"/>
      <c r="F143" s="47"/>
      <c r="G143" s="47"/>
    </row>
    <row r="144" ht="15.75" customHeight="1">
      <c r="A144" s="47"/>
      <c r="B144" s="47"/>
      <c r="C144" s="47"/>
      <c r="D144" s="47"/>
      <c r="E144" s="47"/>
      <c r="F144" s="47"/>
      <c r="G144" s="47"/>
    </row>
    <row r="145" ht="15.75" customHeight="1">
      <c r="A145" s="47"/>
      <c r="B145" s="47"/>
      <c r="C145" s="47"/>
      <c r="D145" s="47"/>
      <c r="E145" s="47"/>
      <c r="F145" s="47"/>
      <c r="G145" s="47"/>
    </row>
    <row r="146" ht="15.75" customHeight="1">
      <c r="A146" s="47"/>
      <c r="B146" s="47"/>
      <c r="C146" s="47"/>
      <c r="D146" s="47"/>
      <c r="E146" s="47"/>
      <c r="F146" s="47"/>
      <c r="G146" s="47"/>
    </row>
    <row r="147" ht="15.75" customHeight="1">
      <c r="A147" s="47"/>
      <c r="B147" s="47"/>
      <c r="C147" s="47"/>
      <c r="D147" s="47"/>
      <c r="E147" s="47"/>
      <c r="F147" s="47"/>
      <c r="G147" s="47"/>
    </row>
    <row r="148" ht="15.75" customHeight="1">
      <c r="A148" s="47"/>
      <c r="B148" s="47"/>
      <c r="C148" s="47"/>
      <c r="D148" s="47"/>
      <c r="E148" s="47"/>
      <c r="F148" s="47"/>
      <c r="G148" s="47"/>
    </row>
    <row r="149" ht="15.75" customHeight="1">
      <c r="A149" s="47"/>
      <c r="B149" s="47"/>
      <c r="C149" s="47"/>
      <c r="D149" s="47"/>
      <c r="E149" s="47"/>
      <c r="F149" s="47"/>
      <c r="G149" s="47"/>
    </row>
    <row r="150" ht="15.75" customHeight="1">
      <c r="A150" s="47"/>
      <c r="B150" s="47"/>
      <c r="C150" s="47"/>
      <c r="D150" s="47"/>
      <c r="E150" s="47"/>
      <c r="F150" s="47"/>
      <c r="G150" s="47"/>
    </row>
    <row r="151" ht="15.75" customHeight="1">
      <c r="A151" s="47"/>
      <c r="B151" s="47"/>
      <c r="C151" s="47"/>
      <c r="D151" s="47"/>
      <c r="E151" s="47"/>
      <c r="F151" s="47"/>
      <c r="G151" s="47"/>
    </row>
    <row r="152" ht="15.75" customHeight="1">
      <c r="A152" s="47"/>
      <c r="B152" s="47"/>
      <c r="C152" s="47"/>
      <c r="D152" s="47"/>
      <c r="E152" s="47"/>
      <c r="F152" s="47"/>
      <c r="G152" s="47"/>
    </row>
    <row r="153" ht="15.75" customHeight="1">
      <c r="A153" s="47"/>
      <c r="B153" s="47"/>
      <c r="C153" s="47"/>
      <c r="D153" s="47"/>
      <c r="E153" s="47"/>
      <c r="F153" s="47"/>
      <c r="G153" s="47"/>
    </row>
    <row r="154" ht="15.75" customHeight="1">
      <c r="A154" s="47"/>
      <c r="B154" s="47"/>
      <c r="C154" s="47"/>
      <c r="D154" s="47"/>
      <c r="E154" s="47"/>
      <c r="F154" s="47"/>
      <c r="G154" s="47"/>
    </row>
    <row r="155" ht="15.75" customHeight="1">
      <c r="A155" s="47"/>
      <c r="B155" s="47"/>
      <c r="C155" s="47"/>
      <c r="D155" s="47"/>
      <c r="E155" s="47"/>
      <c r="F155" s="47"/>
      <c r="G155" s="47"/>
    </row>
    <row r="156" ht="15.75" customHeight="1">
      <c r="A156" s="47"/>
      <c r="B156" s="47"/>
      <c r="C156" s="47"/>
      <c r="D156" s="47"/>
      <c r="E156" s="47"/>
      <c r="F156" s="47"/>
      <c r="G156" s="47"/>
    </row>
    <row r="157" ht="15.75" customHeight="1">
      <c r="A157" s="47"/>
      <c r="B157" s="47"/>
      <c r="C157" s="47"/>
      <c r="D157" s="47"/>
      <c r="E157" s="47"/>
      <c r="F157" s="47"/>
      <c r="G157" s="47"/>
    </row>
    <row r="158" ht="15.75" customHeight="1">
      <c r="A158" s="47"/>
      <c r="B158" s="47"/>
      <c r="C158" s="47"/>
      <c r="D158" s="47"/>
      <c r="E158" s="47"/>
      <c r="F158" s="47"/>
      <c r="G158" s="47"/>
    </row>
    <row r="159" ht="15.75" customHeight="1">
      <c r="A159" s="47"/>
      <c r="B159" s="47"/>
      <c r="C159" s="47"/>
      <c r="D159" s="47"/>
      <c r="E159" s="47"/>
      <c r="F159" s="47"/>
      <c r="G159" s="47"/>
    </row>
    <row r="160" ht="15.75" customHeight="1">
      <c r="A160" s="47"/>
      <c r="B160" s="47"/>
      <c r="C160" s="47"/>
      <c r="D160" s="47"/>
      <c r="E160" s="47"/>
      <c r="F160" s="47"/>
      <c r="G160" s="47"/>
    </row>
    <row r="161" ht="15.75" customHeight="1">
      <c r="A161" s="47"/>
      <c r="B161" s="47"/>
      <c r="C161" s="47"/>
      <c r="D161" s="47"/>
      <c r="E161" s="47"/>
      <c r="F161" s="47"/>
      <c r="G161" s="47"/>
    </row>
    <row r="162" ht="15.75" customHeight="1">
      <c r="A162" s="47"/>
      <c r="B162" s="47"/>
      <c r="C162" s="47"/>
      <c r="D162" s="47"/>
      <c r="E162" s="47"/>
      <c r="F162" s="47"/>
      <c r="G162" s="47"/>
    </row>
    <row r="163" ht="15.75" customHeight="1">
      <c r="A163" s="47"/>
      <c r="B163" s="47"/>
      <c r="C163" s="47"/>
      <c r="D163" s="47"/>
      <c r="E163" s="47"/>
      <c r="F163" s="47"/>
      <c r="G163" s="47"/>
    </row>
    <row r="164" ht="15.75" customHeight="1">
      <c r="A164" s="47"/>
      <c r="B164" s="47"/>
      <c r="C164" s="47"/>
      <c r="D164" s="47"/>
      <c r="E164" s="47"/>
      <c r="F164" s="47"/>
      <c r="G164" s="47"/>
    </row>
    <row r="165" ht="15.75" customHeight="1">
      <c r="A165" s="47"/>
      <c r="B165" s="47"/>
      <c r="C165" s="47"/>
      <c r="D165" s="47"/>
      <c r="E165" s="47"/>
      <c r="F165" s="47"/>
      <c r="G165" s="47"/>
    </row>
    <row r="166" ht="15.75" customHeight="1">
      <c r="A166" s="47"/>
      <c r="B166" s="47"/>
      <c r="C166" s="47"/>
      <c r="D166" s="47"/>
      <c r="E166" s="47"/>
      <c r="F166" s="47"/>
      <c r="G166" s="47"/>
    </row>
    <row r="167" ht="15.75" customHeight="1">
      <c r="A167" s="47"/>
      <c r="B167" s="47"/>
      <c r="C167" s="47"/>
      <c r="D167" s="47"/>
      <c r="E167" s="47"/>
      <c r="F167" s="47"/>
      <c r="G167" s="47"/>
    </row>
    <row r="168" ht="15.75" customHeight="1">
      <c r="A168" s="47"/>
      <c r="B168" s="47"/>
      <c r="C168" s="47"/>
      <c r="D168" s="47"/>
      <c r="E168" s="47"/>
      <c r="F168" s="47"/>
      <c r="G168" s="47"/>
    </row>
    <row r="169" ht="15.75" customHeight="1">
      <c r="A169" s="47"/>
      <c r="B169" s="47"/>
      <c r="C169" s="47"/>
      <c r="D169" s="47"/>
      <c r="E169" s="47"/>
      <c r="F169" s="47"/>
      <c r="G169" s="47"/>
    </row>
    <row r="170" ht="15.75" customHeight="1">
      <c r="A170" s="47"/>
      <c r="B170" s="47"/>
      <c r="C170" s="47"/>
      <c r="D170" s="47"/>
      <c r="E170" s="47"/>
      <c r="F170" s="47"/>
      <c r="G170" s="47"/>
    </row>
    <row r="171" ht="15.75" customHeight="1">
      <c r="A171" s="47"/>
      <c r="B171" s="47"/>
      <c r="C171" s="47"/>
      <c r="D171" s="47"/>
      <c r="E171" s="47"/>
      <c r="F171" s="47"/>
      <c r="G171" s="47"/>
    </row>
    <row r="172" ht="15.75" customHeight="1">
      <c r="A172" s="47"/>
      <c r="B172" s="47"/>
      <c r="C172" s="47"/>
      <c r="D172" s="47"/>
      <c r="E172" s="47"/>
      <c r="F172" s="47"/>
      <c r="G172" s="47"/>
    </row>
    <row r="173" ht="15.75" customHeight="1">
      <c r="A173" s="47"/>
      <c r="B173" s="47"/>
      <c r="C173" s="47"/>
      <c r="D173" s="47"/>
      <c r="E173" s="47"/>
      <c r="F173" s="47"/>
      <c r="G173" s="47"/>
    </row>
    <row r="174" ht="15.75" customHeight="1">
      <c r="A174" s="47"/>
      <c r="B174" s="47"/>
      <c r="C174" s="47"/>
      <c r="D174" s="47"/>
      <c r="E174" s="47"/>
      <c r="F174" s="47"/>
      <c r="G174" s="47"/>
    </row>
    <row r="175" ht="15.75" customHeight="1">
      <c r="A175" s="47"/>
      <c r="B175" s="47"/>
      <c r="C175" s="47"/>
      <c r="D175" s="47"/>
      <c r="E175" s="47"/>
      <c r="F175" s="47"/>
      <c r="G175" s="47"/>
    </row>
    <row r="176" ht="15.75" customHeight="1">
      <c r="A176" s="47"/>
      <c r="B176" s="47"/>
      <c r="C176" s="47"/>
      <c r="D176" s="47"/>
      <c r="E176" s="47"/>
      <c r="F176" s="47"/>
      <c r="G176" s="47"/>
    </row>
    <row r="177" ht="15.75" customHeight="1">
      <c r="A177" s="47"/>
      <c r="B177" s="47"/>
      <c r="C177" s="47"/>
      <c r="D177" s="47"/>
      <c r="E177" s="47"/>
      <c r="F177" s="47"/>
      <c r="G177" s="47"/>
    </row>
    <row r="178" ht="15.75" customHeight="1">
      <c r="A178" s="47"/>
      <c r="B178" s="47"/>
      <c r="C178" s="47"/>
      <c r="D178" s="47"/>
      <c r="E178" s="47"/>
      <c r="F178" s="47"/>
      <c r="G178" s="47"/>
    </row>
    <row r="179" ht="15.75" customHeight="1">
      <c r="A179" s="47"/>
      <c r="B179" s="47"/>
      <c r="C179" s="47"/>
      <c r="D179" s="47"/>
      <c r="E179" s="47"/>
      <c r="F179" s="47"/>
      <c r="G179" s="47"/>
    </row>
    <row r="180" ht="15.75" customHeight="1">
      <c r="A180" s="47"/>
      <c r="B180" s="47"/>
      <c r="C180" s="47"/>
      <c r="D180" s="47"/>
      <c r="E180" s="47"/>
      <c r="F180" s="47"/>
      <c r="G180" s="47"/>
    </row>
    <row r="181" ht="15.75" customHeight="1">
      <c r="A181" s="47"/>
      <c r="B181" s="47"/>
      <c r="C181" s="47"/>
      <c r="D181" s="47"/>
      <c r="E181" s="47"/>
      <c r="F181" s="47"/>
      <c r="G181" s="47"/>
    </row>
    <row r="182" ht="15.75" customHeight="1">
      <c r="A182" s="47"/>
      <c r="B182" s="47"/>
      <c r="C182" s="47"/>
      <c r="D182" s="47"/>
      <c r="E182" s="47"/>
      <c r="F182" s="47"/>
      <c r="G182" s="47"/>
    </row>
    <row r="183" ht="15.75" customHeight="1">
      <c r="A183" s="47"/>
      <c r="B183" s="47"/>
      <c r="C183" s="47"/>
      <c r="D183" s="47"/>
      <c r="E183" s="47"/>
      <c r="F183" s="47"/>
      <c r="G183" s="47"/>
    </row>
    <row r="184" ht="15.75" customHeight="1">
      <c r="A184" s="47"/>
      <c r="B184" s="47"/>
      <c r="C184" s="47"/>
      <c r="D184" s="47"/>
      <c r="E184" s="47"/>
      <c r="F184" s="47"/>
      <c r="G184" s="47"/>
    </row>
    <row r="185" ht="15.75" customHeight="1">
      <c r="A185" s="47"/>
      <c r="B185" s="47"/>
      <c r="C185" s="47"/>
      <c r="D185" s="47"/>
      <c r="E185" s="47"/>
      <c r="F185" s="47"/>
      <c r="G185" s="47"/>
    </row>
    <row r="186" ht="15.75" customHeight="1">
      <c r="A186" s="47"/>
      <c r="B186" s="47"/>
      <c r="C186" s="47"/>
      <c r="D186" s="47"/>
      <c r="E186" s="47"/>
      <c r="F186" s="47"/>
      <c r="G186" s="47"/>
    </row>
    <row r="187" ht="15.75" customHeight="1">
      <c r="A187" s="47"/>
      <c r="B187" s="47"/>
      <c r="C187" s="47"/>
      <c r="D187" s="47"/>
      <c r="E187" s="47"/>
      <c r="F187" s="47"/>
      <c r="G187" s="47"/>
    </row>
    <row r="188" ht="15.75" customHeight="1">
      <c r="A188" s="47"/>
      <c r="B188" s="47"/>
      <c r="C188" s="47"/>
      <c r="D188" s="47"/>
      <c r="E188" s="47"/>
      <c r="F188" s="47"/>
      <c r="G188" s="47"/>
    </row>
    <row r="189" ht="15.75" customHeight="1">
      <c r="A189" s="47"/>
      <c r="B189" s="47"/>
      <c r="C189" s="47"/>
      <c r="D189" s="47"/>
      <c r="E189" s="47"/>
      <c r="F189" s="47"/>
      <c r="G189" s="47"/>
    </row>
    <row r="190" ht="15.75" customHeight="1">
      <c r="A190" s="47"/>
      <c r="B190" s="47"/>
      <c r="C190" s="47"/>
      <c r="D190" s="47"/>
      <c r="E190" s="47"/>
      <c r="F190" s="47"/>
      <c r="G190" s="47"/>
    </row>
    <row r="191" ht="15.75" customHeight="1">
      <c r="A191" s="47"/>
      <c r="B191" s="47"/>
      <c r="C191" s="47"/>
      <c r="D191" s="47"/>
      <c r="E191" s="47"/>
      <c r="F191" s="47"/>
      <c r="G191" s="47"/>
    </row>
    <row r="192" ht="15.75" customHeight="1">
      <c r="A192" s="47"/>
      <c r="B192" s="47"/>
      <c r="C192" s="47"/>
      <c r="D192" s="47"/>
      <c r="E192" s="47"/>
      <c r="F192" s="47"/>
      <c r="G192" s="47"/>
    </row>
    <row r="193" ht="15.75" customHeight="1">
      <c r="A193" s="47"/>
      <c r="B193" s="47"/>
      <c r="C193" s="47"/>
      <c r="D193" s="47"/>
      <c r="E193" s="47"/>
      <c r="F193" s="47"/>
      <c r="G193" s="47"/>
    </row>
    <row r="194" ht="15.75" customHeight="1">
      <c r="A194" s="47"/>
      <c r="B194" s="47"/>
      <c r="C194" s="47"/>
      <c r="D194" s="47"/>
      <c r="E194" s="47"/>
      <c r="F194" s="47"/>
      <c r="G194" s="47"/>
    </row>
    <row r="195" ht="15.75" customHeight="1">
      <c r="A195" s="47"/>
      <c r="B195" s="47"/>
      <c r="C195" s="47"/>
      <c r="D195" s="47"/>
      <c r="E195" s="47"/>
      <c r="F195" s="47"/>
      <c r="G195" s="47"/>
    </row>
    <row r="196" ht="15.75" customHeight="1">
      <c r="A196" s="47"/>
      <c r="B196" s="47"/>
      <c r="C196" s="47"/>
      <c r="D196" s="47"/>
      <c r="E196" s="47"/>
      <c r="F196" s="47"/>
      <c r="G196" s="47"/>
    </row>
    <row r="197" ht="15.75" customHeight="1">
      <c r="A197" s="47"/>
      <c r="B197" s="47"/>
      <c r="C197" s="47"/>
      <c r="D197" s="47"/>
      <c r="E197" s="47"/>
      <c r="F197" s="47"/>
      <c r="G197" s="47"/>
    </row>
    <row r="198" ht="15.75" customHeight="1">
      <c r="A198" s="47"/>
      <c r="B198" s="47"/>
      <c r="C198" s="47"/>
      <c r="D198" s="47"/>
      <c r="E198" s="47"/>
      <c r="F198" s="47"/>
      <c r="G198" s="47"/>
    </row>
    <row r="199" ht="15.75" customHeight="1">
      <c r="A199" s="47"/>
      <c r="B199" s="47"/>
      <c r="C199" s="47"/>
      <c r="D199" s="47"/>
      <c r="E199" s="47"/>
      <c r="F199" s="47"/>
      <c r="G199" s="47"/>
    </row>
    <row r="200" ht="15.75" customHeight="1">
      <c r="A200" s="47"/>
      <c r="B200" s="47"/>
      <c r="C200" s="47"/>
      <c r="D200" s="47"/>
      <c r="E200" s="47"/>
      <c r="F200" s="47"/>
      <c r="G200" s="47"/>
    </row>
    <row r="201" ht="15.75" customHeight="1">
      <c r="A201" s="47"/>
      <c r="B201" s="47"/>
      <c r="C201" s="47"/>
      <c r="D201" s="47"/>
      <c r="E201" s="47"/>
      <c r="F201" s="47"/>
      <c r="G201" s="47"/>
    </row>
    <row r="202" ht="15.75" customHeight="1">
      <c r="A202" s="47"/>
      <c r="B202" s="47"/>
      <c r="C202" s="47"/>
      <c r="D202" s="47"/>
      <c r="E202" s="47"/>
      <c r="F202" s="47"/>
      <c r="G202" s="47"/>
    </row>
    <row r="203" ht="15.75" customHeight="1">
      <c r="A203" s="47"/>
      <c r="B203" s="47"/>
      <c r="C203" s="47"/>
      <c r="D203" s="47"/>
      <c r="E203" s="47"/>
      <c r="F203" s="47"/>
      <c r="G203" s="47"/>
    </row>
    <row r="204" ht="15.75" customHeight="1">
      <c r="A204" s="47"/>
      <c r="B204" s="47"/>
      <c r="C204" s="47"/>
      <c r="D204" s="47"/>
      <c r="E204" s="47"/>
      <c r="F204" s="47"/>
      <c r="G204" s="47"/>
    </row>
    <row r="205" ht="15.75" customHeight="1">
      <c r="A205" s="47"/>
      <c r="B205" s="47"/>
      <c r="C205" s="47"/>
      <c r="D205" s="47"/>
      <c r="E205" s="47"/>
      <c r="F205" s="47"/>
      <c r="G205" s="47"/>
    </row>
    <row r="206" ht="15.75" customHeight="1">
      <c r="A206" s="47"/>
      <c r="B206" s="47"/>
      <c r="C206" s="47"/>
      <c r="D206" s="47"/>
      <c r="E206" s="47"/>
      <c r="F206" s="47"/>
      <c r="G206" s="47"/>
    </row>
    <row r="207" ht="15.75" customHeight="1">
      <c r="A207" s="47"/>
      <c r="B207" s="47"/>
      <c r="C207" s="47"/>
      <c r="D207" s="47"/>
      <c r="E207" s="47"/>
      <c r="F207" s="47"/>
      <c r="G207" s="47"/>
    </row>
    <row r="208" ht="15.75" customHeight="1">
      <c r="A208" s="47"/>
      <c r="B208" s="47"/>
      <c r="C208" s="47"/>
      <c r="D208" s="47"/>
      <c r="E208" s="47"/>
      <c r="F208" s="47"/>
      <c r="G208" s="47"/>
    </row>
    <row r="209" ht="15.75" customHeight="1">
      <c r="A209" s="47"/>
      <c r="B209" s="47"/>
      <c r="C209" s="47"/>
      <c r="D209" s="47"/>
      <c r="E209" s="47"/>
      <c r="F209" s="47"/>
      <c r="G209" s="47"/>
    </row>
    <row r="210" ht="15.75" customHeight="1">
      <c r="A210" s="47"/>
      <c r="B210" s="47"/>
      <c r="C210" s="47"/>
      <c r="D210" s="47"/>
      <c r="E210" s="47"/>
      <c r="F210" s="47"/>
      <c r="G210" s="47"/>
    </row>
    <row r="211" ht="15.75" customHeight="1">
      <c r="A211" s="47"/>
      <c r="B211" s="47"/>
      <c r="C211" s="47"/>
      <c r="D211" s="47"/>
      <c r="E211" s="47"/>
      <c r="F211" s="47"/>
      <c r="G211" s="47"/>
    </row>
    <row r="212" ht="15.75" customHeight="1">
      <c r="A212" s="47"/>
      <c r="B212" s="47"/>
      <c r="C212" s="47"/>
      <c r="D212" s="47"/>
      <c r="E212" s="47"/>
      <c r="F212" s="47"/>
      <c r="G212" s="47"/>
    </row>
    <row r="213" ht="15.75" customHeight="1">
      <c r="A213" s="47"/>
      <c r="B213" s="47"/>
      <c r="C213" s="47"/>
      <c r="D213" s="47"/>
      <c r="E213" s="47"/>
      <c r="F213" s="47"/>
      <c r="G213" s="47"/>
    </row>
    <row r="214" ht="15.75" customHeight="1">
      <c r="A214" s="47"/>
      <c r="B214" s="47"/>
      <c r="C214" s="47"/>
      <c r="D214" s="47"/>
      <c r="E214" s="47"/>
      <c r="F214" s="47"/>
      <c r="G214" s="47"/>
    </row>
    <row r="215" ht="15.75" customHeight="1">
      <c r="A215" s="47"/>
      <c r="B215" s="47"/>
      <c r="C215" s="47"/>
      <c r="D215" s="47"/>
      <c r="E215" s="47"/>
      <c r="F215" s="47"/>
      <c r="G215" s="47"/>
    </row>
    <row r="216" ht="15.75" customHeight="1">
      <c r="A216" s="47"/>
      <c r="B216" s="47"/>
      <c r="C216" s="47"/>
      <c r="D216" s="47"/>
      <c r="E216" s="47"/>
      <c r="F216" s="47"/>
      <c r="G216" s="47"/>
    </row>
    <row r="217" ht="15.75" customHeight="1">
      <c r="A217" s="47"/>
      <c r="B217" s="47"/>
      <c r="C217" s="47"/>
      <c r="D217" s="47"/>
      <c r="E217" s="47"/>
      <c r="F217" s="47"/>
      <c r="G217" s="47"/>
    </row>
    <row r="218" ht="15.75" customHeight="1">
      <c r="A218" s="47"/>
      <c r="B218" s="47"/>
      <c r="C218" s="47"/>
      <c r="D218" s="47"/>
      <c r="E218" s="47"/>
      <c r="F218" s="47"/>
      <c r="G218" s="47"/>
    </row>
    <row r="219" ht="15.75" customHeight="1">
      <c r="A219" s="47"/>
      <c r="B219" s="47"/>
      <c r="C219" s="47"/>
      <c r="D219" s="47"/>
      <c r="E219" s="47"/>
      <c r="F219" s="47"/>
      <c r="G219" s="47"/>
    </row>
    <row r="220" ht="15.75" customHeight="1">
      <c r="A220" s="47"/>
      <c r="B220" s="47"/>
      <c r="C220" s="47"/>
      <c r="D220" s="47"/>
      <c r="E220" s="47"/>
      <c r="F220" s="47"/>
      <c r="G220" s="47"/>
    </row>
    <row r="221" ht="15.75" customHeight="1">
      <c r="A221" s="47"/>
      <c r="B221" s="47"/>
      <c r="C221" s="47"/>
      <c r="D221" s="47"/>
      <c r="E221" s="47"/>
      <c r="F221" s="47"/>
      <c r="G221" s="47"/>
    </row>
    <row r="222" ht="15.75" customHeight="1">
      <c r="A222" s="47"/>
      <c r="B222" s="47"/>
      <c r="C222" s="47"/>
      <c r="D222" s="47"/>
      <c r="E222" s="47"/>
      <c r="F222" s="47"/>
      <c r="G222" s="47"/>
    </row>
    <row r="223" ht="15.75" customHeight="1">
      <c r="A223" s="47"/>
      <c r="B223" s="47"/>
      <c r="C223" s="47"/>
      <c r="D223" s="47"/>
      <c r="E223" s="47"/>
      <c r="F223" s="47"/>
      <c r="G223" s="47"/>
    </row>
    <row r="224" ht="15.75" customHeight="1">
      <c r="A224" s="47"/>
      <c r="B224" s="47"/>
      <c r="C224" s="47"/>
      <c r="D224" s="47"/>
      <c r="E224" s="47"/>
      <c r="F224" s="47"/>
      <c r="G224" s="47"/>
    </row>
    <row r="225" ht="15.75" customHeight="1">
      <c r="A225" s="47"/>
      <c r="B225" s="47"/>
      <c r="C225" s="47"/>
      <c r="D225" s="47"/>
      <c r="E225" s="47"/>
      <c r="F225" s="47"/>
      <c r="G225" s="47"/>
    </row>
    <row r="226" ht="15.75" customHeight="1">
      <c r="A226" s="47"/>
      <c r="B226" s="47"/>
      <c r="C226" s="47"/>
      <c r="D226" s="47"/>
      <c r="E226" s="47"/>
      <c r="F226" s="47"/>
      <c r="G226" s="47"/>
    </row>
    <row r="227" ht="15.75" customHeight="1">
      <c r="A227" s="47"/>
      <c r="B227" s="47"/>
      <c r="C227" s="47"/>
      <c r="D227" s="47"/>
      <c r="E227" s="47"/>
      <c r="F227" s="47"/>
      <c r="G227" s="47"/>
    </row>
    <row r="228" ht="15.75" customHeight="1">
      <c r="A228" s="47"/>
      <c r="B228" s="47"/>
      <c r="C228" s="47"/>
      <c r="D228" s="47"/>
      <c r="E228" s="47"/>
      <c r="F228" s="47"/>
      <c r="G228" s="47"/>
    </row>
    <row r="229" ht="15.75" customHeight="1">
      <c r="A229" s="47"/>
      <c r="B229" s="47"/>
      <c r="C229" s="47"/>
      <c r="D229" s="47"/>
      <c r="E229" s="47"/>
      <c r="F229" s="47"/>
      <c r="G229" s="47"/>
    </row>
    <row r="230" ht="15.75" customHeight="1">
      <c r="A230" s="47"/>
      <c r="B230" s="47"/>
      <c r="C230" s="47"/>
      <c r="D230" s="47"/>
      <c r="E230" s="47"/>
      <c r="F230" s="47"/>
      <c r="G230" s="47"/>
    </row>
    <row r="231" ht="15.75" customHeight="1">
      <c r="A231" s="47"/>
      <c r="B231" s="47"/>
      <c r="C231" s="47"/>
      <c r="D231" s="47"/>
      <c r="E231" s="47"/>
      <c r="F231" s="47"/>
      <c r="G231" s="47"/>
    </row>
    <row r="232" ht="15.75" customHeight="1">
      <c r="A232" s="47"/>
      <c r="B232" s="47"/>
      <c r="C232" s="47"/>
      <c r="D232" s="47"/>
      <c r="E232" s="47"/>
      <c r="F232" s="47"/>
      <c r="G232" s="47"/>
    </row>
    <row r="233" ht="15.75" customHeight="1">
      <c r="A233" s="47"/>
      <c r="B233" s="47"/>
      <c r="C233" s="47"/>
      <c r="D233" s="47"/>
      <c r="E233" s="47"/>
      <c r="F233" s="47"/>
      <c r="G233" s="47"/>
    </row>
    <row r="234" ht="15.75" customHeight="1">
      <c r="A234" s="47"/>
      <c r="B234" s="47"/>
      <c r="C234" s="47"/>
      <c r="D234" s="47"/>
      <c r="E234" s="47"/>
      <c r="F234" s="47"/>
      <c r="G234" s="47"/>
    </row>
    <row r="235" ht="15.75" customHeight="1">
      <c r="A235" s="47"/>
      <c r="B235" s="47"/>
      <c r="C235" s="47"/>
      <c r="D235" s="47"/>
      <c r="E235" s="47"/>
      <c r="F235" s="47"/>
      <c r="G235" s="47"/>
    </row>
    <row r="236" ht="15.75" customHeight="1">
      <c r="A236" s="47"/>
      <c r="B236" s="47"/>
      <c r="C236" s="47"/>
      <c r="D236" s="47"/>
      <c r="E236" s="47"/>
      <c r="F236" s="47"/>
      <c r="G236" s="47"/>
    </row>
    <row r="237" ht="15.75" customHeight="1">
      <c r="A237" s="47"/>
      <c r="B237" s="47"/>
      <c r="C237" s="47"/>
      <c r="D237" s="47"/>
      <c r="E237" s="47"/>
      <c r="F237" s="47"/>
      <c r="G237" s="47"/>
    </row>
    <row r="238" ht="15.75" customHeight="1">
      <c r="A238" s="47"/>
      <c r="B238" s="47"/>
      <c r="C238" s="47"/>
      <c r="D238" s="47"/>
      <c r="E238" s="47"/>
      <c r="F238" s="47"/>
      <c r="G238" s="47"/>
    </row>
    <row r="239" ht="15.75" customHeight="1">
      <c r="A239" s="47"/>
      <c r="B239" s="47"/>
      <c r="C239" s="47"/>
      <c r="D239" s="47"/>
      <c r="E239" s="47"/>
      <c r="F239" s="47"/>
      <c r="G239" s="47"/>
    </row>
    <row r="240" ht="15.75" customHeight="1">
      <c r="A240" s="47"/>
      <c r="B240" s="47"/>
      <c r="C240" s="47"/>
      <c r="D240" s="47"/>
      <c r="E240" s="47"/>
      <c r="F240" s="47"/>
      <c r="G240" s="47"/>
    </row>
    <row r="241" ht="15.75" customHeight="1">
      <c r="A241" s="47"/>
      <c r="B241" s="47"/>
      <c r="C241" s="47"/>
      <c r="D241" s="47"/>
      <c r="E241" s="47"/>
      <c r="F241" s="47"/>
      <c r="G241" s="47"/>
    </row>
    <row r="242" ht="15.75" customHeight="1">
      <c r="A242" s="47"/>
      <c r="B242" s="47"/>
      <c r="C242" s="47"/>
      <c r="D242" s="47"/>
      <c r="E242" s="47"/>
      <c r="F242" s="47"/>
      <c r="G242" s="47"/>
    </row>
    <row r="243" ht="15.75" customHeight="1">
      <c r="A243" s="47"/>
      <c r="B243" s="47"/>
      <c r="C243" s="47"/>
      <c r="D243" s="47"/>
      <c r="E243" s="47"/>
      <c r="F243" s="47"/>
      <c r="G243" s="47"/>
    </row>
    <row r="244" ht="15.75" customHeight="1">
      <c r="A244" s="47"/>
      <c r="B244" s="47"/>
      <c r="C244" s="47"/>
      <c r="D244" s="47"/>
      <c r="E244" s="47"/>
      <c r="F244" s="47"/>
      <c r="G244" s="47"/>
    </row>
    <row r="245" ht="15.75" customHeight="1">
      <c r="A245" s="47"/>
      <c r="B245" s="47"/>
      <c r="C245" s="47"/>
      <c r="D245" s="47"/>
      <c r="E245" s="47"/>
      <c r="F245" s="47"/>
      <c r="G245" s="47"/>
    </row>
    <row r="246" ht="15.75" customHeight="1">
      <c r="A246" s="47"/>
      <c r="B246" s="47"/>
      <c r="C246" s="47"/>
      <c r="D246" s="47"/>
      <c r="E246" s="47"/>
      <c r="F246" s="47"/>
      <c r="G246" s="47"/>
    </row>
    <row r="247" ht="15.75" customHeight="1">
      <c r="A247" s="47"/>
      <c r="B247" s="47"/>
      <c r="C247" s="47"/>
      <c r="D247" s="47"/>
      <c r="E247" s="47"/>
      <c r="F247" s="47"/>
      <c r="G247" s="47"/>
    </row>
    <row r="248" ht="15.75" customHeight="1">
      <c r="A248" s="47"/>
      <c r="B248" s="47"/>
      <c r="C248" s="47"/>
      <c r="D248" s="47"/>
      <c r="E248" s="47"/>
      <c r="F248" s="47"/>
      <c r="G248" s="47"/>
    </row>
    <row r="249" ht="15.75" customHeight="1">
      <c r="A249" s="47"/>
      <c r="B249" s="47"/>
      <c r="C249" s="47"/>
      <c r="D249" s="47"/>
      <c r="E249" s="47"/>
      <c r="F249" s="47"/>
      <c r="G249" s="47"/>
    </row>
    <row r="250" ht="15.75" customHeight="1">
      <c r="A250" s="47"/>
      <c r="B250" s="47"/>
      <c r="C250" s="47"/>
      <c r="D250" s="47"/>
      <c r="E250" s="47"/>
      <c r="F250" s="47"/>
      <c r="G250" s="47"/>
    </row>
    <row r="251" ht="15.75" customHeight="1">
      <c r="A251" s="47"/>
      <c r="B251" s="47"/>
      <c r="C251" s="47"/>
      <c r="D251" s="47"/>
      <c r="E251" s="47"/>
      <c r="F251" s="47"/>
      <c r="G251" s="47"/>
    </row>
    <row r="252" ht="15.75" customHeight="1">
      <c r="A252" s="47"/>
      <c r="B252" s="47"/>
      <c r="C252" s="47"/>
      <c r="D252" s="47"/>
      <c r="E252" s="47"/>
      <c r="F252" s="47"/>
      <c r="G252" s="47"/>
    </row>
    <row r="253" ht="15.75" customHeight="1">
      <c r="A253" s="47"/>
      <c r="B253" s="47"/>
      <c r="C253" s="47"/>
      <c r="D253" s="47"/>
      <c r="E253" s="47"/>
      <c r="F253" s="47"/>
      <c r="G253" s="47"/>
    </row>
    <row r="254" ht="15.75" customHeight="1">
      <c r="A254" s="47"/>
      <c r="B254" s="47"/>
      <c r="C254" s="47"/>
      <c r="D254" s="47"/>
      <c r="E254" s="47"/>
      <c r="F254" s="47"/>
      <c r="G254" s="47"/>
    </row>
    <row r="255" ht="15.75" customHeight="1">
      <c r="A255" s="47"/>
      <c r="B255" s="47"/>
      <c r="C255" s="47"/>
      <c r="D255" s="47"/>
      <c r="E255" s="47"/>
      <c r="F255" s="47"/>
      <c r="G255" s="47"/>
    </row>
    <row r="256" ht="15.75" customHeight="1">
      <c r="A256" s="47"/>
      <c r="B256" s="47"/>
      <c r="C256" s="47"/>
      <c r="D256" s="47"/>
      <c r="E256" s="47"/>
      <c r="F256" s="47"/>
      <c r="G256" s="47"/>
    </row>
    <row r="257" ht="15.75" customHeight="1">
      <c r="A257" s="47"/>
      <c r="B257" s="47"/>
      <c r="C257" s="47"/>
      <c r="D257" s="47"/>
      <c r="E257" s="47"/>
      <c r="F257" s="47"/>
      <c r="G257" s="47"/>
    </row>
    <row r="258" ht="15.75" customHeight="1">
      <c r="A258" s="47"/>
      <c r="B258" s="47"/>
      <c r="C258" s="47"/>
      <c r="D258" s="47"/>
      <c r="E258" s="47"/>
      <c r="F258" s="47"/>
      <c r="G258" s="47"/>
    </row>
    <row r="259" ht="15.75" customHeight="1">
      <c r="A259" s="47"/>
      <c r="B259" s="47"/>
      <c r="C259" s="47"/>
      <c r="D259" s="47"/>
      <c r="E259" s="47"/>
      <c r="F259" s="47"/>
      <c r="G259" s="47"/>
    </row>
    <row r="260" ht="15.75" customHeight="1">
      <c r="A260" s="47"/>
      <c r="B260" s="47"/>
      <c r="C260" s="47"/>
      <c r="D260" s="47"/>
      <c r="E260" s="47"/>
      <c r="F260" s="47"/>
      <c r="G260" s="47"/>
    </row>
    <row r="261" ht="15.75" customHeight="1">
      <c r="A261" s="47"/>
      <c r="B261" s="47"/>
      <c r="C261" s="47"/>
      <c r="D261" s="47"/>
      <c r="E261" s="47"/>
      <c r="F261" s="47"/>
      <c r="G261" s="47"/>
    </row>
    <row r="262" ht="15.75" customHeight="1">
      <c r="A262" s="47"/>
      <c r="B262" s="47"/>
      <c r="C262" s="47"/>
      <c r="D262" s="47"/>
      <c r="E262" s="47"/>
      <c r="F262" s="47"/>
      <c r="G262" s="47"/>
    </row>
    <row r="263" ht="15.75" customHeight="1">
      <c r="A263" s="47"/>
      <c r="B263" s="47"/>
      <c r="C263" s="47"/>
      <c r="D263" s="47"/>
      <c r="E263" s="47"/>
      <c r="F263" s="47"/>
      <c r="G263" s="47"/>
    </row>
    <row r="264" ht="15.75" customHeight="1">
      <c r="A264" s="47"/>
      <c r="B264" s="47"/>
      <c r="C264" s="47"/>
      <c r="D264" s="47"/>
      <c r="E264" s="47"/>
      <c r="F264" s="47"/>
      <c r="G264" s="47"/>
    </row>
    <row r="265" ht="15.75" customHeight="1">
      <c r="A265" s="47"/>
      <c r="B265" s="47"/>
      <c r="C265" s="47"/>
      <c r="D265" s="47"/>
      <c r="E265" s="47"/>
      <c r="F265" s="47"/>
      <c r="G265" s="47"/>
    </row>
    <row r="266" ht="15.75" customHeight="1">
      <c r="A266" s="47"/>
      <c r="B266" s="47"/>
      <c r="C266" s="47"/>
      <c r="D266" s="47"/>
      <c r="E266" s="47"/>
      <c r="F266" s="47"/>
      <c r="G266" s="47"/>
    </row>
    <row r="267" ht="15.75" customHeight="1">
      <c r="A267" s="47"/>
      <c r="B267" s="47"/>
      <c r="C267" s="47"/>
      <c r="D267" s="47"/>
      <c r="E267" s="47"/>
      <c r="F267" s="47"/>
      <c r="G267" s="47"/>
    </row>
    <row r="268" ht="15.75" customHeight="1">
      <c r="A268" s="47"/>
      <c r="B268" s="47"/>
      <c r="C268" s="47"/>
      <c r="D268" s="47"/>
      <c r="E268" s="47"/>
      <c r="F268" s="47"/>
      <c r="G268" s="47"/>
    </row>
    <row r="269" ht="15.75" customHeight="1">
      <c r="A269" s="47"/>
      <c r="B269" s="47"/>
      <c r="C269" s="47"/>
      <c r="D269" s="47"/>
      <c r="E269" s="47"/>
      <c r="F269" s="47"/>
      <c r="G269" s="47"/>
    </row>
    <row r="270" ht="15.75" customHeight="1">
      <c r="A270" s="47"/>
      <c r="B270" s="47"/>
      <c r="C270" s="47"/>
      <c r="D270" s="47"/>
      <c r="E270" s="47"/>
      <c r="F270" s="47"/>
      <c r="G270" s="47"/>
    </row>
    <row r="271" ht="15.75" customHeight="1">
      <c r="A271" s="47"/>
      <c r="B271" s="47"/>
      <c r="C271" s="47"/>
      <c r="D271" s="47"/>
      <c r="E271" s="47"/>
      <c r="F271" s="47"/>
      <c r="G271" s="47"/>
    </row>
    <row r="272" ht="15.75" customHeight="1">
      <c r="A272" s="47"/>
      <c r="B272" s="47"/>
      <c r="C272" s="47"/>
      <c r="D272" s="47"/>
      <c r="E272" s="47"/>
      <c r="F272" s="47"/>
      <c r="G272" s="47"/>
    </row>
    <row r="273" ht="15.75" customHeight="1">
      <c r="A273" s="47"/>
      <c r="B273" s="47"/>
      <c r="C273" s="47"/>
      <c r="D273" s="47"/>
      <c r="E273" s="47"/>
      <c r="F273" s="47"/>
      <c r="G273" s="47"/>
    </row>
    <row r="274" ht="15.75" customHeight="1">
      <c r="A274" s="47"/>
      <c r="B274" s="47"/>
      <c r="C274" s="47"/>
      <c r="D274" s="47"/>
      <c r="E274" s="47"/>
      <c r="F274" s="47"/>
      <c r="G274" s="47"/>
    </row>
    <row r="275" ht="15.75" customHeight="1">
      <c r="A275" s="47"/>
      <c r="B275" s="47"/>
      <c r="C275" s="47"/>
      <c r="D275" s="47"/>
      <c r="E275" s="47"/>
      <c r="F275" s="47"/>
      <c r="G275" s="47"/>
    </row>
    <row r="276" ht="15.75" customHeight="1">
      <c r="A276" s="47"/>
      <c r="B276" s="47"/>
      <c r="C276" s="47"/>
      <c r="D276" s="47"/>
      <c r="E276" s="47"/>
      <c r="F276" s="47"/>
      <c r="G276" s="47"/>
    </row>
    <row r="277" ht="15.75" customHeight="1">
      <c r="A277" s="47"/>
      <c r="B277" s="47"/>
      <c r="C277" s="47"/>
      <c r="D277" s="47"/>
      <c r="E277" s="47"/>
      <c r="F277" s="47"/>
      <c r="G277" s="47"/>
    </row>
    <row r="278" ht="15.75" customHeight="1">
      <c r="A278" s="47"/>
      <c r="B278" s="47"/>
      <c r="C278" s="47"/>
      <c r="D278" s="47"/>
      <c r="E278" s="47"/>
      <c r="F278" s="47"/>
      <c r="G278" s="47"/>
    </row>
    <row r="279" ht="15.75" customHeight="1">
      <c r="A279" s="47"/>
      <c r="B279" s="47"/>
      <c r="C279" s="47"/>
      <c r="D279" s="47"/>
      <c r="E279" s="47"/>
      <c r="F279" s="47"/>
      <c r="G279" s="47"/>
    </row>
    <row r="280" ht="15.75" customHeight="1">
      <c r="A280" s="47"/>
      <c r="B280" s="47"/>
      <c r="C280" s="47"/>
      <c r="D280" s="47"/>
      <c r="E280" s="47"/>
      <c r="F280" s="47"/>
      <c r="G280" s="47"/>
    </row>
    <row r="281" ht="15.75" customHeight="1">
      <c r="A281" s="47"/>
      <c r="B281" s="47"/>
      <c r="C281" s="47"/>
      <c r="D281" s="47"/>
      <c r="E281" s="47"/>
      <c r="F281" s="47"/>
      <c r="G281" s="47"/>
    </row>
    <row r="282" ht="15.75" customHeight="1">
      <c r="A282" s="47"/>
      <c r="B282" s="47"/>
      <c r="C282" s="47"/>
      <c r="D282" s="47"/>
      <c r="E282" s="47"/>
      <c r="F282" s="47"/>
      <c r="G282" s="47"/>
    </row>
    <row r="283" ht="15.75" customHeight="1">
      <c r="A283" s="47"/>
      <c r="B283" s="47"/>
      <c r="C283" s="47"/>
      <c r="D283" s="47"/>
      <c r="E283" s="47"/>
      <c r="F283" s="47"/>
      <c r="G283" s="47"/>
    </row>
    <row r="284" ht="15.75" customHeight="1">
      <c r="A284" s="47"/>
      <c r="B284" s="47"/>
      <c r="C284" s="47"/>
      <c r="D284" s="47"/>
      <c r="E284" s="47"/>
      <c r="F284" s="47"/>
      <c r="G284" s="47"/>
    </row>
    <row r="285" ht="15.75" customHeight="1">
      <c r="A285" s="47"/>
      <c r="B285" s="47"/>
      <c r="C285" s="47"/>
      <c r="D285" s="47"/>
      <c r="E285" s="47"/>
      <c r="F285" s="47"/>
      <c r="G285" s="47"/>
    </row>
    <row r="286" ht="15.75" customHeight="1">
      <c r="A286" s="47"/>
      <c r="B286" s="47"/>
      <c r="C286" s="47"/>
      <c r="D286" s="47"/>
      <c r="E286" s="47"/>
      <c r="F286" s="47"/>
      <c r="G286" s="47"/>
    </row>
    <row r="287" ht="15.75" customHeight="1">
      <c r="A287" s="47"/>
      <c r="B287" s="47"/>
      <c r="C287" s="47"/>
      <c r="D287" s="47"/>
      <c r="E287" s="47"/>
      <c r="F287" s="47"/>
      <c r="G287" s="47"/>
    </row>
    <row r="288" ht="15.75" customHeight="1">
      <c r="A288" s="47"/>
      <c r="B288" s="47"/>
      <c r="C288" s="47"/>
      <c r="D288" s="47"/>
      <c r="E288" s="47"/>
      <c r="F288" s="47"/>
      <c r="G288" s="47"/>
    </row>
    <row r="289" ht="15.75" customHeight="1">
      <c r="A289" s="47"/>
      <c r="B289" s="47"/>
      <c r="C289" s="47"/>
      <c r="D289" s="47"/>
      <c r="E289" s="47"/>
      <c r="F289" s="47"/>
      <c r="G289" s="47"/>
    </row>
    <row r="290" ht="15.75" customHeight="1">
      <c r="A290" s="47"/>
      <c r="B290" s="47"/>
      <c r="C290" s="47"/>
      <c r="D290" s="47"/>
      <c r="E290" s="47"/>
      <c r="F290" s="47"/>
      <c r="G290" s="47"/>
    </row>
    <row r="291" ht="15.75" customHeight="1">
      <c r="A291" s="47"/>
      <c r="B291" s="47"/>
      <c r="C291" s="47"/>
      <c r="D291" s="47"/>
      <c r="E291" s="47"/>
      <c r="F291" s="47"/>
      <c r="G291" s="47"/>
    </row>
    <row r="292" ht="15.75" customHeight="1">
      <c r="A292" s="47"/>
      <c r="B292" s="47"/>
      <c r="C292" s="47"/>
      <c r="D292" s="47"/>
      <c r="E292" s="47"/>
      <c r="F292" s="47"/>
      <c r="G292" s="47"/>
    </row>
    <row r="293" ht="15.75" customHeight="1">
      <c r="A293" s="47"/>
      <c r="B293" s="47"/>
      <c r="C293" s="47"/>
      <c r="D293" s="47"/>
      <c r="E293" s="47"/>
      <c r="F293" s="47"/>
      <c r="G293" s="47"/>
    </row>
    <row r="294" ht="15.75" customHeight="1">
      <c r="A294" s="47"/>
      <c r="B294" s="47"/>
      <c r="C294" s="47"/>
      <c r="D294" s="47"/>
      <c r="E294" s="47"/>
      <c r="F294" s="47"/>
      <c r="G294" s="47"/>
    </row>
    <row r="295" ht="15.75" customHeight="1">
      <c r="A295" s="47"/>
      <c r="B295" s="47"/>
      <c r="C295" s="47"/>
      <c r="D295" s="47"/>
      <c r="E295" s="47"/>
      <c r="F295" s="47"/>
      <c r="G295" s="47"/>
    </row>
    <row r="296" ht="15.75" customHeight="1">
      <c r="A296" s="47"/>
      <c r="B296" s="47"/>
      <c r="C296" s="47"/>
      <c r="D296" s="47"/>
      <c r="E296" s="47"/>
      <c r="F296" s="47"/>
      <c r="G296" s="47"/>
    </row>
    <row r="297" ht="15.75" customHeight="1">
      <c r="A297" s="47"/>
      <c r="B297" s="47"/>
      <c r="C297" s="47"/>
      <c r="D297" s="47"/>
      <c r="E297" s="47"/>
      <c r="F297" s="47"/>
      <c r="G297" s="47"/>
    </row>
    <row r="298" ht="15.75" customHeight="1">
      <c r="A298" s="47"/>
      <c r="B298" s="47"/>
      <c r="C298" s="47"/>
      <c r="D298" s="47"/>
      <c r="E298" s="47"/>
      <c r="F298" s="47"/>
      <c r="G298" s="47"/>
    </row>
    <row r="299" ht="15.75" customHeight="1">
      <c r="A299" s="47"/>
      <c r="B299" s="47"/>
      <c r="C299" s="47"/>
      <c r="D299" s="47"/>
      <c r="E299" s="47"/>
      <c r="F299" s="47"/>
      <c r="G299" s="47"/>
    </row>
    <row r="300" ht="15.75" customHeight="1">
      <c r="A300" s="47"/>
      <c r="B300" s="47"/>
      <c r="C300" s="47"/>
      <c r="D300" s="47"/>
      <c r="E300" s="47"/>
      <c r="F300" s="47"/>
      <c r="G300" s="47"/>
    </row>
    <row r="301" ht="15.75" customHeight="1">
      <c r="A301" s="47"/>
      <c r="B301" s="47"/>
      <c r="C301" s="47"/>
      <c r="D301" s="47"/>
      <c r="E301" s="47"/>
      <c r="F301" s="47"/>
      <c r="G301" s="47"/>
    </row>
    <row r="302" ht="15.75" customHeight="1">
      <c r="A302" s="47"/>
      <c r="B302" s="47"/>
      <c r="C302" s="47"/>
      <c r="D302" s="47"/>
      <c r="E302" s="47"/>
      <c r="F302" s="47"/>
      <c r="G302" s="47"/>
    </row>
    <row r="303" ht="15.75" customHeight="1">
      <c r="A303" s="47"/>
      <c r="B303" s="47"/>
      <c r="C303" s="47"/>
      <c r="D303" s="47"/>
      <c r="E303" s="47"/>
      <c r="F303" s="47"/>
      <c r="G303" s="47"/>
    </row>
    <row r="304" ht="15.75" customHeight="1">
      <c r="A304" s="47"/>
      <c r="B304" s="47"/>
      <c r="C304" s="47"/>
      <c r="D304" s="47"/>
      <c r="E304" s="47"/>
      <c r="F304" s="47"/>
      <c r="G304" s="47"/>
    </row>
    <row r="305" ht="15.75" customHeight="1">
      <c r="A305" s="47"/>
      <c r="B305" s="47"/>
      <c r="C305" s="47"/>
      <c r="D305" s="47"/>
      <c r="E305" s="47"/>
      <c r="F305" s="47"/>
      <c r="G305" s="47"/>
    </row>
    <row r="306" ht="15.75" customHeight="1">
      <c r="A306" s="47"/>
      <c r="B306" s="47"/>
      <c r="C306" s="47"/>
      <c r="D306" s="47"/>
      <c r="E306" s="47"/>
      <c r="F306" s="47"/>
      <c r="G306" s="47"/>
    </row>
    <row r="307" ht="15.75" customHeight="1">
      <c r="A307" s="47"/>
      <c r="B307" s="47"/>
      <c r="C307" s="47"/>
      <c r="D307" s="47"/>
      <c r="E307" s="47"/>
      <c r="F307" s="47"/>
      <c r="G307" s="47"/>
    </row>
    <row r="308" ht="15.75" customHeight="1">
      <c r="A308" s="47"/>
      <c r="B308" s="47"/>
      <c r="C308" s="47"/>
      <c r="D308" s="47"/>
      <c r="E308" s="47"/>
      <c r="F308" s="47"/>
      <c r="G308" s="47"/>
    </row>
    <row r="309" ht="15.75" customHeight="1">
      <c r="A309" s="47"/>
      <c r="B309" s="47"/>
      <c r="C309" s="47"/>
      <c r="D309" s="47"/>
      <c r="E309" s="47"/>
      <c r="F309" s="47"/>
      <c r="G309" s="47"/>
    </row>
    <row r="310" ht="15.75" customHeight="1">
      <c r="A310" s="47"/>
      <c r="B310" s="47"/>
      <c r="C310" s="47"/>
      <c r="D310" s="47"/>
      <c r="E310" s="47"/>
      <c r="F310" s="47"/>
      <c r="G310" s="47"/>
    </row>
    <row r="311" ht="15.75" customHeight="1">
      <c r="A311" s="47"/>
      <c r="B311" s="47"/>
      <c r="C311" s="47"/>
      <c r="D311" s="47"/>
      <c r="E311" s="47"/>
      <c r="F311" s="47"/>
      <c r="G311" s="47"/>
    </row>
    <row r="312" ht="15.75" customHeight="1">
      <c r="A312" s="47"/>
      <c r="B312" s="47"/>
      <c r="C312" s="47"/>
      <c r="D312" s="47"/>
      <c r="E312" s="47"/>
      <c r="F312" s="47"/>
      <c r="G312" s="47"/>
    </row>
    <row r="313" ht="15.75" customHeight="1">
      <c r="A313" s="47"/>
      <c r="B313" s="47"/>
      <c r="C313" s="47"/>
      <c r="D313" s="47"/>
      <c r="E313" s="47"/>
      <c r="F313" s="47"/>
      <c r="G313" s="47"/>
    </row>
    <row r="314" ht="15.75" customHeight="1">
      <c r="A314" s="47"/>
      <c r="B314" s="47"/>
      <c r="C314" s="47"/>
      <c r="D314" s="47"/>
      <c r="E314" s="47"/>
      <c r="F314" s="47"/>
      <c r="G314" s="47"/>
    </row>
    <row r="315" ht="15.75" customHeight="1">
      <c r="A315" s="47"/>
      <c r="B315" s="47"/>
      <c r="C315" s="47"/>
      <c r="D315" s="47"/>
      <c r="E315" s="47"/>
      <c r="F315" s="47"/>
      <c r="G315" s="47"/>
    </row>
    <row r="316" ht="15.75" customHeight="1">
      <c r="A316" s="47"/>
      <c r="B316" s="47"/>
      <c r="C316" s="47"/>
      <c r="D316" s="47"/>
      <c r="E316" s="47"/>
      <c r="F316" s="47"/>
      <c r="G316" s="47"/>
    </row>
    <row r="317" ht="15.75" customHeight="1">
      <c r="A317" s="47"/>
      <c r="B317" s="47"/>
      <c r="C317" s="47"/>
      <c r="D317" s="47"/>
      <c r="E317" s="47"/>
      <c r="F317" s="47"/>
      <c r="G317" s="47"/>
    </row>
    <row r="318" ht="15.75" customHeight="1">
      <c r="A318" s="47"/>
      <c r="B318" s="47"/>
      <c r="C318" s="47"/>
      <c r="D318" s="47"/>
      <c r="E318" s="47"/>
      <c r="F318" s="47"/>
      <c r="G318" s="47"/>
    </row>
    <row r="319" ht="15.75" customHeight="1">
      <c r="A319" s="47"/>
      <c r="B319" s="47"/>
      <c r="C319" s="47"/>
      <c r="D319" s="47"/>
      <c r="E319" s="47"/>
      <c r="F319" s="47"/>
      <c r="G319" s="47"/>
    </row>
    <row r="320" ht="15.75" customHeight="1">
      <c r="A320" s="47"/>
      <c r="B320" s="47"/>
      <c r="C320" s="47"/>
      <c r="D320" s="47"/>
      <c r="E320" s="47"/>
      <c r="F320" s="47"/>
      <c r="G320" s="47"/>
    </row>
    <row r="321" ht="15.75" customHeight="1">
      <c r="A321" s="47"/>
      <c r="B321" s="47"/>
      <c r="C321" s="47"/>
      <c r="D321" s="47"/>
      <c r="E321" s="47"/>
      <c r="F321" s="47"/>
      <c r="G321" s="47"/>
    </row>
    <row r="322" ht="15.75" customHeight="1">
      <c r="A322" s="47"/>
      <c r="B322" s="47"/>
      <c r="C322" s="47"/>
      <c r="D322" s="47"/>
      <c r="E322" s="47"/>
      <c r="F322" s="47"/>
      <c r="G322" s="47"/>
    </row>
    <row r="323" ht="15.75" customHeight="1">
      <c r="A323" s="47"/>
      <c r="B323" s="47"/>
      <c r="C323" s="47"/>
      <c r="D323" s="47"/>
      <c r="E323" s="47"/>
      <c r="F323" s="47"/>
      <c r="G323" s="47"/>
    </row>
    <row r="324" ht="15.75" customHeight="1">
      <c r="A324" s="47"/>
      <c r="B324" s="47"/>
      <c r="C324" s="47"/>
      <c r="D324" s="47"/>
      <c r="E324" s="47"/>
      <c r="F324" s="47"/>
      <c r="G324" s="47"/>
    </row>
    <row r="325" ht="15.75" customHeight="1">
      <c r="A325" s="47"/>
      <c r="B325" s="47"/>
      <c r="C325" s="47"/>
      <c r="D325" s="47"/>
      <c r="E325" s="47"/>
      <c r="F325" s="47"/>
      <c r="G325" s="47"/>
    </row>
    <row r="326" ht="15.75" customHeight="1">
      <c r="A326" s="47"/>
      <c r="B326" s="47"/>
      <c r="C326" s="47"/>
      <c r="D326" s="47"/>
      <c r="E326" s="47"/>
      <c r="F326" s="47"/>
      <c r="G326" s="47"/>
    </row>
    <row r="327" ht="15.75" customHeight="1">
      <c r="A327" s="47"/>
      <c r="B327" s="47"/>
      <c r="C327" s="47"/>
      <c r="D327" s="47"/>
      <c r="E327" s="47"/>
      <c r="F327" s="47"/>
      <c r="G327" s="47"/>
    </row>
    <row r="328" ht="15.75" customHeight="1">
      <c r="A328" s="47"/>
      <c r="B328" s="47"/>
      <c r="C328" s="47"/>
      <c r="D328" s="47"/>
      <c r="E328" s="47"/>
      <c r="F328" s="47"/>
      <c r="G328" s="47"/>
    </row>
    <row r="329" ht="15.75" customHeight="1">
      <c r="A329" s="47"/>
      <c r="B329" s="47"/>
      <c r="C329" s="47"/>
      <c r="D329" s="47"/>
      <c r="E329" s="47"/>
      <c r="F329" s="47"/>
      <c r="G329" s="47"/>
    </row>
    <row r="330" ht="15.75" customHeight="1">
      <c r="A330" s="47"/>
      <c r="B330" s="47"/>
      <c r="C330" s="47"/>
      <c r="D330" s="47"/>
      <c r="E330" s="47"/>
      <c r="F330" s="47"/>
      <c r="G330" s="47"/>
    </row>
    <row r="331" ht="15.75" customHeight="1">
      <c r="A331" s="47"/>
      <c r="B331" s="47"/>
      <c r="C331" s="47"/>
      <c r="D331" s="47"/>
      <c r="E331" s="47"/>
      <c r="F331" s="47"/>
      <c r="G331" s="47"/>
    </row>
    <row r="332" ht="15.75" customHeight="1">
      <c r="A332" s="47"/>
      <c r="B332" s="47"/>
      <c r="C332" s="47"/>
      <c r="D332" s="47"/>
      <c r="E332" s="47"/>
      <c r="F332" s="47"/>
      <c r="G332" s="47"/>
    </row>
    <row r="333" ht="15.75" customHeight="1">
      <c r="A333" s="47"/>
      <c r="B333" s="47"/>
      <c r="C333" s="47"/>
      <c r="D333" s="47"/>
      <c r="E333" s="47"/>
      <c r="F333" s="47"/>
      <c r="G333" s="47"/>
    </row>
    <row r="334" ht="15.75" customHeight="1">
      <c r="A334" s="47"/>
      <c r="B334" s="47"/>
      <c r="C334" s="47"/>
      <c r="D334" s="47"/>
      <c r="E334" s="47"/>
      <c r="F334" s="47"/>
      <c r="G334" s="47"/>
    </row>
    <row r="335" ht="15.75" customHeight="1">
      <c r="A335" s="47"/>
      <c r="B335" s="47"/>
      <c r="C335" s="47"/>
      <c r="D335" s="47"/>
      <c r="E335" s="47"/>
      <c r="F335" s="47"/>
      <c r="G335" s="47"/>
    </row>
    <row r="336" ht="15.75" customHeight="1">
      <c r="A336" s="47"/>
      <c r="B336" s="47"/>
      <c r="C336" s="47"/>
      <c r="D336" s="47"/>
      <c r="E336" s="47"/>
      <c r="F336" s="47"/>
      <c r="G336" s="47"/>
    </row>
    <row r="337" ht="15.75" customHeight="1">
      <c r="A337" s="47"/>
      <c r="B337" s="47"/>
      <c r="C337" s="47"/>
      <c r="D337" s="47"/>
      <c r="E337" s="47"/>
      <c r="F337" s="47"/>
      <c r="G337" s="47"/>
    </row>
    <row r="338" ht="15.75" customHeight="1">
      <c r="A338" s="47"/>
      <c r="B338" s="47"/>
      <c r="C338" s="47"/>
      <c r="D338" s="47"/>
      <c r="E338" s="47"/>
      <c r="F338" s="47"/>
      <c r="G338" s="47"/>
    </row>
    <row r="339" ht="15.75" customHeight="1">
      <c r="A339" s="47"/>
      <c r="B339" s="47"/>
      <c r="C339" s="47"/>
      <c r="D339" s="47"/>
      <c r="E339" s="47"/>
      <c r="F339" s="47"/>
      <c r="G339" s="47"/>
    </row>
    <row r="340" ht="15.75" customHeight="1">
      <c r="A340" s="47"/>
      <c r="B340" s="47"/>
      <c r="C340" s="47"/>
      <c r="D340" s="47"/>
      <c r="E340" s="47"/>
      <c r="F340" s="47"/>
      <c r="G340" s="47"/>
    </row>
    <row r="341" ht="15.75" customHeight="1">
      <c r="A341" s="47"/>
      <c r="B341" s="47"/>
      <c r="C341" s="47"/>
      <c r="D341" s="47"/>
      <c r="E341" s="47"/>
      <c r="F341" s="47"/>
      <c r="G341" s="47"/>
    </row>
    <row r="342" ht="15.75" customHeight="1">
      <c r="A342" s="47"/>
      <c r="B342" s="47"/>
      <c r="C342" s="47"/>
      <c r="D342" s="47"/>
      <c r="E342" s="47"/>
      <c r="F342" s="47"/>
      <c r="G342" s="47"/>
    </row>
    <row r="343" ht="15.75" customHeight="1">
      <c r="A343" s="47"/>
      <c r="B343" s="47"/>
      <c r="C343" s="47"/>
      <c r="D343" s="47"/>
      <c r="E343" s="47"/>
      <c r="F343" s="47"/>
      <c r="G343" s="47"/>
    </row>
    <row r="344" ht="15.75" customHeight="1">
      <c r="A344" s="47"/>
      <c r="B344" s="47"/>
      <c r="C344" s="47"/>
      <c r="D344" s="47"/>
      <c r="E344" s="47"/>
      <c r="F344" s="47"/>
      <c r="G344" s="47"/>
    </row>
    <row r="345" ht="15.75" customHeight="1">
      <c r="A345" s="47"/>
      <c r="B345" s="47"/>
      <c r="C345" s="47"/>
      <c r="D345" s="47"/>
      <c r="E345" s="47"/>
      <c r="F345" s="47"/>
      <c r="G345" s="47"/>
    </row>
    <row r="346" ht="15.75" customHeight="1">
      <c r="A346" s="47"/>
      <c r="B346" s="47"/>
      <c r="C346" s="47"/>
      <c r="D346" s="47"/>
      <c r="E346" s="47"/>
      <c r="F346" s="47"/>
      <c r="G346" s="47"/>
    </row>
    <row r="347" ht="15.75" customHeight="1">
      <c r="A347" s="47"/>
      <c r="B347" s="47"/>
      <c r="C347" s="47"/>
      <c r="D347" s="47"/>
      <c r="E347" s="47"/>
      <c r="F347" s="47"/>
      <c r="G347" s="47"/>
    </row>
    <row r="348" ht="15.75" customHeight="1">
      <c r="A348" s="47"/>
      <c r="B348" s="47"/>
      <c r="C348" s="47"/>
      <c r="D348" s="47"/>
      <c r="E348" s="47"/>
      <c r="F348" s="47"/>
      <c r="G348" s="47"/>
    </row>
    <row r="349" ht="15.75" customHeight="1">
      <c r="A349" s="47"/>
      <c r="B349" s="47"/>
      <c r="C349" s="47"/>
      <c r="D349" s="47"/>
      <c r="E349" s="47"/>
      <c r="F349" s="47"/>
      <c r="G349" s="47"/>
    </row>
    <row r="350" ht="15.75" customHeight="1">
      <c r="A350" s="47"/>
      <c r="B350" s="47"/>
      <c r="C350" s="47"/>
      <c r="D350" s="47"/>
      <c r="E350" s="47"/>
      <c r="F350" s="47"/>
      <c r="G350" s="47"/>
    </row>
    <row r="351" ht="15.75" customHeight="1">
      <c r="A351" s="47"/>
      <c r="B351" s="47"/>
      <c r="C351" s="47"/>
      <c r="D351" s="47"/>
      <c r="E351" s="47"/>
      <c r="F351" s="47"/>
      <c r="G351" s="47"/>
    </row>
    <row r="352" ht="15.75" customHeight="1">
      <c r="A352" s="47"/>
      <c r="B352" s="47"/>
      <c r="C352" s="47"/>
      <c r="D352" s="47"/>
      <c r="E352" s="47"/>
      <c r="F352" s="47"/>
      <c r="G352" s="47"/>
    </row>
    <row r="353" ht="15.75" customHeight="1">
      <c r="A353" s="47"/>
      <c r="B353" s="47"/>
      <c r="C353" s="47"/>
      <c r="D353" s="47"/>
      <c r="E353" s="47"/>
      <c r="F353" s="47"/>
      <c r="G353" s="47"/>
    </row>
    <row r="354" ht="15.75" customHeight="1">
      <c r="A354" s="47"/>
      <c r="B354" s="47"/>
      <c r="C354" s="47"/>
      <c r="D354" s="47"/>
      <c r="E354" s="47"/>
      <c r="F354" s="47"/>
      <c r="G354" s="47"/>
    </row>
    <row r="355" ht="15.75" customHeight="1">
      <c r="A355" s="47"/>
      <c r="B355" s="47"/>
      <c r="C355" s="47"/>
      <c r="D355" s="47"/>
      <c r="E355" s="47"/>
      <c r="F355" s="47"/>
      <c r="G355" s="47"/>
    </row>
    <row r="356" ht="15.75" customHeight="1">
      <c r="A356" s="47"/>
      <c r="B356" s="47"/>
      <c r="C356" s="47"/>
      <c r="D356" s="47"/>
      <c r="E356" s="47"/>
      <c r="F356" s="47"/>
      <c r="G356" s="47"/>
    </row>
    <row r="357" ht="15.75" customHeight="1">
      <c r="A357" s="47"/>
      <c r="B357" s="47"/>
      <c r="C357" s="47"/>
      <c r="D357" s="47"/>
      <c r="E357" s="47"/>
      <c r="F357" s="47"/>
      <c r="G357" s="47"/>
    </row>
    <row r="358" ht="15.75" customHeight="1">
      <c r="A358" s="47"/>
      <c r="B358" s="47"/>
      <c r="C358" s="47"/>
      <c r="D358" s="47"/>
      <c r="E358" s="47"/>
      <c r="F358" s="47"/>
      <c r="G358" s="47"/>
    </row>
    <row r="359" ht="15.75" customHeight="1">
      <c r="A359" s="47"/>
      <c r="B359" s="47"/>
      <c r="C359" s="47"/>
      <c r="D359" s="47"/>
      <c r="E359" s="47"/>
      <c r="F359" s="47"/>
      <c r="G359" s="47"/>
    </row>
    <row r="360" ht="15.75" customHeight="1">
      <c r="A360" s="47"/>
      <c r="B360" s="47"/>
      <c r="C360" s="47"/>
      <c r="D360" s="47"/>
      <c r="E360" s="47"/>
      <c r="F360" s="47"/>
      <c r="G360" s="47"/>
    </row>
    <row r="361" ht="15.75" customHeight="1">
      <c r="A361" s="47"/>
      <c r="B361" s="47"/>
      <c r="C361" s="47"/>
      <c r="D361" s="47"/>
      <c r="E361" s="47"/>
      <c r="F361" s="47"/>
      <c r="G361" s="47"/>
    </row>
    <row r="362" ht="15.75" customHeight="1">
      <c r="A362" s="47"/>
      <c r="B362" s="47"/>
      <c r="C362" s="47"/>
      <c r="D362" s="47"/>
      <c r="E362" s="47"/>
      <c r="F362" s="47"/>
      <c r="G362" s="47"/>
    </row>
    <row r="363" ht="15.75" customHeight="1">
      <c r="A363" s="47"/>
      <c r="B363" s="47"/>
      <c r="C363" s="47"/>
      <c r="D363" s="47"/>
      <c r="E363" s="47"/>
      <c r="F363" s="47"/>
      <c r="G363" s="47"/>
    </row>
    <row r="364" ht="15.75" customHeight="1">
      <c r="A364" s="47"/>
      <c r="B364" s="47"/>
      <c r="C364" s="47"/>
      <c r="D364" s="47"/>
      <c r="E364" s="47"/>
      <c r="F364" s="47"/>
      <c r="G364" s="47"/>
    </row>
    <row r="365" ht="15.75" customHeight="1">
      <c r="A365" s="47"/>
      <c r="B365" s="47"/>
      <c r="C365" s="47"/>
      <c r="D365" s="47"/>
      <c r="E365" s="47"/>
      <c r="F365" s="47"/>
      <c r="G365" s="47"/>
    </row>
    <row r="366" ht="15.75" customHeight="1">
      <c r="A366" s="47"/>
      <c r="B366" s="47"/>
      <c r="C366" s="47"/>
      <c r="D366" s="47"/>
      <c r="E366" s="47"/>
      <c r="F366" s="47"/>
      <c r="G366" s="47"/>
    </row>
    <row r="367" ht="15.75" customHeight="1">
      <c r="A367" s="47"/>
      <c r="B367" s="47"/>
      <c r="C367" s="47"/>
      <c r="D367" s="47"/>
      <c r="E367" s="47"/>
      <c r="F367" s="47"/>
      <c r="G367" s="47"/>
    </row>
    <row r="368" ht="15.75" customHeight="1">
      <c r="A368" s="47"/>
      <c r="B368" s="47"/>
      <c r="C368" s="47"/>
      <c r="D368" s="47"/>
      <c r="E368" s="47"/>
      <c r="F368" s="47"/>
      <c r="G368" s="47"/>
    </row>
    <row r="369" ht="15.75" customHeight="1">
      <c r="A369" s="47"/>
      <c r="B369" s="47"/>
      <c r="C369" s="47"/>
      <c r="D369" s="47"/>
      <c r="E369" s="47"/>
      <c r="F369" s="47"/>
      <c r="G369" s="47"/>
    </row>
    <row r="370" ht="15.75" customHeight="1">
      <c r="A370" s="47"/>
      <c r="B370" s="47"/>
      <c r="C370" s="47"/>
      <c r="D370" s="47"/>
      <c r="E370" s="47"/>
      <c r="F370" s="47"/>
      <c r="G370" s="47"/>
    </row>
    <row r="371" ht="15.75" customHeight="1">
      <c r="A371" s="47"/>
      <c r="B371" s="47"/>
      <c r="C371" s="47"/>
      <c r="D371" s="47"/>
      <c r="E371" s="47"/>
      <c r="F371" s="47"/>
      <c r="G371" s="47"/>
    </row>
    <row r="372" ht="15.75" customHeight="1">
      <c r="A372" s="47"/>
      <c r="B372" s="47"/>
      <c r="C372" s="47"/>
      <c r="D372" s="47"/>
      <c r="E372" s="47"/>
      <c r="F372" s="47"/>
      <c r="G372" s="47"/>
    </row>
    <row r="373" ht="15.75" customHeight="1">
      <c r="A373" s="47"/>
      <c r="B373" s="47"/>
      <c r="C373" s="47"/>
      <c r="D373" s="47"/>
      <c r="E373" s="47"/>
      <c r="F373" s="47"/>
      <c r="G373" s="47"/>
    </row>
    <row r="374" ht="15.75" customHeight="1">
      <c r="A374" s="47"/>
      <c r="B374" s="47"/>
      <c r="C374" s="47"/>
      <c r="D374" s="47"/>
      <c r="E374" s="47"/>
      <c r="F374" s="47"/>
      <c r="G374" s="47"/>
    </row>
    <row r="375" ht="15.75" customHeight="1">
      <c r="A375" s="47"/>
      <c r="B375" s="47"/>
      <c r="C375" s="47"/>
      <c r="D375" s="47"/>
      <c r="E375" s="47"/>
      <c r="F375" s="47"/>
      <c r="G375" s="47"/>
    </row>
    <row r="376" ht="15.75" customHeight="1">
      <c r="A376" s="47"/>
      <c r="B376" s="47"/>
      <c r="C376" s="47"/>
      <c r="D376" s="47"/>
      <c r="E376" s="47"/>
      <c r="F376" s="47"/>
      <c r="G376" s="47"/>
    </row>
    <row r="377" ht="15.75" customHeight="1">
      <c r="A377" s="47"/>
      <c r="B377" s="47"/>
      <c r="C377" s="47"/>
      <c r="D377" s="47"/>
      <c r="E377" s="47"/>
      <c r="F377" s="47"/>
      <c r="G377" s="47"/>
    </row>
    <row r="378" ht="15.75" customHeight="1">
      <c r="A378" s="47"/>
      <c r="B378" s="47"/>
      <c r="C378" s="47"/>
      <c r="D378" s="47"/>
      <c r="E378" s="47"/>
      <c r="F378" s="47"/>
      <c r="G378" s="47"/>
    </row>
    <row r="379" ht="15.75" customHeight="1">
      <c r="A379" s="47"/>
      <c r="B379" s="47"/>
      <c r="C379" s="47"/>
      <c r="D379" s="47"/>
      <c r="E379" s="47"/>
      <c r="F379" s="47"/>
      <c r="G379" s="47"/>
    </row>
    <row r="380" ht="15.75" customHeight="1">
      <c r="A380" s="47"/>
      <c r="B380" s="47"/>
      <c r="C380" s="47"/>
      <c r="D380" s="47"/>
      <c r="E380" s="47"/>
      <c r="F380" s="47"/>
      <c r="G380" s="47"/>
    </row>
    <row r="381" ht="15.75" customHeight="1">
      <c r="A381" s="47"/>
      <c r="B381" s="47"/>
      <c r="C381" s="47"/>
      <c r="D381" s="47"/>
      <c r="E381" s="47"/>
      <c r="F381" s="47"/>
      <c r="G381" s="47"/>
    </row>
    <row r="382" ht="15.75" customHeight="1">
      <c r="A382" s="47"/>
      <c r="B382" s="47"/>
      <c r="C382" s="47"/>
      <c r="D382" s="47"/>
      <c r="E382" s="47"/>
      <c r="F382" s="47"/>
      <c r="G382" s="47"/>
    </row>
    <row r="383" ht="15.75" customHeight="1">
      <c r="A383" s="47"/>
      <c r="B383" s="47"/>
      <c r="C383" s="47"/>
      <c r="D383" s="47"/>
      <c r="E383" s="47"/>
      <c r="F383" s="47"/>
      <c r="G383" s="47"/>
    </row>
    <row r="384" ht="15.75" customHeight="1">
      <c r="A384" s="47"/>
      <c r="B384" s="47"/>
      <c r="C384" s="47"/>
      <c r="D384" s="47"/>
      <c r="E384" s="47"/>
      <c r="F384" s="47"/>
      <c r="G384" s="47"/>
    </row>
    <row r="385" ht="15.75" customHeight="1">
      <c r="A385" s="47"/>
      <c r="B385" s="47"/>
      <c r="C385" s="47"/>
      <c r="D385" s="47"/>
      <c r="E385" s="47"/>
      <c r="F385" s="47"/>
      <c r="G385" s="47"/>
    </row>
    <row r="386" ht="15.75" customHeight="1">
      <c r="A386" s="47"/>
      <c r="B386" s="47"/>
      <c r="C386" s="47"/>
      <c r="D386" s="47"/>
      <c r="E386" s="47"/>
      <c r="F386" s="47"/>
      <c r="G386" s="47"/>
    </row>
    <row r="387" ht="15.75" customHeight="1">
      <c r="A387" s="47"/>
      <c r="B387" s="47"/>
      <c r="C387" s="47"/>
      <c r="D387" s="47"/>
      <c r="E387" s="47"/>
      <c r="F387" s="47"/>
      <c r="G387" s="47"/>
    </row>
    <row r="388" ht="15.75" customHeight="1">
      <c r="A388" s="47"/>
      <c r="B388" s="47"/>
      <c r="C388" s="47"/>
      <c r="D388" s="47"/>
      <c r="E388" s="47"/>
      <c r="F388" s="47"/>
      <c r="G388" s="47"/>
    </row>
    <row r="389" ht="15.75" customHeight="1">
      <c r="A389" s="47"/>
      <c r="B389" s="47"/>
      <c r="C389" s="47"/>
      <c r="D389" s="47"/>
      <c r="E389" s="47"/>
      <c r="F389" s="47"/>
      <c r="G389" s="47"/>
    </row>
    <row r="390" ht="15.75" customHeight="1">
      <c r="A390" s="47"/>
      <c r="B390" s="47"/>
      <c r="C390" s="47"/>
      <c r="D390" s="47"/>
      <c r="E390" s="47"/>
      <c r="F390" s="47"/>
      <c r="G390" s="47"/>
    </row>
    <row r="391" ht="15.75" customHeight="1">
      <c r="A391" s="47"/>
      <c r="B391" s="47"/>
      <c r="C391" s="47"/>
      <c r="D391" s="47"/>
      <c r="E391" s="47"/>
      <c r="F391" s="47"/>
      <c r="G391" s="47"/>
    </row>
    <row r="392" ht="15.75" customHeight="1">
      <c r="A392" s="47"/>
      <c r="B392" s="47"/>
      <c r="C392" s="47"/>
      <c r="D392" s="47"/>
      <c r="E392" s="47"/>
      <c r="F392" s="47"/>
      <c r="G392" s="47"/>
    </row>
    <row r="393" ht="15.75" customHeight="1">
      <c r="A393" s="47"/>
      <c r="B393" s="47"/>
      <c r="C393" s="47"/>
      <c r="D393" s="47"/>
      <c r="E393" s="47"/>
      <c r="F393" s="47"/>
      <c r="G393" s="47"/>
    </row>
    <row r="394" ht="15.75" customHeight="1">
      <c r="A394" s="47"/>
      <c r="B394" s="47"/>
      <c r="C394" s="47"/>
      <c r="D394" s="47"/>
      <c r="E394" s="47"/>
      <c r="F394" s="47"/>
      <c r="G394" s="47"/>
    </row>
    <row r="395" ht="15.75" customHeight="1">
      <c r="A395" s="47"/>
      <c r="B395" s="47"/>
      <c r="C395" s="47"/>
      <c r="D395" s="47"/>
      <c r="E395" s="47"/>
      <c r="F395" s="47"/>
      <c r="G395" s="47"/>
    </row>
    <row r="396" ht="15.75" customHeight="1">
      <c r="A396" s="47"/>
      <c r="B396" s="47"/>
      <c r="C396" s="47"/>
      <c r="D396" s="47"/>
      <c r="E396" s="47"/>
      <c r="F396" s="47"/>
      <c r="G396" s="47"/>
    </row>
    <row r="397" ht="15.75" customHeight="1">
      <c r="A397" s="47"/>
      <c r="B397" s="47"/>
      <c r="C397" s="47"/>
      <c r="D397" s="47"/>
      <c r="E397" s="47"/>
      <c r="F397" s="47"/>
      <c r="G397" s="47"/>
    </row>
    <row r="398" ht="15.75" customHeight="1">
      <c r="A398" s="47"/>
      <c r="B398" s="47"/>
      <c r="C398" s="47"/>
      <c r="D398" s="47"/>
      <c r="E398" s="47"/>
      <c r="F398" s="47"/>
      <c r="G398" s="47"/>
    </row>
    <row r="399" ht="15.75" customHeight="1">
      <c r="A399" s="47"/>
      <c r="B399" s="47"/>
      <c r="C399" s="47"/>
      <c r="D399" s="47"/>
      <c r="E399" s="47"/>
      <c r="F399" s="47"/>
      <c r="G399" s="47"/>
    </row>
    <row r="400" ht="15.75" customHeight="1">
      <c r="A400" s="47"/>
      <c r="B400" s="47"/>
      <c r="C400" s="47"/>
      <c r="D400" s="47"/>
      <c r="E400" s="47"/>
      <c r="F400" s="47"/>
      <c r="G400" s="47"/>
    </row>
    <row r="401" ht="15.75" customHeight="1">
      <c r="A401" s="47"/>
      <c r="B401" s="47"/>
      <c r="C401" s="47"/>
      <c r="D401" s="47"/>
      <c r="E401" s="47"/>
      <c r="F401" s="47"/>
      <c r="G401" s="47"/>
    </row>
    <row r="402" ht="15.75" customHeight="1">
      <c r="A402" s="47"/>
      <c r="B402" s="47"/>
      <c r="C402" s="47"/>
      <c r="D402" s="47"/>
      <c r="E402" s="47"/>
      <c r="F402" s="47"/>
      <c r="G402" s="47"/>
    </row>
    <row r="403" ht="15.75" customHeight="1">
      <c r="A403" s="47"/>
      <c r="B403" s="47"/>
      <c r="C403" s="47"/>
      <c r="D403" s="47"/>
      <c r="E403" s="47"/>
      <c r="F403" s="47"/>
      <c r="G403" s="47"/>
    </row>
    <row r="404" ht="15.75" customHeight="1">
      <c r="A404" s="47"/>
      <c r="B404" s="47"/>
      <c r="C404" s="47"/>
      <c r="D404" s="47"/>
      <c r="E404" s="47"/>
      <c r="F404" s="47"/>
      <c r="G404" s="47"/>
    </row>
    <row r="405" ht="15.75" customHeight="1">
      <c r="A405" s="47"/>
      <c r="B405" s="47"/>
      <c r="C405" s="47"/>
      <c r="D405" s="47"/>
      <c r="E405" s="47"/>
      <c r="F405" s="47"/>
      <c r="G405" s="47"/>
    </row>
    <row r="406" ht="15.75" customHeight="1">
      <c r="A406" s="47"/>
      <c r="B406" s="47"/>
      <c r="C406" s="47"/>
      <c r="D406" s="47"/>
      <c r="E406" s="47"/>
      <c r="F406" s="47"/>
      <c r="G406" s="47"/>
    </row>
    <row r="407" ht="15.75" customHeight="1">
      <c r="A407" s="47"/>
      <c r="B407" s="47"/>
      <c r="C407" s="47"/>
      <c r="D407" s="47"/>
      <c r="E407" s="47"/>
      <c r="F407" s="47"/>
      <c r="G407" s="47"/>
    </row>
    <row r="408" ht="15.75" customHeight="1">
      <c r="A408" s="47"/>
      <c r="B408" s="47"/>
      <c r="C408" s="47"/>
      <c r="D408" s="47"/>
      <c r="E408" s="47"/>
      <c r="F408" s="47"/>
      <c r="G408" s="47"/>
    </row>
    <row r="409" ht="15.75" customHeight="1">
      <c r="A409" s="47"/>
      <c r="B409" s="47"/>
      <c r="C409" s="47"/>
      <c r="D409" s="47"/>
      <c r="E409" s="47"/>
      <c r="F409" s="47"/>
      <c r="G409" s="47"/>
    </row>
    <row r="410" ht="15.75" customHeight="1">
      <c r="A410" s="47"/>
      <c r="B410" s="47"/>
      <c r="C410" s="47"/>
      <c r="D410" s="47"/>
      <c r="E410" s="47"/>
      <c r="F410" s="47"/>
      <c r="G410" s="47"/>
    </row>
    <row r="411" ht="15.75" customHeight="1">
      <c r="A411" s="47"/>
      <c r="B411" s="47"/>
      <c r="C411" s="47"/>
      <c r="D411" s="47"/>
      <c r="E411" s="47"/>
      <c r="F411" s="47"/>
      <c r="G411" s="47"/>
    </row>
    <row r="412" ht="15.75" customHeight="1">
      <c r="A412" s="47"/>
      <c r="B412" s="47"/>
      <c r="C412" s="47"/>
      <c r="D412" s="47"/>
      <c r="E412" s="47"/>
      <c r="F412" s="47"/>
      <c r="G412" s="47"/>
    </row>
    <row r="413" ht="15.75" customHeight="1">
      <c r="A413" s="47"/>
      <c r="B413" s="47"/>
      <c r="C413" s="47"/>
      <c r="D413" s="47"/>
      <c r="E413" s="47"/>
      <c r="F413" s="47"/>
      <c r="G413" s="47"/>
    </row>
    <row r="414" ht="15.75" customHeight="1">
      <c r="A414" s="47"/>
      <c r="B414" s="47"/>
      <c r="C414" s="47"/>
      <c r="D414" s="47"/>
      <c r="E414" s="47"/>
      <c r="F414" s="47"/>
      <c r="G414" s="47"/>
    </row>
    <row r="415" ht="15.75" customHeight="1">
      <c r="A415" s="47"/>
      <c r="B415" s="47"/>
      <c r="C415" s="47"/>
      <c r="D415" s="47"/>
      <c r="E415" s="47"/>
      <c r="F415" s="47"/>
      <c r="G415" s="47"/>
    </row>
    <row r="416" ht="15.75" customHeight="1">
      <c r="A416" s="47"/>
      <c r="B416" s="47"/>
      <c r="C416" s="47"/>
      <c r="D416" s="47"/>
      <c r="E416" s="47"/>
      <c r="F416" s="47"/>
      <c r="G416" s="47"/>
    </row>
    <row r="417" ht="15.75" customHeight="1">
      <c r="A417" s="47"/>
      <c r="B417" s="47"/>
      <c r="C417" s="47"/>
      <c r="D417" s="47"/>
      <c r="E417" s="47"/>
      <c r="F417" s="47"/>
      <c r="G417" s="47"/>
    </row>
    <row r="418" ht="15.75" customHeight="1">
      <c r="A418" s="47"/>
      <c r="B418" s="47"/>
      <c r="C418" s="47"/>
      <c r="D418" s="47"/>
      <c r="E418" s="47"/>
      <c r="F418" s="47"/>
      <c r="G418" s="47"/>
    </row>
    <row r="419" ht="15.75" customHeight="1">
      <c r="A419" s="47"/>
      <c r="B419" s="47"/>
      <c r="C419" s="47"/>
      <c r="D419" s="47"/>
      <c r="E419" s="47"/>
      <c r="F419" s="47"/>
      <c r="G419" s="47"/>
    </row>
    <row r="420" ht="15.75" customHeight="1">
      <c r="A420" s="47"/>
      <c r="B420" s="47"/>
      <c r="C420" s="47"/>
      <c r="D420" s="47"/>
      <c r="E420" s="47"/>
      <c r="F420" s="47"/>
      <c r="G420" s="47"/>
    </row>
    <row r="421" ht="15.75" customHeight="1">
      <c r="A421" s="47"/>
      <c r="B421" s="47"/>
      <c r="C421" s="47"/>
      <c r="D421" s="47"/>
      <c r="E421" s="47"/>
      <c r="F421" s="47"/>
      <c r="G421" s="47"/>
    </row>
    <row r="422" ht="15.75" customHeight="1">
      <c r="A422" s="47"/>
      <c r="B422" s="47"/>
      <c r="C422" s="47"/>
      <c r="D422" s="47"/>
      <c r="E422" s="47"/>
      <c r="F422" s="47"/>
      <c r="G422" s="47"/>
    </row>
    <row r="423" ht="15.75" customHeight="1">
      <c r="A423" s="47"/>
      <c r="B423" s="47"/>
      <c r="C423" s="47"/>
      <c r="D423" s="47"/>
      <c r="E423" s="47"/>
      <c r="F423" s="47"/>
      <c r="G423" s="47"/>
    </row>
    <row r="424" ht="15.75" customHeight="1">
      <c r="A424" s="47"/>
      <c r="B424" s="47"/>
      <c r="C424" s="47"/>
      <c r="D424" s="47"/>
      <c r="E424" s="47"/>
      <c r="F424" s="47"/>
      <c r="G424" s="47"/>
    </row>
    <row r="425" ht="15.75" customHeight="1">
      <c r="A425" s="47"/>
      <c r="B425" s="47"/>
      <c r="C425" s="47"/>
      <c r="D425" s="47"/>
      <c r="E425" s="47"/>
      <c r="F425" s="47"/>
      <c r="G425" s="47"/>
    </row>
    <row r="426" ht="15.75" customHeight="1">
      <c r="A426" s="47"/>
      <c r="B426" s="47"/>
      <c r="C426" s="47"/>
      <c r="D426" s="47"/>
      <c r="E426" s="47"/>
      <c r="F426" s="47"/>
      <c r="G426" s="47"/>
    </row>
    <row r="427" ht="15.75" customHeight="1">
      <c r="A427" s="47"/>
      <c r="B427" s="47"/>
      <c r="C427" s="47"/>
      <c r="D427" s="47"/>
      <c r="E427" s="47"/>
      <c r="F427" s="47"/>
      <c r="G427" s="47"/>
    </row>
    <row r="428" ht="15.75" customHeight="1">
      <c r="A428" s="47"/>
      <c r="B428" s="47"/>
      <c r="C428" s="47"/>
      <c r="D428" s="47"/>
      <c r="E428" s="47"/>
      <c r="F428" s="47"/>
      <c r="G428" s="47"/>
    </row>
    <row r="429" ht="15.75" customHeight="1">
      <c r="A429" s="47"/>
      <c r="B429" s="47"/>
      <c r="C429" s="47"/>
      <c r="D429" s="47"/>
      <c r="E429" s="47"/>
      <c r="F429" s="47"/>
      <c r="G429" s="47"/>
    </row>
    <row r="430" ht="15.75" customHeight="1">
      <c r="A430" s="47"/>
      <c r="B430" s="47"/>
      <c r="C430" s="47"/>
      <c r="D430" s="47"/>
      <c r="E430" s="47"/>
      <c r="F430" s="47"/>
      <c r="G430" s="47"/>
    </row>
    <row r="431" ht="15.75" customHeight="1">
      <c r="A431" s="47"/>
      <c r="B431" s="47"/>
      <c r="C431" s="47"/>
      <c r="D431" s="47"/>
      <c r="E431" s="47"/>
      <c r="F431" s="47"/>
      <c r="G431" s="47"/>
    </row>
    <row r="432" ht="15.75" customHeight="1">
      <c r="A432" s="47"/>
      <c r="B432" s="47"/>
      <c r="C432" s="47"/>
      <c r="D432" s="47"/>
      <c r="E432" s="47"/>
      <c r="F432" s="47"/>
      <c r="G432" s="47"/>
    </row>
    <row r="433" ht="15.75" customHeight="1">
      <c r="A433" s="47"/>
      <c r="B433" s="47"/>
      <c r="C433" s="47"/>
      <c r="D433" s="47"/>
      <c r="E433" s="47"/>
      <c r="F433" s="47"/>
      <c r="G433" s="47"/>
    </row>
    <row r="434" ht="15.75" customHeight="1">
      <c r="A434" s="47"/>
      <c r="B434" s="47"/>
      <c r="C434" s="47"/>
      <c r="D434" s="47"/>
      <c r="E434" s="47"/>
      <c r="F434" s="47"/>
      <c r="G434" s="47"/>
    </row>
    <row r="435" ht="15.75" customHeight="1">
      <c r="A435" s="47"/>
      <c r="B435" s="47"/>
      <c r="C435" s="47"/>
      <c r="D435" s="47"/>
      <c r="E435" s="47"/>
      <c r="F435" s="47"/>
      <c r="G435" s="47"/>
    </row>
    <row r="436" ht="15.75" customHeight="1">
      <c r="A436" s="47"/>
      <c r="B436" s="47"/>
      <c r="C436" s="47"/>
      <c r="D436" s="47"/>
      <c r="E436" s="47"/>
      <c r="F436" s="47"/>
      <c r="G436" s="47"/>
    </row>
    <row r="437" ht="15.75" customHeight="1">
      <c r="A437" s="47"/>
      <c r="B437" s="47"/>
      <c r="C437" s="47"/>
      <c r="D437" s="47"/>
      <c r="E437" s="47"/>
      <c r="F437" s="47"/>
      <c r="G437" s="47"/>
    </row>
    <row r="438" ht="15.75" customHeight="1">
      <c r="A438" s="47"/>
      <c r="B438" s="47"/>
      <c r="C438" s="47"/>
      <c r="D438" s="47"/>
      <c r="E438" s="47"/>
      <c r="F438" s="47"/>
      <c r="G438" s="47"/>
    </row>
    <row r="439" ht="15.75" customHeight="1">
      <c r="A439" s="47"/>
      <c r="B439" s="47"/>
      <c r="C439" s="47"/>
      <c r="D439" s="47"/>
      <c r="E439" s="47"/>
      <c r="F439" s="47"/>
      <c r="G439" s="47"/>
    </row>
    <row r="440" ht="15.75" customHeight="1">
      <c r="A440" s="47"/>
      <c r="B440" s="47"/>
      <c r="C440" s="47"/>
      <c r="D440" s="47"/>
      <c r="E440" s="47"/>
      <c r="F440" s="47"/>
      <c r="G440" s="47"/>
    </row>
    <row r="441" ht="15.75" customHeight="1">
      <c r="A441" s="47"/>
      <c r="B441" s="47"/>
      <c r="C441" s="47"/>
      <c r="D441" s="47"/>
      <c r="E441" s="47"/>
      <c r="F441" s="47"/>
      <c r="G441" s="47"/>
    </row>
    <row r="442" ht="15.75" customHeight="1">
      <c r="A442" s="47"/>
      <c r="B442" s="47"/>
      <c r="C442" s="47"/>
      <c r="D442" s="47"/>
      <c r="E442" s="47"/>
      <c r="F442" s="47"/>
      <c r="G442" s="47"/>
    </row>
    <row r="443" ht="15.75" customHeight="1">
      <c r="A443" s="47"/>
      <c r="B443" s="47"/>
      <c r="C443" s="47"/>
      <c r="D443" s="47"/>
      <c r="E443" s="47"/>
      <c r="F443" s="47"/>
      <c r="G443" s="47"/>
    </row>
    <row r="444" ht="15.75" customHeight="1">
      <c r="A444" s="47"/>
      <c r="B444" s="47"/>
      <c r="C444" s="47"/>
      <c r="D444" s="47"/>
      <c r="E444" s="47"/>
      <c r="F444" s="47"/>
      <c r="G444" s="47"/>
    </row>
    <row r="445" ht="15.75" customHeight="1">
      <c r="A445" s="47"/>
      <c r="B445" s="47"/>
      <c r="C445" s="47"/>
      <c r="D445" s="47"/>
      <c r="E445" s="47"/>
      <c r="F445" s="47"/>
      <c r="G445" s="47"/>
    </row>
    <row r="446" ht="15.75" customHeight="1">
      <c r="A446" s="47"/>
      <c r="B446" s="47"/>
      <c r="C446" s="47"/>
      <c r="D446" s="47"/>
      <c r="E446" s="47"/>
      <c r="F446" s="47"/>
      <c r="G446" s="47"/>
    </row>
    <row r="447" ht="15.75" customHeight="1">
      <c r="A447" s="47"/>
      <c r="B447" s="47"/>
      <c r="C447" s="47"/>
      <c r="D447" s="47"/>
      <c r="E447" s="47"/>
      <c r="F447" s="47"/>
      <c r="G447" s="47"/>
    </row>
    <row r="448" ht="15.75" customHeight="1">
      <c r="A448" s="47"/>
      <c r="B448" s="47"/>
      <c r="C448" s="47"/>
      <c r="D448" s="47"/>
      <c r="E448" s="47"/>
      <c r="F448" s="47"/>
      <c r="G448" s="47"/>
    </row>
    <row r="449" ht="15.75" customHeight="1">
      <c r="A449" s="47"/>
      <c r="B449" s="47"/>
      <c r="C449" s="47"/>
      <c r="D449" s="47"/>
      <c r="E449" s="47"/>
      <c r="F449" s="47"/>
      <c r="G449" s="47"/>
    </row>
    <row r="450" ht="15.75" customHeight="1">
      <c r="A450" s="47"/>
      <c r="B450" s="47"/>
      <c r="C450" s="47"/>
      <c r="D450" s="47"/>
      <c r="E450" s="47"/>
      <c r="F450" s="47"/>
      <c r="G450" s="47"/>
    </row>
    <row r="451" ht="15.75" customHeight="1">
      <c r="A451" s="47"/>
      <c r="B451" s="47"/>
      <c r="C451" s="47"/>
      <c r="D451" s="47"/>
      <c r="E451" s="47"/>
      <c r="F451" s="47"/>
      <c r="G451" s="47"/>
    </row>
    <row r="452" ht="15.75" customHeight="1">
      <c r="A452" s="47"/>
      <c r="B452" s="47"/>
      <c r="C452" s="47"/>
      <c r="D452" s="47"/>
      <c r="E452" s="47"/>
      <c r="F452" s="47"/>
      <c r="G452" s="47"/>
    </row>
    <row r="453" ht="15.75" customHeight="1">
      <c r="A453" s="47"/>
      <c r="B453" s="47"/>
      <c r="C453" s="47"/>
      <c r="D453" s="47"/>
      <c r="E453" s="47"/>
      <c r="F453" s="47"/>
      <c r="G453" s="47"/>
    </row>
    <row r="454" ht="15.75" customHeight="1">
      <c r="A454" s="47"/>
      <c r="B454" s="47"/>
      <c r="C454" s="47"/>
      <c r="D454" s="47"/>
      <c r="E454" s="47"/>
      <c r="F454" s="47"/>
      <c r="G454" s="47"/>
    </row>
    <row r="455" ht="15.75" customHeight="1">
      <c r="A455" s="47"/>
      <c r="B455" s="47"/>
      <c r="C455" s="47"/>
      <c r="D455" s="47"/>
      <c r="E455" s="47"/>
      <c r="F455" s="47"/>
      <c r="G455" s="47"/>
    </row>
    <row r="456" ht="15.75" customHeight="1">
      <c r="A456" s="47"/>
      <c r="B456" s="47"/>
      <c r="C456" s="47"/>
      <c r="D456" s="47"/>
      <c r="E456" s="47"/>
      <c r="F456" s="47"/>
      <c r="G456" s="47"/>
    </row>
    <row r="457" ht="15.75" customHeight="1">
      <c r="A457" s="47"/>
      <c r="B457" s="47"/>
      <c r="C457" s="47"/>
      <c r="D457" s="47"/>
      <c r="E457" s="47"/>
      <c r="F457" s="47"/>
      <c r="G457" s="47"/>
    </row>
    <row r="458" ht="15.75" customHeight="1">
      <c r="A458" s="47"/>
      <c r="B458" s="47"/>
      <c r="C458" s="47"/>
      <c r="D458" s="47"/>
      <c r="E458" s="47"/>
      <c r="F458" s="47"/>
      <c r="G458" s="47"/>
    </row>
    <row r="459" ht="15.75" customHeight="1">
      <c r="A459" s="47"/>
      <c r="B459" s="47"/>
      <c r="C459" s="47"/>
      <c r="D459" s="47"/>
      <c r="E459" s="47"/>
      <c r="F459" s="47"/>
      <c r="G459" s="47"/>
    </row>
    <row r="460" ht="15.75" customHeight="1">
      <c r="A460" s="47"/>
      <c r="B460" s="47"/>
      <c r="C460" s="47"/>
      <c r="D460" s="47"/>
      <c r="E460" s="47"/>
      <c r="F460" s="47"/>
      <c r="G460" s="47"/>
    </row>
    <row r="461" ht="15.75" customHeight="1">
      <c r="A461" s="47"/>
      <c r="B461" s="47"/>
      <c r="C461" s="47"/>
      <c r="D461" s="47"/>
      <c r="E461" s="47"/>
      <c r="F461" s="47"/>
      <c r="G461" s="47"/>
    </row>
    <row r="462" ht="15.75" customHeight="1">
      <c r="A462" s="47"/>
      <c r="B462" s="47"/>
      <c r="C462" s="47"/>
      <c r="D462" s="47"/>
      <c r="E462" s="47"/>
      <c r="F462" s="47"/>
      <c r="G462" s="47"/>
    </row>
    <row r="463" ht="15.75" customHeight="1">
      <c r="A463" s="47"/>
      <c r="B463" s="47"/>
      <c r="C463" s="47"/>
      <c r="D463" s="47"/>
      <c r="E463" s="47"/>
      <c r="F463" s="47"/>
      <c r="G463" s="47"/>
    </row>
    <row r="464" ht="15.75" customHeight="1">
      <c r="A464" s="47"/>
      <c r="B464" s="47"/>
      <c r="C464" s="47"/>
      <c r="D464" s="47"/>
      <c r="E464" s="47"/>
      <c r="F464" s="47"/>
      <c r="G464" s="47"/>
    </row>
    <row r="465" ht="15.75" customHeight="1">
      <c r="A465" s="47"/>
      <c r="B465" s="47"/>
      <c r="C465" s="47"/>
      <c r="D465" s="47"/>
      <c r="E465" s="47"/>
      <c r="F465" s="47"/>
      <c r="G465" s="47"/>
    </row>
    <row r="466" ht="15.75" customHeight="1">
      <c r="A466" s="47"/>
      <c r="B466" s="47"/>
      <c r="C466" s="47"/>
      <c r="D466" s="47"/>
      <c r="E466" s="47"/>
      <c r="F466" s="47"/>
      <c r="G466" s="47"/>
    </row>
    <row r="467" ht="15.75" customHeight="1">
      <c r="A467" s="47"/>
      <c r="B467" s="47"/>
      <c r="C467" s="47"/>
      <c r="D467" s="47"/>
      <c r="E467" s="47"/>
      <c r="F467" s="47"/>
      <c r="G467" s="47"/>
    </row>
    <row r="468" ht="15.75" customHeight="1">
      <c r="A468" s="47"/>
      <c r="B468" s="47"/>
      <c r="C468" s="47"/>
      <c r="D468" s="47"/>
      <c r="E468" s="47"/>
      <c r="F468" s="47"/>
      <c r="G468" s="47"/>
    </row>
    <row r="469" ht="15.75" customHeight="1">
      <c r="A469" s="47"/>
      <c r="B469" s="47"/>
      <c r="C469" s="47"/>
      <c r="D469" s="47"/>
      <c r="E469" s="47"/>
      <c r="F469" s="47"/>
      <c r="G469" s="47"/>
    </row>
    <row r="470" ht="15.75" customHeight="1">
      <c r="A470" s="47"/>
      <c r="B470" s="47"/>
      <c r="C470" s="47"/>
      <c r="D470" s="47"/>
      <c r="E470" s="47"/>
      <c r="F470" s="47"/>
      <c r="G470" s="47"/>
    </row>
    <row r="471" ht="15.75" customHeight="1">
      <c r="A471" s="47"/>
      <c r="B471" s="47"/>
      <c r="C471" s="47"/>
      <c r="D471" s="47"/>
      <c r="E471" s="47"/>
      <c r="F471" s="47"/>
      <c r="G471" s="47"/>
    </row>
    <row r="472" ht="15.75" customHeight="1">
      <c r="A472" s="47"/>
      <c r="B472" s="47"/>
      <c r="C472" s="47"/>
      <c r="D472" s="47"/>
      <c r="E472" s="47"/>
      <c r="F472" s="47"/>
      <c r="G472" s="47"/>
    </row>
    <row r="473" ht="15.75" customHeight="1">
      <c r="A473" s="47"/>
      <c r="B473" s="47"/>
      <c r="C473" s="47"/>
      <c r="D473" s="47"/>
      <c r="E473" s="47"/>
      <c r="F473" s="47"/>
      <c r="G473" s="47"/>
    </row>
    <row r="474" ht="15.75" customHeight="1">
      <c r="A474" s="47"/>
      <c r="B474" s="47"/>
      <c r="C474" s="47"/>
      <c r="D474" s="47"/>
      <c r="E474" s="47"/>
      <c r="F474" s="47"/>
      <c r="G474" s="47"/>
    </row>
    <row r="475" ht="15.75" customHeight="1">
      <c r="A475" s="47"/>
      <c r="B475" s="47"/>
      <c r="C475" s="47"/>
      <c r="D475" s="47"/>
      <c r="E475" s="47"/>
      <c r="F475" s="47"/>
      <c r="G475" s="47"/>
    </row>
    <row r="476" ht="15.75" customHeight="1">
      <c r="A476" s="47"/>
      <c r="B476" s="47"/>
      <c r="C476" s="47"/>
      <c r="D476" s="47"/>
      <c r="E476" s="47"/>
      <c r="F476" s="47"/>
      <c r="G476" s="47"/>
    </row>
    <row r="477" ht="15.75" customHeight="1">
      <c r="A477" s="47"/>
      <c r="B477" s="47"/>
      <c r="C477" s="47"/>
      <c r="D477" s="47"/>
      <c r="E477" s="47"/>
      <c r="F477" s="47"/>
      <c r="G477" s="47"/>
    </row>
    <row r="478" ht="15.75" customHeight="1">
      <c r="A478" s="47"/>
      <c r="B478" s="47"/>
      <c r="C478" s="47"/>
      <c r="D478" s="47"/>
      <c r="E478" s="47"/>
      <c r="F478" s="47"/>
      <c r="G478" s="47"/>
    </row>
    <row r="479" ht="15.75" customHeight="1">
      <c r="A479" s="47"/>
      <c r="B479" s="47"/>
      <c r="C479" s="47"/>
      <c r="D479" s="47"/>
      <c r="E479" s="47"/>
      <c r="F479" s="47"/>
      <c r="G479" s="47"/>
    </row>
    <row r="480" ht="15.75" customHeight="1">
      <c r="A480" s="47"/>
      <c r="B480" s="47"/>
      <c r="C480" s="47"/>
      <c r="D480" s="47"/>
      <c r="E480" s="47"/>
      <c r="F480" s="47"/>
      <c r="G480" s="47"/>
    </row>
    <row r="481" ht="15.75" customHeight="1">
      <c r="A481" s="47"/>
      <c r="B481" s="47"/>
      <c r="C481" s="47"/>
      <c r="D481" s="47"/>
      <c r="E481" s="47"/>
      <c r="F481" s="47"/>
      <c r="G481" s="47"/>
    </row>
    <row r="482" ht="15.75" customHeight="1">
      <c r="A482" s="47"/>
      <c r="B482" s="47"/>
      <c r="C482" s="47"/>
      <c r="D482" s="47"/>
      <c r="E482" s="47"/>
      <c r="F482" s="47"/>
      <c r="G482" s="47"/>
    </row>
    <row r="483" ht="15.75" customHeight="1">
      <c r="A483" s="47"/>
      <c r="B483" s="47"/>
      <c r="C483" s="47"/>
      <c r="D483" s="47"/>
      <c r="E483" s="47"/>
      <c r="F483" s="47"/>
      <c r="G483" s="47"/>
    </row>
    <row r="484" ht="15.75" customHeight="1">
      <c r="A484" s="47"/>
      <c r="B484" s="47"/>
      <c r="C484" s="47"/>
      <c r="D484" s="47"/>
      <c r="E484" s="47"/>
      <c r="F484" s="47"/>
      <c r="G484" s="47"/>
    </row>
    <row r="485" ht="15.75" customHeight="1">
      <c r="A485" s="47"/>
      <c r="B485" s="47"/>
      <c r="C485" s="47"/>
      <c r="D485" s="47"/>
      <c r="E485" s="47"/>
      <c r="F485" s="47"/>
      <c r="G485" s="47"/>
    </row>
    <row r="486" ht="15.75" customHeight="1">
      <c r="A486" s="47"/>
      <c r="B486" s="47"/>
      <c r="C486" s="47"/>
      <c r="D486" s="47"/>
      <c r="E486" s="47"/>
      <c r="F486" s="47"/>
      <c r="G486" s="47"/>
    </row>
    <row r="487" ht="15.75" customHeight="1">
      <c r="A487" s="47"/>
      <c r="B487" s="47"/>
      <c r="C487" s="47"/>
      <c r="D487" s="47"/>
      <c r="E487" s="47"/>
      <c r="F487" s="47"/>
      <c r="G487" s="47"/>
    </row>
    <row r="488" ht="15.75" customHeight="1">
      <c r="A488" s="47"/>
      <c r="B488" s="47"/>
      <c r="C488" s="47"/>
      <c r="D488" s="47"/>
      <c r="E488" s="47"/>
      <c r="F488" s="47"/>
      <c r="G488" s="47"/>
    </row>
    <row r="489" ht="15.75" customHeight="1">
      <c r="A489" s="47"/>
      <c r="B489" s="47"/>
      <c r="C489" s="47"/>
      <c r="D489" s="47"/>
      <c r="E489" s="47"/>
      <c r="F489" s="47"/>
      <c r="G489" s="47"/>
    </row>
    <row r="490" ht="15.75" customHeight="1">
      <c r="A490" s="47"/>
      <c r="B490" s="47"/>
      <c r="C490" s="47"/>
      <c r="D490" s="47"/>
      <c r="E490" s="47"/>
      <c r="F490" s="47"/>
      <c r="G490" s="47"/>
    </row>
    <row r="491" ht="15.75" customHeight="1">
      <c r="A491" s="47"/>
      <c r="B491" s="47"/>
      <c r="C491" s="47"/>
      <c r="D491" s="47"/>
      <c r="E491" s="47"/>
      <c r="F491" s="47"/>
      <c r="G491" s="47"/>
    </row>
    <row r="492" ht="15.75" customHeight="1">
      <c r="A492" s="47"/>
      <c r="B492" s="47"/>
      <c r="C492" s="47"/>
      <c r="D492" s="47"/>
      <c r="E492" s="47"/>
      <c r="F492" s="47"/>
      <c r="G492" s="47"/>
    </row>
    <row r="493" ht="15.75" customHeight="1">
      <c r="A493" s="47"/>
      <c r="B493" s="47"/>
      <c r="C493" s="47"/>
      <c r="D493" s="47"/>
      <c r="E493" s="47"/>
      <c r="F493" s="47"/>
      <c r="G493" s="47"/>
    </row>
    <row r="494" ht="15.75" customHeight="1">
      <c r="A494" s="47"/>
      <c r="B494" s="47"/>
      <c r="C494" s="47"/>
      <c r="D494" s="47"/>
      <c r="E494" s="47"/>
      <c r="F494" s="47"/>
      <c r="G494" s="47"/>
    </row>
    <row r="495" ht="15.75" customHeight="1">
      <c r="A495" s="47"/>
      <c r="B495" s="47"/>
      <c r="C495" s="47"/>
      <c r="D495" s="47"/>
      <c r="E495" s="47"/>
      <c r="F495" s="47"/>
      <c r="G495" s="47"/>
    </row>
    <row r="496" ht="15.75" customHeight="1">
      <c r="A496" s="47"/>
      <c r="B496" s="47"/>
      <c r="C496" s="47"/>
      <c r="D496" s="47"/>
      <c r="E496" s="47"/>
      <c r="F496" s="47"/>
      <c r="G496" s="47"/>
    </row>
    <row r="497" ht="15.75" customHeight="1">
      <c r="A497" s="47"/>
      <c r="B497" s="47"/>
      <c r="C497" s="47"/>
      <c r="D497" s="47"/>
      <c r="E497" s="47"/>
      <c r="F497" s="47"/>
      <c r="G497" s="47"/>
    </row>
    <row r="498" ht="15.75" customHeight="1">
      <c r="A498" s="47"/>
      <c r="B498" s="47"/>
      <c r="C498" s="47"/>
      <c r="D498" s="47"/>
      <c r="E498" s="47"/>
      <c r="F498" s="47"/>
      <c r="G498" s="47"/>
    </row>
    <row r="499" ht="15.75" customHeight="1">
      <c r="A499" s="47"/>
      <c r="B499" s="47"/>
      <c r="C499" s="47"/>
      <c r="D499" s="47"/>
      <c r="E499" s="47"/>
      <c r="F499" s="47"/>
      <c r="G499" s="47"/>
    </row>
    <row r="500" ht="15.75" customHeight="1">
      <c r="A500" s="47"/>
      <c r="B500" s="47"/>
      <c r="C500" s="47"/>
      <c r="D500" s="47"/>
      <c r="E500" s="47"/>
      <c r="F500" s="47"/>
      <c r="G500" s="47"/>
    </row>
    <row r="501" ht="15.75" customHeight="1">
      <c r="A501" s="47"/>
      <c r="B501" s="47"/>
      <c r="C501" s="47"/>
      <c r="D501" s="47"/>
      <c r="E501" s="47"/>
      <c r="F501" s="47"/>
      <c r="G501" s="47"/>
    </row>
    <row r="502" ht="15.75" customHeight="1">
      <c r="A502" s="47"/>
      <c r="B502" s="47"/>
      <c r="C502" s="47"/>
      <c r="D502" s="47"/>
      <c r="E502" s="47"/>
      <c r="F502" s="47"/>
      <c r="G502" s="47"/>
    </row>
    <row r="503" ht="15.75" customHeight="1">
      <c r="A503" s="47"/>
      <c r="B503" s="47"/>
      <c r="C503" s="47"/>
      <c r="D503" s="47"/>
      <c r="E503" s="47"/>
      <c r="F503" s="47"/>
      <c r="G503" s="47"/>
    </row>
    <row r="504" ht="15.75" customHeight="1">
      <c r="A504" s="47"/>
      <c r="B504" s="47"/>
      <c r="C504" s="47"/>
      <c r="D504" s="47"/>
      <c r="E504" s="47"/>
      <c r="F504" s="47"/>
      <c r="G504" s="47"/>
    </row>
    <row r="505" ht="15.75" customHeight="1">
      <c r="A505" s="47"/>
      <c r="B505" s="47"/>
      <c r="C505" s="47"/>
      <c r="D505" s="47"/>
      <c r="E505" s="47"/>
      <c r="F505" s="47"/>
      <c r="G505" s="47"/>
    </row>
    <row r="506" ht="15.75" customHeight="1">
      <c r="A506" s="47"/>
      <c r="B506" s="47"/>
      <c r="C506" s="47"/>
      <c r="D506" s="47"/>
      <c r="E506" s="47"/>
      <c r="F506" s="47"/>
      <c r="G506" s="47"/>
    </row>
    <row r="507" ht="15.75" customHeight="1">
      <c r="A507" s="47"/>
      <c r="B507" s="47"/>
      <c r="C507" s="47"/>
      <c r="D507" s="47"/>
      <c r="E507" s="47"/>
      <c r="F507" s="47"/>
      <c r="G507" s="47"/>
    </row>
    <row r="508" ht="15.75" customHeight="1">
      <c r="A508" s="47"/>
      <c r="B508" s="47"/>
      <c r="C508" s="47"/>
      <c r="D508" s="47"/>
      <c r="E508" s="47"/>
      <c r="F508" s="47"/>
      <c r="G508" s="47"/>
    </row>
    <row r="509" ht="15.75" customHeight="1">
      <c r="A509" s="47"/>
      <c r="B509" s="47"/>
      <c r="C509" s="47"/>
      <c r="D509" s="47"/>
      <c r="E509" s="47"/>
      <c r="F509" s="47"/>
      <c r="G509" s="47"/>
    </row>
    <row r="510" ht="15.75" customHeight="1">
      <c r="A510" s="47"/>
      <c r="B510" s="47"/>
      <c r="C510" s="47"/>
      <c r="D510" s="47"/>
      <c r="E510" s="47"/>
      <c r="F510" s="47"/>
      <c r="G510" s="47"/>
    </row>
    <row r="511" ht="15.75" customHeight="1">
      <c r="A511" s="47"/>
      <c r="B511" s="47"/>
      <c r="C511" s="47"/>
      <c r="D511" s="47"/>
      <c r="E511" s="47"/>
      <c r="F511" s="47"/>
      <c r="G511" s="47"/>
    </row>
    <row r="512" ht="15.75" customHeight="1">
      <c r="A512" s="47"/>
      <c r="B512" s="47"/>
      <c r="C512" s="47"/>
      <c r="D512" s="47"/>
      <c r="E512" s="47"/>
      <c r="F512" s="47"/>
      <c r="G512" s="47"/>
    </row>
    <row r="513" ht="15.75" customHeight="1">
      <c r="A513" s="47"/>
      <c r="B513" s="47"/>
      <c r="C513" s="47"/>
      <c r="D513" s="47"/>
      <c r="E513" s="47"/>
      <c r="F513" s="47"/>
      <c r="G513" s="47"/>
    </row>
    <row r="514" ht="15.75" customHeight="1">
      <c r="A514" s="47"/>
      <c r="B514" s="47"/>
      <c r="C514" s="47"/>
      <c r="D514" s="47"/>
      <c r="E514" s="47"/>
      <c r="F514" s="47"/>
      <c r="G514" s="47"/>
    </row>
    <row r="515" ht="15.75" customHeight="1">
      <c r="A515" s="47"/>
      <c r="B515" s="47"/>
      <c r="C515" s="47"/>
      <c r="D515" s="47"/>
      <c r="E515" s="47"/>
      <c r="F515" s="47"/>
      <c r="G515" s="47"/>
    </row>
    <row r="516" ht="15.75" customHeight="1">
      <c r="A516" s="47"/>
      <c r="B516" s="47"/>
      <c r="C516" s="47"/>
      <c r="D516" s="47"/>
      <c r="E516" s="47"/>
      <c r="F516" s="47"/>
      <c r="G516" s="47"/>
    </row>
    <row r="517" ht="15.75" customHeight="1">
      <c r="A517" s="47"/>
      <c r="B517" s="47"/>
      <c r="C517" s="47"/>
      <c r="D517" s="47"/>
      <c r="E517" s="47"/>
      <c r="F517" s="47"/>
      <c r="G517" s="47"/>
    </row>
    <row r="518" ht="15.75" customHeight="1">
      <c r="A518" s="47"/>
      <c r="B518" s="47"/>
      <c r="C518" s="47"/>
      <c r="D518" s="47"/>
      <c r="E518" s="47"/>
      <c r="F518" s="47"/>
      <c r="G518" s="47"/>
    </row>
    <row r="519" ht="15.75" customHeight="1">
      <c r="A519" s="47"/>
      <c r="B519" s="47"/>
      <c r="C519" s="47"/>
      <c r="D519" s="47"/>
      <c r="E519" s="47"/>
      <c r="F519" s="47"/>
      <c r="G519" s="47"/>
    </row>
    <row r="520" ht="15.75" customHeight="1">
      <c r="A520" s="47"/>
      <c r="B520" s="47"/>
      <c r="C520" s="47"/>
      <c r="D520" s="47"/>
      <c r="E520" s="47"/>
      <c r="F520" s="47"/>
      <c r="G520" s="47"/>
    </row>
    <row r="521" ht="15.75" customHeight="1">
      <c r="A521" s="47"/>
      <c r="B521" s="47"/>
      <c r="C521" s="47"/>
      <c r="D521" s="47"/>
      <c r="E521" s="47"/>
      <c r="F521" s="47"/>
      <c r="G521" s="47"/>
    </row>
    <row r="522" ht="15.75" customHeight="1">
      <c r="A522" s="47"/>
      <c r="B522" s="47"/>
      <c r="C522" s="47"/>
      <c r="D522" s="47"/>
      <c r="E522" s="47"/>
      <c r="F522" s="47"/>
      <c r="G522" s="47"/>
    </row>
    <row r="523" ht="15.75" customHeight="1">
      <c r="A523" s="47"/>
      <c r="B523" s="47"/>
      <c r="C523" s="47"/>
      <c r="D523" s="47"/>
      <c r="E523" s="47"/>
      <c r="F523" s="47"/>
      <c r="G523" s="47"/>
    </row>
    <row r="524" ht="15.75" customHeight="1">
      <c r="A524" s="47"/>
      <c r="B524" s="47"/>
      <c r="C524" s="47"/>
      <c r="D524" s="47"/>
      <c r="E524" s="47"/>
      <c r="F524" s="47"/>
      <c r="G524" s="47"/>
    </row>
    <row r="525" ht="15.75" customHeight="1">
      <c r="A525" s="47"/>
      <c r="B525" s="47"/>
      <c r="C525" s="47"/>
      <c r="D525" s="47"/>
      <c r="E525" s="47"/>
      <c r="F525" s="47"/>
      <c r="G525" s="47"/>
    </row>
    <row r="526" ht="15.75" customHeight="1">
      <c r="A526" s="47"/>
      <c r="B526" s="47"/>
      <c r="C526" s="47"/>
      <c r="D526" s="47"/>
      <c r="E526" s="47"/>
      <c r="F526" s="47"/>
      <c r="G526" s="47"/>
    </row>
    <row r="527" ht="15.75" customHeight="1">
      <c r="A527" s="47"/>
      <c r="B527" s="47"/>
      <c r="C527" s="47"/>
      <c r="D527" s="47"/>
      <c r="E527" s="47"/>
      <c r="F527" s="47"/>
      <c r="G527" s="47"/>
    </row>
    <row r="528" ht="15.75" customHeight="1">
      <c r="A528" s="47"/>
      <c r="B528" s="47"/>
      <c r="C528" s="47"/>
      <c r="D528" s="47"/>
      <c r="E528" s="47"/>
      <c r="F528" s="47"/>
      <c r="G528" s="47"/>
    </row>
    <row r="529" ht="15.75" customHeight="1">
      <c r="A529" s="47"/>
      <c r="B529" s="47"/>
      <c r="C529" s="47"/>
      <c r="D529" s="47"/>
      <c r="E529" s="47"/>
      <c r="F529" s="47"/>
      <c r="G529" s="47"/>
    </row>
    <row r="530" ht="15.75" customHeight="1">
      <c r="A530" s="47"/>
      <c r="B530" s="47"/>
      <c r="C530" s="47"/>
      <c r="D530" s="47"/>
      <c r="E530" s="47"/>
      <c r="F530" s="47"/>
      <c r="G530" s="47"/>
    </row>
    <row r="531" ht="15.75" customHeight="1">
      <c r="A531" s="47"/>
      <c r="B531" s="47"/>
      <c r="C531" s="47"/>
      <c r="D531" s="47"/>
      <c r="E531" s="47"/>
      <c r="F531" s="47"/>
      <c r="G531" s="47"/>
    </row>
    <row r="532" ht="15.75" customHeight="1">
      <c r="A532" s="47"/>
      <c r="B532" s="47"/>
      <c r="C532" s="47"/>
      <c r="D532" s="47"/>
      <c r="E532" s="47"/>
      <c r="F532" s="47"/>
      <c r="G532" s="47"/>
    </row>
    <row r="533" ht="15.75" customHeight="1">
      <c r="A533" s="47"/>
      <c r="B533" s="47"/>
      <c r="C533" s="47"/>
      <c r="D533" s="47"/>
      <c r="E533" s="47"/>
      <c r="F533" s="47"/>
      <c r="G533" s="47"/>
    </row>
    <row r="534" ht="15.75" customHeight="1">
      <c r="A534" s="47"/>
      <c r="B534" s="47"/>
      <c r="C534" s="47"/>
      <c r="D534" s="47"/>
      <c r="E534" s="47"/>
      <c r="F534" s="47"/>
      <c r="G534" s="47"/>
    </row>
    <row r="535" ht="15.75" customHeight="1">
      <c r="A535" s="47"/>
      <c r="B535" s="47"/>
      <c r="C535" s="47"/>
      <c r="D535" s="47"/>
      <c r="E535" s="47"/>
      <c r="F535" s="47"/>
      <c r="G535" s="47"/>
    </row>
    <row r="536" ht="15.75" customHeight="1">
      <c r="A536" s="47"/>
      <c r="B536" s="47"/>
      <c r="C536" s="47"/>
      <c r="D536" s="47"/>
      <c r="E536" s="47"/>
      <c r="F536" s="47"/>
      <c r="G536" s="47"/>
    </row>
    <row r="537" ht="15.75" customHeight="1">
      <c r="A537" s="47"/>
      <c r="B537" s="47"/>
      <c r="C537" s="47"/>
      <c r="D537" s="47"/>
      <c r="E537" s="47"/>
      <c r="F537" s="47"/>
      <c r="G537" s="47"/>
    </row>
    <row r="538" ht="15.75" customHeight="1">
      <c r="A538" s="47"/>
      <c r="B538" s="47"/>
      <c r="C538" s="47"/>
      <c r="D538" s="47"/>
      <c r="E538" s="47"/>
      <c r="F538" s="47"/>
      <c r="G538" s="47"/>
    </row>
    <row r="539" ht="15.75" customHeight="1">
      <c r="A539" s="47"/>
      <c r="B539" s="47"/>
      <c r="C539" s="47"/>
      <c r="D539" s="47"/>
      <c r="E539" s="47"/>
      <c r="F539" s="47"/>
      <c r="G539" s="47"/>
    </row>
    <row r="540" ht="15.75" customHeight="1">
      <c r="A540" s="47"/>
      <c r="B540" s="47"/>
      <c r="C540" s="47"/>
      <c r="D540" s="47"/>
      <c r="E540" s="47"/>
      <c r="F540" s="47"/>
      <c r="G540" s="47"/>
    </row>
    <row r="541" ht="15.75" customHeight="1">
      <c r="A541" s="47"/>
      <c r="B541" s="47"/>
      <c r="C541" s="47"/>
      <c r="D541" s="47"/>
      <c r="E541" s="47"/>
      <c r="F541" s="47"/>
      <c r="G541" s="47"/>
    </row>
    <row r="542" ht="15.75" customHeight="1">
      <c r="A542" s="47"/>
      <c r="B542" s="47"/>
      <c r="C542" s="47"/>
      <c r="D542" s="47"/>
      <c r="E542" s="47"/>
      <c r="F542" s="47"/>
      <c r="G542" s="47"/>
    </row>
    <row r="543" ht="15.75" customHeight="1">
      <c r="A543" s="47"/>
      <c r="B543" s="47"/>
      <c r="C543" s="47"/>
      <c r="D543" s="47"/>
      <c r="E543" s="47"/>
      <c r="F543" s="47"/>
      <c r="G543" s="47"/>
    </row>
    <row r="544" ht="15.75" customHeight="1">
      <c r="A544" s="47"/>
      <c r="B544" s="47"/>
      <c r="C544" s="47"/>
      <c r="D544" s="47"/>
      <c r="E544" s="47"/>
      <c r="F544" s="47"/>
      <c r="G544" s="47"/>
    </row>
    <row r="545" ht="15.75" customHeight="1">
      <c r="A545" s="47"/>
      <c r="B545" s="47"/>
      <c r="C545" s="47"/>
      <c r="D545" s="47"/>
      <c r="E545" s="47"/>
      <c r="F545" s="47"/>
      <c r="G545" s="47"/>
    </row>
    <row r="546" ht="15.75" customHeight="1">
      <c r="A546" s="47"/>
      <c r="B546" s="47"/>
      <c r="C546" s="47"/>
      <c r="D546" s="47"/>
      <c r="E546" s="47"/>
      <c r="F546" s="47"/>
      <c r="G546" s="47"/>
    </row>
    <row r="547" ht="15.75" customHeight="1">
      <c r="A547" s="47"/>
      <c r="B547" s="47"/>
      <c r="C547" s="47"/>
      <c r="D547" s="47"/>
      <c r="E547" s="47"/>
      <c r="F547" s="47"/>
      <c r="G547" s="47"/>
    </row>
    <row r="548" ht="15.75" customHeight="1">
      <c r="A548" s="47"/>
      <c r="B548" s="47"/>
      <c r="C548" s="47"/>
      <c r="D548" s="47"/>
      <c r="E548" s="47"/>
      <c r="F548" s="47"/>
      <c r="G548" s="47"/>
    </row>
    <row r="549" ht="15.75" customHeight="1">
      <c r="A549" s="47"/>
      <c r="B549" s="47"/>
      <c r="C549" s="47"/>
      <c r="D549" s="47"/>
      <c r="E549" s="47"/>
      <c r="F549" s="47"/>
      <c r="G549" s="47"/>
    </row>
    <row r="550" ht="15.75" customHeight="1">
      <c r="A550" s="47"/>
      <c r="B550" s="47"/>
      <c r="C550" s="47"/>
      <c r="D550" s="47"/>
      <c r="E550" s="47"/>
      <c r="F550" s="47"/>
      <c r="G550" s="47"/>
    </row>
    <row r="551" ht="15.75" customHeight="1">
      <c r="A551" s="47"/>
      <c r="B551" s="47"/>
      <c r="C551" s="47"/>
      <c r="D551" s="47"/>
      <c r="E551" s="47"/>
      <c r="F551" s="47"/>
      <c r="G551" s="47"/>
    </row>
    <row r="552" ht="15.75" customHeight="1">
      <c r="A552" s="47"/>
      <c r="B552" s="47"/>
      <c r="C552" s="47"/>
      <c r="D552" s="47"/>
      <c r="E552" s="47"/>
      <c r="F552" s="47"/>
      <c r="G552" s="47"/>
    </row>
    <row r="553" ht="15.75" customHeight="1">
      <c r="A553" s="47"/>
      <c r="B553" s="47"/>
      <c r="C553" s="47"/>
      <c r="D553" s="47"/>
      <c r="E553" s="47"/>
      <c r="F553" s="47"/>
      <c r="G553" s="47"/>
    </row>
    <row r="554" ht="15.75" customHeight="1">
      <c r="A554" s="47"/>
      <c r="B554" s="47"/>
      <c r="C554" s="47"/>
      <c r="D554" s="47"/>
      <c r="E554" s="47"/>
      <c r="F554" s="47"/>
      <c r="G554" s="47"/>
    </row>
    <row r="555" ht="15.75" customHeight="1">
      <c r="A555" s="47"/>
      <c r="B555" s="47"/>
      <c r="C555" s="47"/>
      <c r="D555" s="47"/>
      <c r="E555" s="47"/>
      <c r="F555" s="47"/>
      <c r="G555" s="47"/>
    </row>
    <row r="556" ht="15.75" customHeight="1">
      <c r="A556" s="47"/>
      <c r="B556" s="47"/>
      <c r="C556" s="47"/>
      <c r="D556" s="47"/>
      <c r="E556" s="47"/>
      <c r="F556" s="47"/>
      <c r="G556" s="47"/>
    </row>
    <row r="557" ht="15.75" customHeight="1">
      <c r="A557" s="47"/>
      <c r="B557" s="47"/>
      <c r="C557" s="47"/>
      <c r="D557" s="47"/>
      <c r="E557" s="47"/>
      <c r="F557" s="47"/>
      <c r="G557" s="47"/>
    </row>
    <row r="558" ht="15.75" customHeight="1">
      <c r="A558" s="47"/>
      <c r="B558" s="47"/>
      <c r="C558" s="47"/>
      <c r="D558" s="47"/>
      <c r="E558" s="47"/>
      <c r="F558" s="47"/>
      <c r="G558" s="47"/>
    </row>
    <row r="559" ht="15.75" customHeight="1">
      <c r="A559" s="47"/>
      <c r="B559" s="47"/>
      <c r="C559" s="47"/>
      <c r="D559" s="47"/>
      <c r="E559" s="47"/>
      <c r="F559" s="47"/>
      <c r="G559" s="47"/>
    </row>
    <row r="560" ht="15.75" customHeight="1">
      <c r="A560" s="47"/>
      <c r="B560" s="47"/>
      <c r="C560" s="47"/>
      <c r="D560" s="47"/>
      <c r="E560" s="47"/>
      <c r="F560" s="47"/>
      <c r="G560" s="47"/>
    </row>
    <row r="561" ht="15.75" customHeight="1">
      <c r="A561" s="47"/>
      <c r="B561" s="47"/>
      <c r="C561" s="47"/>
      <c r="D561" s="47"/>
      <c r="E561" s="47"/>
      <c r="F561" s="47"/>
      <c r="G561" s="47"/>
    </row>
    <row r="562" ht="15.75" customHeight="1">
      <c r="A562" s="47"/>
      <c r="B562" s="47"/>
      <c r="C562" s="47"/>
      <c r="D562" s="47"/>
      <c r="E562" s="47"/>
      <c r="F562" s="47"/>
      <c r="G562" s="47"/>
    </row>
    <row r="563" ht="15.75" customHeight="1">
      <c r="A563" s="47"/>
      <c r="B563" s="47"/>
      <c r="C563" s="47"/>
      <c r="D563" s="47"/>
      <c r="E563" s="47"/>
      <c r="F563" s="47"/>
      <c r="G563" s="47"/>
    </row>
    <row r="564" ht="15.75" customHeight="1">
      <c r="A564" s="47"/>
      <c r="B564" s="47"/>
      <c r="C564" s="47"/>
      <c r="D564" s="47"/>
      <c r="E564" s="47"/>
      <c r="F564" s="47"/>
      <c r="G564" s="47"/>
    </row>
    <row r="565" ht="15.75" customHeight="1">
      <c r="A565" s="47"/>
      <c r="B565" s="47"/>
      <c r="C565" s="47"/>
      <c r="D565" s="47"/>
      <c r="E565" s="47"/>
      <c r="F565" s="47"/>
      <c r="G565" s="47"/>
    </row>
    <row r="566" ht="15.75" customHeight="1">
      <c r="A566" s="47"/>
      <c r="B566" s="47"/>
      <c r="C566" s="47"/>
      <c r="D566" s="47"/>
      <c r="E566" s="47"/>
      <c r="F566" s="47"/>
      <c r="G566" s="47"/>
    </row>
    <row r="567" ht="15.75" customHeight="1">
      <c r="A567" s="47"/>
      <c r="B567" s="47"/>
      <c r="C567" s="47"/>
      <c r="D567" s="47"/>
      <c r="E567" s="47"/>
      <c r="F567" s="47"/>
      <c r="G567" s="47"/>
    </row>
    <row r="568" ht="15.75" customHeight="1">
      <c r="A568" s="47"/>
      <c r="B568" s="47"/>
      <c r="C568" s="47"/>
      <c r="D568" s="47"/>
      <c r="E568" s="47"/>
      <c r="F568" s="47"/>
      <c r="G568" s="47"/>
    </row>
    <row r="569" ht="15.75" customHeight="1">
      <c r="A569" s="47"/>
      <c r="B569" s="47"/>
      <c r="C569" s="47"/>
      <c r="D569" s="47"/>
      <c r="E569" s="47"/>
      <c r="F569" s="47"/>
      <c r="G569" s="47"/>
    </row>
    <row r="570" ht="15.75" customHeight="1">
      <c r="A570" s="47"/>
      <c r="B570" s="47"/>
      <c r="C570" s="47"/>
      <c r="D570" s="47"/>
      <c r="E570" s="47"/>
      <c r="F570" s="47"/>
      <c r="G570" s="47"/>
    </row>
    <row r="571" ht="15.75" customHeight="1">
      <c r="A571" s="47"/>
      <c r="B571" s="47"/>
      <c r="C571" s="47"/>
      <c r="D571" s="47"/>
      <c r="E571" s="47"/>
      <c r="F571" s="47"/>
      <c r="G571" s="47"/>
    </row>
    <row r="572" ht="15.75" customHeight="1">
      <c r="A572" s="47"/>
      <c r="B572" s="47"/>
      <c r="C572" s="47"/>
      <c r="D572" s="47"/>
      <c r="E572" s="47"/>
      <c r="F572" s="47"/>
      <c r="G572" s="47"/>
    </row>
    <row r="573" ht="15.75" customHeight="1">
      <c r="A573" s="47"/>
      <c r="B573" s="47"/>
      <c r="C573" s="47"/>
      <c r="D573" s="47"/>
      <c r="E573" s="47"/>
      <c r="F573" s="47"/>
      <c r="G573" s="47"/>
    </row>
    <row r="574" ht="15.75" customHeight="1">
      <c r="A574" s="47"/>
      <c r="B574" s="47"/>
      <c r="C574" s="47"/>
      <c r="D574" s="47"/>
      <c r="E574" s="47"/>
      <c r="F574" s="47"/>
      <c r="G574" s="47"/>
    </row>
    <row r="575" ht="15.75" customHeight="1">
      <c r="A575" s="47"/>
      <c r="B575" s="47"/>
      <c r="C575" s="47"/>
      <c r="D575" s="47"/>
      <c r="E575" s="47"/>
      <c r="F575" s="47"/>
      <c r="G575" s="47"/>
    </row>
    <row r="576" ht="15.75" customHeight="1">
      <c r="A576" s="47"/>
      <c r="B576" s="47"/>
      <c r="C576" s="47"/>
      <c r="D576" s="47"/>
      <c r="E576" s="47"/>
      <c r="F576" s="47"/>
      <c r="G576" s="47"/>
    </row>
    <row r="577" ht="15.75" customHeight="1">
      <c r="A577" s="47"/>
      <c r="B577" s="47"/>
      <c r="C577" s="47"/>
      <c r="D577" s="47"/>
      <c r="E577" s="47"/>
      <c r="F577" s="47"/>
      <c r="G577" s="47"/>
    </row>
    <row r="578" ht="15.75" customHeight="1">
      <c r="A578" s="47"/>
      <c r="B578" s="47"/>
      <c r="C578" s="47"/>
      <c r="D578" s="47"/>
      <c r="E578" s="47"/>
      <c r="F578" s="47"/>
      <c r="G578" s="47"/>
    </row>
    <row r="579" ht="15.75" customHeight="1">
      <c r="A579" s="47"/>
      <c r="B579" s="47"/>
      <c r="C579" s="47"/>
      <c r="D579" s="47"/>
      <c r="E579" s="47"/>
      <c r="F579" s="47"/>
      <c r="G579" s="47"/>
    </row>
    <row r="580" ht="15.75" customHeight="1">
      <c r="A580" s="47"/>
      <c r="B580" s="47"/>
      <c r="C580" s="47"/>
      <c r="D580" s="47"/>
      <c r="E580" s="47"/>
      <c r="F580" s="47"/>
      <c r="G580" s="47"/>
    </row>
    <row r="581" ht="15.75" customHeight="1">
      <c r="A581" s="47"/>
      <c r="B581" s="47"/>
      <c r="C581" s="47"/>
      <c r="D581" s="47"/>
      <c r="E581" s="47"/>
      <c r="F581" s="47"/>
      <c r="G581" s="47"/>
    </row>
    <row r="582" ht="15.75" customHeight="1">
      <c r="A582" s="47"/>
      <c r="B582" s="47"/>
      <c r="C582" s="47"/>
      <c r="D582" s="47"/>
      <c r="E582" s="47"/>
      <c r="F582" s="47"/>
      <c r="G582" s="47"/>
    </row>
    <row r="583" ht="15.75" customHeight="1">
      <c r="A583" s="47"/>
      <c r="B583" s="47"/>
      <c r="C583" s="47"/>
      <c r="D583" s="47"/>
      <c r="E583" s="47"/>
      <c r="F583" s="47"/>
      <c r="G583" s="47"/>
    </row>
    <row r="584" ht="15.75" customHeight="1">
      <c r="A584" s="47"/>
      <c r="B584" s="47"/>
      <c r="C584" s="47"/>
      <c r="D584" s="47"/>
      <c r="E584" s="47"/>
      <c r="F584" s="47"/>
      <c r="G584" s="47"/>
    </row>
    <row r="585" ht="15.75" customHeight="1">
      <c r="A585" s="47"/>
      <c r="B585" s="47"/>
      <c r="C585" s="47"/>
      <c r="D585" s="47"/>
      <c r="E585" s="47"/>
      <c r="F585" s="47"/>
      <c r="G585" s="47"/>
    </row>
    <row r="586" ht="15.75" customHeight="1">
      <c r="A586" s="47"/>
      <c r="B586" s="47"/>
      <c r="C586" s="47"/>
      <c r="D586" s="47"/>
      <c r="E586" s="47"/>
      <c r="F586" s="47"/>
      <c r="G586" s="47"/>
    </row>
    <row r="587" ht="15.75" customHeight="1">
      <c r="A587" s="47"/>
      <c r="B587" s="47"/>
      <c r="C587" s="47"/>
      <c r="D587" s="47"/>
      <c r="E587" s="47"/>
      <c r="F587" s="47"/>
      <c r="G587" s="47"/>
    </row>
    <row r="588" ht="15.75" customHeight="1">
      <c r="A588" s="47"/>
      <c r="B588" s="47"/>
      <c r="C588" s="47"/>
      <c r="D588" s="47"/>
      <c r="E588" s="47"/>
      <c r="F588" s="47"/>
      <c r="G588" s="47"/>
    </row>
    <row r="589" ht="15.75" customHeight="1">
      <c r="A589" s="47"/>
      <c r="B589" s="47"/>
      <c r="C589" s="47"/>
      <c r="D589" s="47"/>
      <c r="E589" s="47"/>
      <c r="F589" s="47"/>
      <c r="G589" s="47"/>
    </row>
    <row r="590" ht="15.75" customHeight="1">
      <c r="A590" s="47"/>
      <c r="B590" s="47"/>
      <c r="C590" s="47"/>
      <c r="D590" s="47"/>
      <c r="E590" s="47"/>
      <c r="F590" s="47"/>
      <c r="G590" s="47"/>
    </row>
    <row r="591" ht="15.75" customHeight="1">
      <c r="A591" s="47"/>
      <c r="B591" s="47"/>
      <c r="C591" s="47"/>
      <c r="D591" s="47"/>
      <c r="E591" s="47"/>
      <c r="F591" s="47"/>
      <c r="G591" s="47"/>
    </row>
    <row r="592" ht="15.75" customHeight="1">
      <c r="A592" s="47"/>
      <c r="B592" s="47"/>
      <c r="C592" s="47"/>
      <c r="D592" s="47"/>
      <c r="E592" s="47"/>
      <c r="F592" s="47"/>
      <c r="G592" s="47"/>
    </row>
    <row r="593" ht="15.75" customHeight="1">
      <c r="A593" s="47"/>
      <c r="B593" s="47"/>
      <c r="C593" s="47"/>
      <c r="D593" s="47"/>
      <c r="E593" s="47"/>
      <c r="F593" s="47"/>
      <c r="G593" s="47"/>
    </row>
    <row r="594" ht="15.75" customHeight="1">
      <c r="A594" s="47"/>
      <c r="B594" s="47"/>
      <c r="C594" s="47"/>
      <c r="D594" s="47"/>
      <c r="E594" s="47"/>
      <c r="F594" s="47"/>
      <c r="G594" s="47"/>
    </row>
    <row r="595" ht="15.75" customHeight="1">
      <c r="A595" s="47"/>
      <c r="B595" s="47"/>
      <c r="C595" s="47"/>
      <c r="D595" s="47"/>
      <c r="E595" s="47"/>
      <c r="F595" s="47"/>
      <c r="G595" s="47"/>
    </row>
    <row r="596" ht="15.75" customHeight="1">
      <c r="A596" s="47"/>
      <c r="B596" s="47"/>
      <c r="C596" s="47"/>
      <c r="D596" s="47"/>
      <c r="E596" s="47"/>
      <c r="F596" s="47"/>
      <c r="G596" s="47"/>
    </row>
    <row r="597" ht="15.75" customHeight="1">
      <c r="A597" s="47"/>
      <c r="B597" s="47"/>
      <c r="C597" s="47"/>
      <c r="D597" s="47"/>
      <c r="E597" s="47"/>
      <c r="F597" s="47"/>
      <c r="G597" s="47"/>
    </row>
    <row r="598" ht="15.75" customHeight="1">
      <c r="A598" s="47"/>
      <c r="B598" s="47"/>
      <c r="C598" s="47"/>
      <c r="D598" s="47"/>
      <c r="E598" s="47"/>
      <c r="F598" s="47"/>
      <c r="G598" s="47"/>
    </row>
    <row r="599" ht="15.75" customHeight="1">
      <c r="A599" s="47"/>
      <c r="B599" s="47"/>
      <c r="C599" s="47"/>
      <c r="D599" s="47"/>
      <c r="E599" s="47"/>
      <c r="F599" s="47"/>
      <c r="G599" s="47"/>
    </row>
    <row r="600" ht="15.75" customHeight="1">
      <c r="A600" s="47"/>
      <c r="B600" s="47"/>
      <c r="C600" s="47"/>
      <c r="D600" s="47"/>
      <c r="E600" s="47"/>
      <c r="F600" s="47"/>
      <c r="G600" s="47"/>
    </row>
    <row r="601" ht="15.75" customHeight="1">
      <c r="A601" s="47"/>
      <c r="B601" s="47"/>
      <c r="C601" s="47"/>
      <c r="D601" s="47"/>
      <c r="E601" s="47"/>
      <c r="F601" s="47"/>
      <c r="G601" s="47"/>
    </row>
    <row r="602" ht="15.75" customHeight="1">
      <c r="A602" s="47"/>
      <c r="B602" s="47"/>
      <c r="C602" s="47"/>
      <c r="D602" s="47"/>
      <c r="E602" s="47"/>
      <c r="F602" s="47"/>
      <c r="G602" s="47"/>
    </row>
    <row r="603" ht="15.75" customHeight="1">
      <c r="A603" s="47"/>
      <c r="B603" s="47"/>
      <c r="C603" s="47"/>
      <c r="D603" s="47"/>
      <c r="E603" s="47"/>
      <c r="F603" s="47"/>
      <c r="G603" s="47"/>
    </row>
    <row r="604" ht="15.75" customHeight="1">
      <c r="A604" s="47"/>
      <c r="B604" s="47"/>
      <c r="C604" s="47"/>
      <c r="D604" s="47"/>
      <c r="E604" s="47"/>
      <c r="F604" s="47"/>
      <c r="G604" s="47"/>
    </row>
    <row r="605" ht="15.75" customHeight="1">
      <c r="A605" s="47"/>
      <c r="B605" s="47"/>
      <c r="C605" s="47"/>
      <c r="D605" s="47"/>
      <c r="E605" s="47"/>
      <c r="F605" s="47"/>
      <c r="G605" s="47"/>
    </row>
    <row r="606" ht="15.75" customHeight="1">
      <c r="A606" s="47"/>
      <c r="B606" s="47"/>
      <c r="C606" s="47"/>
      <c r="D606" s="47"/>
      <c r="E606" s="47"/>
      <c r="F606" s="47"/>
      <c r="G606" s="47"/>
    </row>
    <row r="607" ht="15.75" customHeight="1">
      <c r="A607" s="47"/>
      <c r="B607" s="47"/>
      <c r="C607" s="47"/>
      <c r="D607" s="47"/>
      <c r="E607" s="47"/>
      <c r="F607" s="47"/>
      <c r="G607" s="47"/>
    </row>
    <row r="608" ht="15.75" customHeight="1">
      <c r="A608" s="47"/>
      <c r="B608" s="47"/>
      <c r="C608" s="47"/>
      <c r="D608" s="47"/>
      <c r="E608" s="47"/>
      <c r="F608" s="47"/>
      <c r="G608" s="47"/>
    </row>
    <row r="609" ht="15.75" customHeight="1">
      <c r="A609" s="47"/>
      <c r="B609" s="47"/>
      <c r="C609" s="47"/>
      <c r="D609" s="47"/>
      <c r="E609" s="47"/>
      <c r="F609" s="47"/>
      <c r="G609" s="47"/>
    </row>
    <row r="610" ht="15.75" customHeight="1">
      <c r="A610" s="47"/>
      <c r="B610" s="47"/>
      <c r="C610" s="47"/>
      <c r="D610" s="47"/>
      <c r="E610" s="47"/>
      <c r="F610" s="47"/>
      <c r="G610" s="47"/>
    </row>
    <row r="611" ht="15.75" customHeight="1">
      <c r="A611" s="47"/>
      <c r="B611" s="47"/>
      <c r="C611" s="47"/>
      <c r="D611" s="47"/>
      <c r="E611" s="47"/>
      <c r="F611" s="47"/>
      <c r="G611" s="47"/>
    </row>
    <row r="612" ht="15.75" customHeight="1">
      <c r="A612" s="47"/>
      <c r="B612" s="47"/>
      <c r="C612" s="47"/>
      <c r="D612" s="47"/>
      <c r="E612" s="47"/>
      <c r="F612" s="47"/>
      <c r="G612" s="47"/>
    </row>
    <row r="613" ht="15.75" customHeight="1">
      <c r="A613" s="47"/>
      <c r="B613" s="47"/>
      <c r="C613" s="47"/>
      <c r="D613" s="47"/>
      <c r="E613" s="47"/>
      <c r="F613" s="47"/>
      <c r="G613" s="47"/>
    </row>
    <row r="614" ht="15.75" customHeight="1">
      <c r="A614" s="47"/>
      <c r="B614" s="47"/>
      <c r="C614" s="47"/>
      <c r="D614" s="47"/>
      <c r="E614" s="47"/>
      <c r="F614" s="47"/>
      <c r="G614" s="47"/>
    </row>
    <row r="615" ht="15.75" customHeight="1">
      <c r="A615" s="47"/>
      <c r="B615" s="47"/>
      <c r="C615" s="47"/>
      <c r="D615" s="47"/>
      <c r="E615" s="47"/>
      <c r="F615" s="47"/>
      <c r="G615" s="47"/>
    </row>
    <row r="616" ht="15.75" customHeight="1">
      <c r="A616" s="47"/>
      <c r="B616" s="47"/>
      <c r="C616" s="47"/>
      <c r="D616" s="47"/>
      <c r="E616" s="47"/>
      <c r="F616" s="47"/>
      <c r="G616" s="47"/>
    </row>
    <row r="617" ht="15.75" customHeight="1">
      <c r="A617" s="47"/>
      <c r="B617" s="47"/>
      <c r="C617" s="47"/>
      <c r="D617" s="47"/>
      <c r="E617" s="47"/>
      <c r="F617" s="47"/>
      <c r="G617" s="47"/>
    </row>
    <row r="618" ht="15.75" customHeight="1">
      <c r="A618" s="47"/>
      <c r="B618" s="47"/>
      <c r="C618" s="47"/>
      <c r="D618" s="47"/>
      <c r="E618" s="47"/>
      <c r="F618" s="47"/>
      <c r="G618" s="47"/>
    </row>
    <row r="619" ht="15.75" customHeight="1">
      <c r="A619" s="47"/>
      <c r="B619" s="47"/>
      <c r="C619" s="47"/>
      <c r="D619" s="47"/>
      <c r="E619" s="47"/>
      <c r="F619" s="47"/>
      <c r="G619" s="47"/>
    </row>
    <row r="620" ht="15.75" customHeight="1">
      <c r="A620" s="47"/>
      <c r="B620" s="47"/>
      <c r="C620" s="47"/>
      <c r="D620" s="47"/>
      <c r="E620" s="47"/>
      <c r="F620" s="47"/>
      <c r="G620" s="47"/>
    </row>
    <row r="621" ht="15.75" customHeight="1">
      <c r="A621" s="47"/>
      <c r="B621" s="47"/>
      <c r="C621" s="47"/>
      <c r="D621" s="47"/>
      <c r="E621" s="47"/>
      <c r="F621" s="47"/>
      <c r="G621" s="47"/>
    </row>
    <row r="622" ht="15.75" customHeight="1">
      <c r="A622" s="47"/>
      <c r="B622" s="47"/>
      <c r="C622" s="47"/>
      <c r="D622" s="47"/>
      <c r="E622" s="47"/>
      <c r="F622" s="47"/>
      <c r="G622" s="47"/>
    </row>
    <row r="623" ht="15.75" customHeight="1">
      <c r="A623" s="47"/>
      <c r="B623" s="47"/>
      <c r="C623" s="47"/>
      <c r="D623" s="47"/>
      <c r="E623" s="47"/>
      <c r="F623" s="47"/>
      <c r="G623" s="47"/>
    </row>
    <row r="624" ht="15.75" customHeight="1">
      <c r="A624" s="47"/>
      <c r="B624" s="47"/>
      <c r="C624" s="47"/>
      <c r="D624" s="47"/>
      <c r="E624" s="47"/>
      <c r="F624" s="47"/>
      <c r="G624" s="47"/>
    </row>
    <row r="625" ht="15.75" customHeight="1">
      <c r="A625" s="47"/>
      <c r="B625" s="47"/>
      <c r="C625" s="47"/>
      <c r="D625" s="47"/>
      <c r="E625" s="47"/>
      <c r="F625" s="47"/>
      <c r="G625" s="47"/>
    </row>
    <row r="626" ht="15.75" customHeight="1">
      <c r="A626" s="47"/>
      <c r="B626" s="47"/>
      <c r="C626" s="47"/>
      <c r="D626" s="47"/>
      <c r="E626" s="47"/>
      <c r="F626" s="47"/>
      <c r="G626" s="47"/>
    </row>
    <row r="627" ht="15.75" customHeight="1">
      <c r="A627" s="47"/>
      <c r="B627" s="47"/>
      <c r="C627" s="47"/>
      <c r="D627" s="47"/>
      <c r="E627" s="47"/>
      <c r="F627" s="47"/>
      <c r="G627" s="47"/>
    </row>
    <row r="628" ht="15.75" customHeight="1">
      <c r="A628" s="47"/>
      <c r="B628" s="47"/>
      <c r="C628" s="47"/>
      <c r="D628" s="47"/>
      <c r="E628" s="47"/>
      <c r="F628" s="47"/>
      <c r="G628" s="47"/>
    </row>
    <row r="629" ht="15.75" customHeight="1">
      <c r="A629" s="47"/>
      <c r="B629" s="47"/>
      <c r="C629" s="47"/>
      <c r="D629" s="47"/>
      <c r="E629" s="47"/>
      <c r="F629" s="47"/>
      <c r="G629" s="47"/>
    </row>
    <row r="630" ht="15.75" customHeight="1">
      <c r="A630" s="47"/>
      <c r="B630" s="47"/>
      <c r="C630" s="47"/>
      <c r="D630" s="47"/>
      <c r="E630" s="47"/>
      <c r="F630" s="47"/>
      <c r="G630" s="47"/>
    </row>
    <row r="631" ht="15.75" customHeight="1">
      <c r="A631" s="47"/>
      <c r="B631" s="47"/>
      <c r="C631" s="47"/>
      <c r="D631" s="47"/>
      <c r="E631" s="47"/>
      <c r="F631" s="47"/>
      <c r="G631" s="47"/>
    </row>
    <row r="632" ht="15.75" customHeight="1">
      <c r="A632" s="47"/>
      <c r="B632" s="47"/>
      <c r="C632" s="47"/>
      <c r="D632" s="47"/>
      <c r="E632" s="47"/>
      <c r="F632" s="47"/>
      <c r="G632" s="47"/>
    </row>
    <row r="633" ht="15.75" customHeight="1">
      <c r="A633" s="47"/>
      <c r="B633" s="47"/>
      <c r="C633" s="47"/>
      <c r="D633" s="47"/>
      <c r="E633" s="47"/>
      <c r="F633" s="47"/>
      <c r="G633" s="47"/>
    </row>
    <row r="634" ht="15.75" customHeight="1">
      <c r="A634" s="47"/>
      <c r="B634" s="47"/>
      <c r="C634" s="47"/>
      <c r="D634" s="47"/>
      <c r="E634" s="47"/>
      <c r="F634" s="47"/>
      <c r="G634" s="47"/>
    </row>
    <row r="635" ht="15.75" customHeight="1">
      <c r="A635" s="47"/>
      <c r="B635" s="47"/>
      <c r="C635" s="47"/>
      <c r="D635" s="47"/>
      <c r="E635" s="47"/>
      <c r="F635" s="47"/>
      <c r="G635" s="47"/>
    </row>
    <row r="636" ht="15.75" customHeight="1">
      <c r="A636" s="47"/>
      <c r="B636" s="47"/>
      <c r="C636" s="47"/>
      <c r="D636" s="47"/>
      <c r="E636" s="47"/>
      <c r="F636" s="47"/>
      <c r="G636" s="47"/>
    </row>
    <row r="637" ht="15.75" customHeight="1">
      <c r="A637" s="47"/>
      <c r="B637" s="47"/>
      <c r="C637" s="47"/>
      <c r="D637" s="47"/>
      <c r="E637" s="47"/>
      <c r="F637" s="47"/>
      <c r="G637" s="47"/>
    </row>
    <row r="638" ht="15.75" customHeight="1">
      <c r="A638" s="47"/>
      <c r="B638" s="47"/>
      <c r="C638" s="47"/>
      <c r="D638" s="47"/>
      <c r="E638" s="47"/>
      <c r="F638" s="47"/>
      <c r="G638" s="47"/>
    </row>
    <row r="639" ht="15.75" customHeight="1">
      <c r="A639" s="47"/>
      <c r="B639" s="47"/>
      <c r="C639" s="47"/>
      <c r="D639" s="47"/>
      <c r="E639" s="47"/>
      <c r="F639" s="47"/>
      <c r="G639" s="47"/>
    </row>
    <row r="640" ht="15.75" customHeight="1">
      <c r="A640" s="47"/>
      <c r="B640" s="47"/>
      <c r="C640" s="47"/>
      <c r="D640" s="47"/>
      <c r="E640" s="47"/>
      <c r="F640" s="47"/>
      <c r="G640" s="47"/>
    </row>
    <row r="641" ht="15.75" customHeight="1">
      <c r="A641" s="47"/>
      <c r="B641" s="47"/>
      <c r="C641" s="47"/>
      <c r="D641" s="47"/>
      <c r="E641" s="47"/>
      <c r="F641" s="47"/>
      <c r="G641" s="47"/>
    </row>
    <row r="642" ht="15.75" customHeight="1">
      <c r="A642" s="47"/>
      <c r="B642" s="47"/>
      <c r="C642" s="47"/>
      <c r="D642" s="47"/>
      <c r="E642" s="47"/>
      <c r="F642" s="47"/>
      <c r="G642" s="47"/>
    </row>
    <row r="643" ht="15.75" customHeight="1">
      <c r="A643" s="47"/>
      <c r="B643" s="47"/>
      <c r="C643" s="47"/>
      <c r="D643" s="47"/>
      <c r="E643" s="47"/>
      <c r="F643" s="47"/>
      <c r="G643" s="47"/>
    </row>
    <row r="644" ht="15.75" customHeight="1">
      <c r="A644" s="47"/>
      <c r="B644" s="47"/>
      <c r="C644" s="47"/>
      <c r="D644" s="47"/>
      <c r="E644" s="47"/>
      <c r="F644" s="47"/>
      <c r="G644" s="47"/>
    </row>
    <row r="645" ht="15.75" customHeight="1">
      <c r="A645" s="47"/>
      <c r="B645" s="47"/>
      <c r="C645" s="47"/>
      <c r="D645" s="47"/>
      <c r="E645" s="47"/>
      <c r="F645" s="47"/>
      <c r="G645" s="47"/>
    </row>
    <row r="646" ht="15.75" customHeight="1">
      <c r="A646" s="47"/>
      <c r="B646" s="47"/>
      <c r="C646" s="47"/>
      <c r="D646" s="47"/>
      <c r="E646" s="47"/>
      <c r="F646" s="47"/>
      <c r="G646" s="47"/>
    </row>
    <row r="647" ht="15.75" customHeight="1">
      <c r="A647" s="47"/>
      <c r="B647" s="47"/>
      <c r="C647" s="47"/>
      <c r="D647" s="47"/>
      <c r="E647" s="47"/>
      <c r="F647" s="47"/>
      <c r="G647" s="47"/>
    </row>
    <row r="648" ht="15.75" customHeight="1">
      <c r="A648" s="47"/>
      <c r="B648" s="47"/>
      <c r="C648" s="47"/>
      <c r="D648" s="47"/>
      <c r="E648" s="47"/>
      <c r="F648" s="47"/>
      <c r="G648" s="47"/>
    </row>
    <row r="649" ht="15.75" customHeight="1">
      <c r="A649" s="47"/>
      <c r="B649" s="47"/>
      <c r="C649" s="47"/>
      <c r="D649" s="47"/>
      <c r="E649" s="47"/>
      <c r="F649" s="47"/>
      <c r="G649" s="47"/>
    </row>
    <row r="650" ht="15.75" customHeight="1">
      <c r="A650" s="47"/>
      <c r="B650" s="47"/>
      <c r="C650" s="47"/>
      <c r="D650" s="47"/>
      <c r="E650" s="47"/>
      <c r="F650" s="47"/>
      <c r="G650" s="47"/>
    </row>
    <row r="651" ht="15.75" customHeight="1">
      <c r="A651" s="47"/>
      <c r="B651" s="47"/>
      <c r="C651" s="47"/>
      <c r="D651" s="47"/>
      <c r="E651" s="47"/>
      <c r="F651" s="47"/>
      <c r="G651" s="47"/>
    </row>
    <row r="652" ht="15.75" customHeight="1">
      <c r="A652" s="47"/>
      <c r="B652" s="47"/>
      <c r="C652" s="47"/>
      <c r="D652" s="47"/>
      <c r="E652" s="47"/>
      <c r="F652" s="47"/>
      <c r="G652" s="47"/>
    </row>
    <row r="653" ht="15.75" customHeight="1">
      <c r="A653" s="47"/>
      <c r="B653" s="47"/>
      <c r="C653" s="47"/>
      <c r="D653" s="47"/>
      <c r="E653" s="47"/>
      <c r="F653" s="47"/>
      <c r="G653" s="47"/>
    </row>
    <row r="654" ht="15.75" customHeight="1">
      <c r="A654" s="47"/>
      <c r="B654" s="47"/>
      <c r="C654" s="47"/>
      <c r="D654" s="47"/>
      <c r="E654" s="47"/>
      <c r="F654" s="47"/>
      <c r="G654" s="47"/>
    </row>
    <row r="655" ht="15.75" customHeight="1">
      <c r="A655" s="47"/>
      <c r="B655" s="47"/>
      <c r="C655" s="47"/>
      <c r="D655" s="47"/>
      <c r="E655" s="47"/>
      <c r="F655" s="47"/>
      <c r="G655" s="47"/>
    </row>
    <row r="656" ht="15.75" customHeight="1">
      <c r="A656" s="47"/>
      <c r="B656" s="47"/>
      <c r="C656" s="47"/>
      <c r="D656" s="47"/>
      <c r="E656" s="47"/>
      <c r="F656" s="47"/>
      <c r="G656" s="47"/>
    </row>
    <row r="657" ht="15.75" customHeight="1">
      <c r="A657" s="47"/>
      <c r="B657" s="47"/>
      <c r="C657" s="47"/>
      <c r="D657" s="47"/>
      <c r="E657" s="47"/>
      <c r="F657" s="47"/>
      <c r="G657" s="47"/>
    </row>
    <row r="658" ht="15.75" customHeight="1">
      <c r="A658" s="47"/>
      <c r="B658" s="47"/>
      <c r="C658" s="47"/>
      <c r="D658" s="47"/>
      <c r="E658" s="47"/>
      <c r="F658" s="47"/>
      <c r="G658" s="47"/>
    </row>
    <row r="659" ht="15.75" customHeight="1">
      <c r="A659" s="47"/>
      <c r="B659" s="47"/>
      <c r="C659" s="47"/>
      <c r="D659" s="47"/>
      <c r="E659" s="47"/>
      <c r="F659" s="47"/>
      <c r="G659" s="47"/>
    </row>
    <row r="660" ht="15.75" customHeight="1">
      <c r="A660" s="47"/>
      <c r="B660" s="47"/>
      <c r="C660" s="47"/>
      <c r="D660" s="47"/>
      <c r="E660" s="47"/>
      <c r="F660" s="47"/>
      <c r="G660" s="47"/>
    </row>
    <row r="661" ht="15.75" customHeight="1">
      <c r="A661" s="47"/>
      <c r="B661" s="47"/>
      <c r="C661" s="47"/>
      <c r="D661" s="47"/>
      <c r="E661" s="47"/>
      <c r="F661" s="47"/>
      <c r="G661" s="47"/>
    </row>
    <row r="662" ht="15.75" customHeight="1">
      <c r="A662" s="47"/>
      <c r="B662" s="47"/>
      <c r="C662" s="47"/>
      <c r="D662" s="47"/>
      <c r="E662" s="47"/>
      <c r="F662" s="47"/>
      <c r="G662" s="47"/>
    </row>
    <row r="663" ht="15.75" customHeight="1">
      <c r="A663" s="47"/>
      <c r="B663" s="47"/>
      <c r="C663" s="47"/>
      <c r="D663" s="47"/>
      <c r="E663" s="47"/>
      <c r="F663" s="47"/>
      <c r="G663" s="47"/>
    </row>
    <row r="664" ht="15.75" customHeight="1">
      <c r="A664" s="47"/>
      <c r="B664" s="47"/>
      <c r="C664" s="47"/>
      <c r="D664" s="47"/>
      <c r="E664" s="47"/>
      <c r="F664" s="47"/>
      <c r="G664" s="47"/>
    </row>
    <row r="665" ht="15.75" customHeight="1">
      <c r="A665" s="47"/>
      <c r="B665" s="47"/>
      <c r="C665" s="47"/>
      <c r="D665" s="47"/>
      <c r="E665" s="47"/>
      <c r="F665" s="47"/>
      <c r="G665" s="47"/>
    </row>
    <row r="666" ht="15.75" customHeight="1">
      <c r="A666" s="47"/>
      <c r="B666" s="47"/>
      <c r="C666" s="47"/>
      <c r="D666" s="47"/>
      <c r="E666" s="47"/>
      <c r="F666" s="47"/>
      <c r="G666" s="47"/>
    </row>
    <row r="667" ht="15.75" customHeight="1">
      <c r="A667" s="47"/>
      <c r="B667" s="47"/>
      <c r="C667" s="47"/>
      <c r="D667" s="47"/>
      <c r="E667" s="47"/>
      <c r="F667" s="47"/>
      <c r="G667" s="47"/>
    </row>
    <row r="668" ht="15.75" customHeight="1">
      <c r="A668" s="47"/>
      <c r="B668" s="47"/>
      <c r="C668" s="47"/>
      <c r="D668" s="47"/>
      <c r="E668" s="47"/>
      <c r="F668" s="47"/>
      <c r="G668" s="47"/>
    </row>
    <row r="669" ht="15.75" customHeight="1">
      <c r="A669" s="47"/>
      <c r="B669" s="47"/>
      <c r="C669" s="47"/>
      <c r="D669" s="47"/>
      <c r="E669" s="47"/>
      <c r="F669" s="47"/>
      <c r="G669" s="47"/>
    </row>
    <row r="670" ht="15.75" customHeight="1">
      <c r="A670" s="47"/>
      <c r="B670" s="47"/>
      <c r="C670" s="47"/>
      <c r="D670" s="47"/>
      <c r="E670" s="47"/>
      <c r="F670" s="47"/>
      <c r="G670" s="47"/>
    </row>
    <row r="671" ht="15.75" customHeight="1">
      <c r="A671" s="47"/>
      <c r="B671" s="47"/>
      <c r="C671" s="47"/>
      <c r="D671" s="47"/>
      <c r="E671" s="47"/>
      <c r="F671" s="47"/>
      <c r="G671" s="47"/>
    </row>
    <row r="672" ht="15.75" customHeight="1">
      <c r="A672" s="47"/>
      <c r="B672" s="47"/>
      <c r="C672" s="47"/>
      <c r="D672" s="47"/>
      <c r="E672" s="47"/>
      <c r="F672" s="47"/>
      <c r="G672" s="47"/>
    </row>
    <row r="673" ht="15.75" customHeight="1">
      <c r="A673" s="47"/>
      <c r="B673" s="47"/>
      <c r="C673" s="47"/>
      <c r="D673" s="47"/>
      <c r="E673" s="47"/>
      <c r="F673" s="47"/>
      <c r="G673" s="47"/>
    </row>
    <row r="674" ht="15.75" customHeight="1">
      <c r="A674" s="47"/>
      <c r="B674" s="47"/>
      <c r="C674" s="47"/>
      <c r="D674" s="47"/>
      <c r="E674" s="47"/>
      <c r="F674" s="47"/>
      <c r="G674" s="47"/>
    </row>
    <row r="675" ht="15.75" customHeight="1">
      <c r="A675" s="47"/>
      <c r="B675" s="47"/>
      <c r="C675" s="47"/>
      <c r="D675" s="47"/>
      <c r="E675" s="47"/>
      <c r="F675" s="47"/>
      <c r="G675" s="47"/>
    </row>
    <row r="676" ht="15.75" customHeight="1">
      <c r="A676" s="47"/>
      <c r="B676" s="47"/>
      <c r="C676" s="47"/>
      <c r="D676" s="47"/>
      <c r="E676" s="47"/>
      <c r="F676" s="47"/>
      <c r="G676" s="47"/>
    </row>
    <row r="677" ht="15.75" customHeight="1">
      <c r="A677" s="47"/>
      <c r="B677" s="47"/>
      <c r="C677" s="47"/>
      <c r="D677" s="47"/>
      <c r="E677" s="47"/>
      <c r="F677" s="47"/>
      <c r="G677" s="47"/>
    </row>
    <row r="678" ht="15.75" customHeight="1">
      <c r="A678" s="47"/>
      <c r="B678" s="47"/>
      <c r="C678" s="47"/>
      <c r="D678" s="47"/>
      <c r="E678" s="47"/>
      <c r="F678" s="47"/>
      <c r="G678" s="47"/>
    </row>
    <row r="679" ht="15.75" customHeight="1">
      <c r="A679" s="47"/>
      <c r="B679" s="47"/>
      <c r="C679" s="47"/>
      <c r="D679" s="47"/>
      <c r="E679" s="47"/>
      <c r="F679" s="47"/>
      <c r="G679" s="47"/>
    </row>
    <row r="680" ht="15.75" customHeight="1">
      <c r="A680" s="47"/>
      <c r="B680" s="47"/>
      <c r="C680" s="47"/>
      <c r="D680" s="47"/>
      <c r="E680" s="47"/>
      <c r="F680" s="47"/>
      <c r="G680" s="47"/>
    </row>
    <row r="681" ht="15.75" customHeight="1">
      <c r="A681" s="47"/>
      <c r="B681" s="47"/>
      <c r="C681" s="47"/>
      <c r="D681" s="47"/>
      <c r="E681" s="47"/>
      <c r="F681" s="47"/>
      <c r="G681" s="47"/>
    </row>
    <row r="682" ht="15.75" customHeight="1">
      <c r="A682" s="47"/>
      <c r="B682" s="47"/>
      <c r="C682" s="47"/>
      <c r="D682" s="47"/>
      <c r="E682" s="47"/>
      <c r="F682" s="47"/>
      <c r="G682" s="47"/>
    </row>
    <row r="683" ht="15.75" customHeight="1">
      <c r="A683" s="47"/>
      <c r="B683" s="47"/>
      <c r="C683" s="47"/>
      <c r="D683" s="47"/>
      <c r="E683" s="47"/>
      <c r="F683" s="47"/>
      <c r="G683" s="47"/>
    </row>
    <row r="684" ht="15.75" customHeight="1">
      <c r="A684" s="47"/>
      <c r="B684" s="47"/>
      <c r="C684" s="47"/>
      <c r="D684" s="47"/>
      <c r="E684" s="47"/>
      <c r="F684" s="47"/>
      <c r="G684" s="47"/>
    </row>
    <row r="685" ht="15.75" customHeight="1">
      <c r="A685" s="47"/>
      <c r="B685" s="47"/>
      <c r="C685" s="47"/>
      <c r="D685" s="47"/>
      <c r="E685" s="47"/>
      <c r="F685" s="47"/>
      <c r="G685" s="47"/>
    </row>
    <row r="686" ht="15.75" customHeight="1">
      <c r="A686" s="47"/>
      <c r="B686" s="47"/>
      <c r="C686" s="47"/>
      <c r="D686" s="47"/>
      <c r="E686" s="47"/>
      <c r="F686" s="47"/>
      <c r="G686" s="47"/>
    </row>
    <row r="687" ht="15.75" customHeight="1">
      <c r="A687" s="47"/>
      <c r="B687" s="47"/>
      <c r="C687" s="47"/>
      <c r="D687" s="47"/>
      <c r="E687" s="47"/>
      <c r="F687" s="47"/>
      <c r="G687" s="47"/>
    </row>
    <row r="688" ht="15.75" customHeight="1">
      <c r="A688" s="47"/>
      <c r="B688" s="47"/>
      <c r="C688" s="47"/>
      <c r="D688" s="47"/>
      <c r="E688" s="47"/>
      <c r="F688" s="47"/>
      <c r="G688" s="47"/>
    </row>
    <row r="689" ht="15.75" customHeight="1">
      <c r="A689" s="47"/>
      <c r="B689" s="47"/>
      <c r="C689" s="47"/>
      <c r="D689" s="47"/>
      <c r="E689" s="47"/>
      <c r="F689" s="47"/>
      <c r="G689" s="47"/>
    </row>
    <row r="690" ht="15.75" customHeight="1">
      <c r="A690" s="47"/>
      <c r="B690" s="47"/>
      <c r="C690" s="47"/>
      <c r="D690" s="47"/>
      <c r="E690" s="47"/>
      <c r="F690" s="47"/>
      <c r="G690" s="47"/>
    </row>
    <row r="691" ht="15.75" customHeight="1">
      <c r="A691" s="47"/>
      <c r="B691" s="47"/>
      <c r="C691" s="47"/>
      <c r="D691" s="47"/>
      <c r="E691" s="47"/>
      <c r="F691" s="47"/>
      <c r="G691" s="47"/>
    </row>
    <row r="692" ht="15.75" customHeight="1">
      <c r="A692" s="47"/>
      <c r="B692" s="47"/>
      <c r="C692" s="47"/>
      <c r="D692" s="47"/>
      <c r="E692" s="47"/>
      <c r="F692" s="47"/>
      <c r="G692" s="47"/>
    </row>
    <row r="693" ht="15.75" customHeight="1">
      <c r="A693" s="47"/>
      <c r="B693" s="47"/>
      <c r="C693" s="47"/>
      <c r="D693" s="47"/>
      <c r="E693" s="47"/>
      <c r="F693" s="47"/>
      <c r="G693" s="47"/>
    </row>
    <row r="694" ht="15.75" customHeight="1">
      <c r="A694" s="47"/>
      <c r="B694" s="47"/>
      <c r="C694" s="47"/>
      <c r="D694" s="47"/>
      <c r="E694" s="47"/>
      <c r="F694" s="47"/>
      <c r="G694" s="47"/>
    </row>
    <row r="695" ht="15.75" customHeight="1">
      <c r="A695" s="47"/>
      <c r="B695" s="47"/>
      <c r="C695" s="47"/>
      <c r="D695" s="47"/>
      <c r="E695" s="47"/>
      <c r="F695" s="47"/>
      <c r="G695" s="47"/>
    </row>
    <row r="696" ht="15.75" customHeight="1">
      <c r="A696" s="47"/>
      <c r="B696" s="47"/>
      <c r="C696" s="47"/>
      <c r="D696" s="47"/>
      <c r="E696" s="47"/>
      <c r="F696" s="47"/>
      <c r="G696" s="47"/>
    </row>
    <row r="697" ht="15.75" customHeight="1">
      <c r="A697" s="47"/>
      <c r="B697" s="47"/>
      <c r="C697" s="47"/>
      <c r="D697" s="47"/>
      <c r="E697" s="47"/>
      <c r="F697" s="47"/>
      <c r="G697" s="47"/>
    </row>
    <row r="698" ht="15.75" customHeight="1">
      <c r="A698" s="47"/>
      <c r="B698" s="47"/>
      <c r="C698" s="47"/>
      <c r="D698" s="47"/>
      <c r="E698" s="47"/>
      <c r="F698" s="47"/>
      <c r="G698" s="47"/>
    </row>
    <row r="699" ht="15.75" customHeight="1">
      <c r="A699" s="47"/>
      <c r="B699" s="47"/>
      <c r="C699" s="47"/>
      <c r="D699" s="47"/>
      <c r="E699" s="47"/>
      <c r="F699" s="47"/>
      <c r="G699" s="47"/>
    </row>
    <row r="700" ht="15.75" customHeight="1">
      <c r="A700" s="47"/>
      <c r="B700" s="47"/>
      <c r="C700" s="47"/>
      <c r="D700" s="47"/>
      <c r="E700" s="47"/>
      <c r="F700" s="47"/>
      <c r="G700" s="47"/>
    </row>
    <row r="701" ht="15.75" customHeight="1">
      <c r="A701" s="47"/>
      <c r="B701" s="47"/>
      <c r="C701" s="47"/>
      <c r="D701" s="47"/>
      <c r="E701" s="47"/>
      <c r="F701" s="47"/>
      <c r="G701" s="47"/>
    </row>
    <row r="702" ht="15.75" customHeight="1">
      <c r="A702" s="47"/>
      <c r="B702" s="47"/>
      <c r="C702" s="47"/>
      <c r="D702" s="47"/>
      <c r="E702" s="47"/>
      <c r="F702" s="47"/>
      <c r="G702" s="47"/>
    </row>
    <row r="703" ht="15.75" customHeight="1">
      <c r="A703" s="47"/>
      <c r="B703" s="47"/>
      <c r="C703" s="47"/>
      <c r="D703" s="47"/>
      <c r="E703" s="47"/>
      <c r="F703" s="47"/>
      <c r="G703" s="47"/>
    </row>
    <row r="704" ht="15.75" customHeight="1">
      <c r="A704" s="47"/>
      <c r="B704" s="47"/>
      <c r="C704" s="47"/>
      <c r="D704" s="47"/>
      <c r="E704" s="47"/>
      <c r="F704" s="47"/>
      <c r="G704" s="47"/>
    </row>
    <row r="705" ht="15.75" customHeight="1">
      <c r="A705" s="47"/>
      <c r="B705" s="47"/>
      <c r="C705" s="47"/>
      <c r="D705" s="47"/>
      <c r="E705" s="47"/>
      <c r="F705" s="47"/>
      <c r="G705" s="47"/>
    </row>
    <row r="706" ht="15.75" customHeight="1">
      <c r="A706" s="47"/>
      <c r="B706" s="47"/>
      <c r="C706" s="47"/>
      <c r="D706" s="47"/>
      <c r="E706" s="47"/>
      <c r="F706" s="47"/>
      <c r="G706" s="47"/>
    </row>
    <row r="707" ht="15.75" customHeight="1">
      <c r="A707" s="47"/>
      <c r="B707" s="47"/>
      <c r="C707" s="47"/>
      <c r="D707" s="47"/>
      <c r="E707" s="47"/>
      <c r="F707" s="47"/>
      <c r="G707" s="47"/>
    </row>
    <row r="708" ht="15.75" customHeight="1">
      <c r="A708" s="47"/>
      <c r="B708" s="47"/>
      <c r="C708" s="47"/>
      <c r="D708" s="47"/>
      <c r="E708" s="47"/>
      <c r="F708" s="47"/>
      <c r="G708" s="47"/>
    </row>
    <row r="709" ht="15.75" customHeight="1">
      <c r="A709" s="47"/>
      <c r="B709" s="47"/>
      <c r="C709" s="47"/>
      <c r="D709" s="47"/>
      <c r="E709" s="47"/>
      <c r="F709" s="47"/>
      <c r="G709" s="47"/>
    </row>
    <row r="710" ht="15.75" customHeight="1">
      <c r="A710" s="47"/>
      <c r="B710" s="47"/>
      <c r="C710" s="47"/>
      <c r="D710" s="47"/>
      <c r="E710" s="47"/>
      <c r="F710" s="47"/>
      <c r="G710" s="47"/>
    </row>
    <row r="711" ht="15.75" customHeight="1">
      <c r="A711" s="47"/>
      <c r="B711" s="47"/>
      <c r="C711" s="47"/>
      <c r="D711" s="47"/>
      <c r="E711" s="47"/>
      <c r="F711" s="47"/>
      <c r="G711" s="47"/>
    </row>
    <row r="712" ht="15.75" customHeight="1">
      <c r="A712" s="47"/>
      <c r="B712" s="47"/>
      <c r="C712" s="47"/>
      <c r="D712" s="47"/>
      <c r="E712" s="47"/>
      <c r="F712" s="47"/>
      <c r="G712" s="47"/>
    </row>
    <row r="713" ht="15.75" customHeight="1">
      <c r="A713" s="47"/>
      <c r="B713" s="47"/>
      <c r="C713" s="47"/>
      <c r="D713" s="47"/>
      <c r="E713" s="47"/>
      <c r="F713" s="47"/>
      <c r="G713" s="47"/>
    </row>
    <row r="714" ht="15.75" customHeight="1">
      <c r="A714" s="47"/>
      <c r="B714" s="47"/>
      <c r="C714" s="47"/>
      <c r="D714" s="47"/>
      <c r="E714" s="47"/>
      <c r="F714" s="47"/>
      <c r="G714" s="47"/>
    </row>
    <row r="715" ht="15.75" customHeight="1">
      <c r="A715" s="47"/>
      <c r="B715" s="47"/>
      <c r="C715" s="47"/>
      <c r="D715" s="47"/>
      <c r="E715" s="47"/>
      <c r="F715" s="47"/>
      <c r="G715" s="47"/>
    </row>
    <row r="716" ht="15.75" customHeight="1">
      <c r="A716" s="47"/>
      <c r="B716" s="47"/>
      <c r="C716" s="47"/>
      <c r="D716" s="47"/>
      <c r="E716" s="47"/>
      <c r="F716" s="47"/>
      <c r="G716" s="47"/>
    </row>
    <row r="717" ht="15.75" customHeight="1">
      <c r="A717" s="47"/>
      <c r="B717" s="47"/>
      <c r="C717" s="47"/>
      <c r="D717" s="47"/>
      <c r="E717" s="47"/>
      <c r="F717" s="47"/>
      <c r="G717" s="47"/>
    </row>
    <row r="718" ht="15.75" customHeight="1">
      <c r="A718" s="47"/>
      <c r="B718" s="47"/>
      <c r="C718" s="47"/>
      <c r="D718" s="47"/>
      <c r="E718" s="47"/>
      <c r="F718" s="47"/>
      <c r="G718" s="47"/>
    </row>
    <row r="719" ht="15.75" customHeight="1">
      <c r="A719" s="47"/>
      <c r="B719" s="47"/>
      <c r="C719" s="47"/>
      <c r="D719" s="47"/>
      <c r="E719" s="47"/>
      <c r="F719" s="47"/>
      <c r="G719" s="47"/>
    </row>
    <row r="720" ht="15.75" customHeight="1">
      <c r="A720" s="47"/>
      <c r="B720" s="47"/>
      <c r="C720" s="47"/>
      <c r="D720" s="47"/>
      <c r="E720" s="47"/>
      <c r="F720" s="47"/>
      <c r="G720" s="47"/>
    </row>
    <row r="721" ht="15.75" customHeight="1">
      <c r="A721" s="47"/>
      <c r="B721" s="47"/>
      <c r="C721" s="47"/>
      <c r="D721" s="47"/>
      <c r="E721" s="47"/>
      <c r="F721" s="47"/>
      <c r="G721" s="47"/>
    </row>
    <row r="722" ht="15.75" customHeight="1">
      <c r="A722" s="47"/>
      <c r="B722" s="47"/>
      <c r="C722" s="47"/>
      <c r="D722" s="47"/>
      <c r="E722" s="47"/>
      <c r="F722" s="47"/>
      <c r="G722" s="47"/>
    </row>
    <row r="723" ht="15.75" customHeight="1">
      <c r="A723" s="47"/>
      <c r="B723" s="47"/>
      <c r="C723" s="47"/>
      <c r="D723" s="47"/>
      <c r="E723" s="47"/>
      <c r="F723" s="47"/>
      <c r="G723" s="47"/>
    </row>
    <row r="724" ht="15.75" customHeight="1">
      <c r="A724" s="47"/>
      <c r="B724" s="47"/>
      <c r="C724" s="47"/>
      <c r="D724" s="47"/>
      <c r="E724" s="47"/>
      <c r="F724" s="47"/>
      <c r="G724" s="47"/>
    </row>
    <row r="725" ht="15.75" customHeight="1">
      <c r="A725" s="47"/>
      <c r="B725" s="47"/>
      <c r="C725" s="47"/>
      <c r="D725" s="47"/>
      <c r="E725" s="47"/>
      <c r="F725" s="47"/>
      <c r="G725" s="47"/>
    </row>
    <row r="726" ht="15.75" customHeight="1">
      <c r="A726" s="47"/>
      <c r="B726" s="47"/>
      <c r="C726" s="47"/>
      <c r="D726" s="47"/>
      <c r="E726" s="47"/>
      <c r="F726" s="47"/>
      <c r="G726" s="47"/>
    </row>
    <row r="727" ht="15.75" customHeight="1">
      <c r="A727" s="47"/>
      <c r="B727" s="47"/>
      <c r="C727" s="47"/>
      <c r="D727" s="47"/>
      <c r="E727" s="47"/>
      <c r="F727" s="47"/>
      <c r="G727" s="47"/>
    </row>
    <row r="728" ht="15.75" customHeight="1">
      <c r="A728" s="47"/>
      <c r="B728" s="47"/>
      <c r="C728" s="47"/>
      <c r="D728" s="47"/>
      <c r="E728" s="47"/>
      <c r="F728" s="47"/>
      <c r="G728" s="47"/>
    </row>
    <row r="729" ht="15.75" customHeight="1">
      <c r="A729" s="47"/>
      <c r="B729" s="47"/>
      <c r="C729" s="47"/>
      <c r="D729" s="47"/>
      <c r="E729" s="47"/>
      <c r="F729" s="47"/>
      <c r="G729" s="47"/>
    </row>
    <row r="730" ht="15.75" customHeight="1">
      <c r="A730" s="47"/>
      <c r="B730" s="47"/>
      <c r="C730" s="47"/>
      <c r="D730" s="47"/>
      <c r="E730" s="47"/>
      <c r="F730" s="47"/>
      <c r="G730" s="47"/>
    </row>
    <row r="731" ht="15.75" customHeight="1">
      <c r="A731" s="47"/>
      <c r="B731" s="47"/>
      <c r="C731" s="47"/>
      <c r="D731" s="47"/>
      <c r="E731" s="47"/>
      <c r="F731" s="47"/>
      <c r="G731" s="47"/>
    </row>
    <row r="732" ht="15.75" customHeight="1">
      <c r="A732" s="47"/>
      <c r="B732" s="47"/>
      <c r="C732" s="47"/>
      <c r="D732" s="47"/>
      <c r="E732" s="47"/>
      <c r="F732" s="47"/>
      <c r="G732" s="47"/>
    </row>
    <row r="733" ht="15.75" customHeight="1">
      <c r="A733" s="47"/>
      <c r="B733" s="47"/>
      <c r="C733" s="47"/>
      <c r="D733" s="47"/>
      <c r="E733" s="47"/>
      <c r="F733" s="47"/>
      <c r="G733" s="47"/>
    </row>
    <row r="734" ht="15.75" customHeight="1">
      <c r="A734" s="47"/>
      <c r="B734" s="47"/>
      <c r="C734" s="47"/>
      <c r="D734" s="47"/>
      <c r="E734" s="47"/>
      <c r="F734" s="47"/>
      <c r="G734" s="47"/>
    </row>
    <row r="735" ht="15.75" customHeight="1">
      <c r="A735" s="47"/>
      <c r="B735" s="47"/>
      <c r="C735" s="47"/>
      <c r="D735" s="47"/>
      <c r="E735" s="47"/>
      <c r="F735" s="47"/>
      <c r="G735" s="47"/>
    </row>
    <row r="736" ht="15.75" customHeight="1">
      <c r="A736" s="47"/>
      <c r="B736" s="47"/>
      <c r="C736" s="47"/>
      <c r="D736" s="47"/>
      <c r="E736" s="47"/>
      <c r="F736" s="47"/>
      <c r="G736" s="47"/>
    </row>
    <row r="737" ht="15.75" customHeight="1">
      <c r="A737" s="47"/>
      <c r="B737" s="47"/>
      <c r="C737" s="47"/>
      <c r="D737" s="47"/>
      <c r="E737" s="47"/>
      <c r="F737" s="47"/>
      <c r="G737" s="47"/>
    </row>
    <row r="738" ht="15.75" customHeight="1">
      <c r="A738" s="47"/>
      <c r="B738" s="47"/>
      <c r="C738" s="47"/>
      <c r="D738" s="47"/>
      <c r="E738" s="47"/>
      <c r="F738" s="47"/>
      <c r="G738" s="47"/>
    </row>
    <row r="739" ht="15.75" customHeight="1">
      <c r="A739" s="47"/>
      <c r="B739" s="47"/>
      <c r="C739" s="47"/>
      <c r="D739" s="47"/>
      <c r="E739" s="47"/>
      <c r="F739" s="47"/>
      <c r="G739" s="47"/>
    </row>
    <row r="740" ht="15.75" customHeight="1">
      <c r="A740" s="47"/>
      <c r="B740" s="47"/>
      <c r="C740" s="47"/>
      <c r="D740" s="47"/>
      <c r="E740" s="47"/>
      <c r="F740" s="47"/>
      <c r="G740" s="47"/>
    </row>
    <row r="741" ht="15.75" customHeight="1">
      <c r="A741" s="47"/>
      <c r="B741" s="47"/>
      <c r="C741" s="47"/>
      <c r="D741" s="47"/>
      <c r="E741" s="47"/>
      <c r="F741" s="47"/>
      <c r="G741" s="47"/>
    </row>
    <row r="742" ht="15.75" customHeight="1">
      <c r="A742" s="47"/>
      <c r="B742" s="47"/>
      <c r="C742" s="47"/>
      <c r="D742" s="47"/>
      <c r="E742" s="47"/>
      <c r="F742" s="47"/>
      <c r="G742" s="47"/>
    </row>
    <row r="743" ht="15.75" customHeight="1">
      <c r="A743" s="47"/>
      <c r="B743" s="47"/>
      <c r="C743" s="47"/>
      <c r="D743" s="47"/>
      <c r="E743" s="47"/>
      <c r="F743" s="47"/>
      <c r="G743" s="47"/>
    </row>
    <row r="744" ht="15.75" customHeight="1">
      <c r="A744" s="47"/>
      <c r="B744" s="47"/>
      <c r="C744" s="47"/>
      <c r="D744" s="47"/>
      <c r="E744" s="47"/>
      <c r="F744" s="47"/>
      <c r="G744" s="47"/>
    </row>
    <row r="745" ht="15.75" customHeight="1">
      <c r="A745" s="47"/>
      <c r="B745" s="47"/>
      <c r="C745" s="47"/>
      <c r="D745" s="47"/>
      <c r="E745" s="47"/>
      <c r="F745" s="47"/>
      <c r="G745" s="47"/>
    </row>
    <row r="746" ht="15.75" customHeight="1">
      <c r="A746" s="47"/>
      <c r="B746" s="47"/>
      <c r="C746" s="47"/>
      <c r="D746" s="47"/>
      <c r="E746" s="47"/>
      <c r="F746" s="47"/>
      <c r="G746" s="47"/>
    </row>
    <row r="747" ht="15.75" customHeight="1">
      <c r="A747" s="47"/>
      <c r="B747" s="47"/>
      <c r="C747" s="47"/>
      <c r="D747" s="47"/>
      <c r="E747" s="47"/>
      <c r="F747" s="47"/>
      <c r="G747" s="47"/>
    </row>
    <row r="748" ht="15.75" customHeight="1">
      <c r="A748" s="47"/>
      <c r="B748" s="47"/>
      <c r="C748" s="47"/>
      <c r="D748" s="47"/>
      <c r="E748" s="47"/>
      <c r="F748" s="47"/>
      <c r="G748" s="47"/>
    </row>
    <row r="749" ht="15.75" customHeight="1">
      <c r="A749" s="47"/>
      <c r="B749" s="47"/>
      <c r="C749" s="47"/>
      <c r="D749" s="47"/>
      <c r="E749" s="47"/>
      <c r="F749" s="47"/>
      <c r="G749" s="47"/>
    </row>
    <row r="750" ht="15.75" customHeight="1">
      <c r="A750" s="47"/>
      <c r="B750" s="47"/>
      <c r="C750" s="47"/>
      <c r="D750" s="47"/>
      <c r="E750" s="47"/>
      <c r="F750" s="47"/>
      <c r="G750" s="47"/>
    </row>
    <row r="751" ht="15.75" customHeight="1">
      <c r="A751" s="47"/>
      <c r="B751" s="47"/>
      <c r="C751" s="47"/>
      <c r="D751" s="47"/>
      <c r="E751" s="47"/>
      <c r="F751" s="47"/>
      <c r="G751" s="47"/>
    </row>
    <row r="752" ht="15.75" customHeight="1">
      <c r="A752" s="47"/>
      <c r="B752" s="47"/>
      <c r="C752" s="47"/>
      <c r="D752" s="47"/>
      <c r="E752" s="47"/>
      <c r="F752" s="47"/>
      <c r="G752" s="47"/>
    </row>
    <row r="753" ht="15.75" customHeight="1">
      <c r="A753" s="47"/>
      <c r="B753" s="47"/>
      <c r="C753" s="47"/>
      <c r="D753" s="47"/>
      <c r="E753" s="47"/>
      <c r="F753" s="47"/>
      <c r="G753" s="47"/>
    </row>
    <row r="754" ht="15.75" customHeight="1">
      <c r="A754" s="47"/>
      <c r="B754" s="47"/>
      <c r="C754" s="47"/>
      <c r="D754" s="47"/>
      <c r="E754" s="47"/>
      <c r="F754" s="47"/>
      <c r="G754" s="47"/>
    </row>
    <row r="755" ht="15.75" customHeight="1">
      <c r="A755" s="47"/>
      <c r="B755" s="47"/>
      <c r="C755" s="47"/>
      <c r="D755" s="47"/>
      <c r="E755" s="47"/>
      <c r="F755" s="47"/>
      <c r="G755" s="47"/>
    </row>
    <row r="756" ht="15.75" customHeight="1">
      <c r="A756" s="47"/>
      <c r="B756" s="47"/>
      <c r="C756" s="47"/>
      <c r="D756" s="47"/>
      <c r="E756" s="47"/>
      <c r="F756" s="47"/>
      <c r="G756" s="47"/>
    </row>
    <row r="757" ht="15.75" customHeight="1">
      <c r="A757" s="47"/>
      <c r="B757" s="47"/>
      <c r="C757" s="47"/>
      <c r="D757" s="47"/>
      <c r="E757" s="47"/>
      <c r="F757" s="47"/>
      <c r="G757" s="47"/>
    </row>
    <row r="758" ht="15.75" customHeight="1">
      <c r="A758" s="47"/>
      <c r="B758" s="47"/>
      <c r="C758" s="47"/>
      <c r="D758" s="47"/>
      <c r="E758" s="47"/>
      <c r="F758" s="47"/>
      <c r="G758" s="47"/>
    </row>
    <row r="759" ht="15.75" customHeight="1">
      <c r="A759" s="47"/>
      <c r="B759" s="47"/>
      <c r="C759" s="47"/>
      <c r="D759" s="47"/>
      <c r="E759" s="47"/>
      <c r="F759" s="47"/>
      <c r="G759" s="47"/>
    </row>
    <row r="760" ht="15.75" customHeight="1">
      <c r="A760" s="47"/>
      <c r="B760" s="47"/>
      <c r="C760" s="47"/>
      <c r="D760" s="47"/>
      <c r="E760" s="47"/>
      <c r="F760" s="47"/>
      <c r="G760" s="47"/>
    </row>
    <row r="761" ht="15.75" customHeight="1">
      <c r="A761" s="47"/>
      <c r="B761" s="47"/>
      <c r="C761" s="47"/>
      <c r="D761" s="47"/>
      <c r="E761" s="47"/>
      <c r="F761" s="47"/>
      <c r="G761" s="47"/>
    </row>
    <row r="762" ht="15.75" customHeight="1">
      <c r="A762" s="47"/>
      <c r="B762" s="47"/>
      <c r="C762" s="47"/>
      <c r="D762" s="47"/>
      <c r="E762" s="47"/>
      <c r="F762" s="47"/>
      <c r="G762" s="47"/>
    </row>
    <row r="763" ht="15.75" customHeight="1">
      <c r="A763" s="47"/>
      <c r="B763" s="47"/>
      <c r="C763" s="47"/>
      <c r="D763" s="47"/>
      <c r="E763" s="47"/>
      <c r="F763" s="47"/>
      <c r="G763" s="47"/>
    </row>
    <row r="764" ht="15.75" customHeight="1">
      <c r="A764" s="47"/>
      <c r="B764" s="47"/>
      <c r="C764" s="47"/>
      <c r="D764" s="47"/>
      <c r="E764" s="47"/>
      <c r="F764" s="47"/>
      <c r="G764" s="47"/>
    </row>
    <row r="765" ht="15.75" customHeight="1">
      <c r="A765" s="47"/>
      <c r="B765" s="47"/>
      <c r="C765" s="47"/>
      <c r="D765" s="47"/>
      <c r="E765" s="47"/>
      <c r="F765" s="47"/>
      <c r="G765" s="47"/>
    </row>
    <row r="766" ht="15.75" customHeight="1">
      <c r="A766" s="47"/>
      <c r="B766" s="47"/>
      <c r="C766" s="47"/>
      <c r="D766" s="47"/>
      <c r="E766" s="47"/>
      <c r="F766" s="47"/>
      <c r="G766" s="47"/>
    </row>
    <row r="767" ht="15.75" customHeight="1">
      <c r="A767" s="47"/>
      <c r="B767" s="47"/>
      <c r="C767" s="47"/>
      <c r="D767" s="47"/>
      <c r="E767" s="47"/>
      <c r="F767" s="47"/>
      <c r="G767" s="47"/>
    </row>
    <row r="768" ht="15.75" customHeight="1">
      <c r="A768" s="47"/>
      <c r="B768" s="47"/>
      <c r="C768" s="47"/>
      <c r="D768" s="47"/>
      <c r="E768" s="47"/>
      <c r="F768" s="47"/>
      <c r="G768" s="47"/>
    </row>
    <row r="769" ht="15.75" customHeight="1">
      <c r="A769" s="47"/>
      <c r="B769" s="47"/>
      <c r="C769" s="47"/>
      <c r="D769" s="47"/>
      <c r="E769" s="47"/>
      <c r="F769" s="47"/>
      <c r="G769" s="47"/>
    </row>
    <row r="770" ht="15.75" customHeight="1">
      <c r="A770" s="47"/>
      <c r="B770" s="47"/>
      <c r="C770" s="47"/>
      <c r="D770" s="47"/>
      <c r="E770" s="47"/>
      <c r="F770" s="47"/>
      <c r="G770" s="47"/>
    </row>
    <row r="771" ht="15.75" customHeight="1">
      <c r="A771" s="47"/>
      <c r="B771" s="47"/>
      <c r="C771" s="47"/>
      <c r="D771" s="47"/>
      <c r="E771" s="47"/>
      <c r="F771" s="47"/>
      <c r="G771" s="47"/>
    </row>
    <row r="772" ht="15.75" customHeight="1">
      <c r="A772" s="47"/>
      <c r="B772" s="47"/>
      <c r="C772" s="47"/>
      <c r="D772" s="47"/>
      <c r="E772" s="47"/>
      <c r="F772" s="47"/>
      <c r="G772" s="47"/>
    </row>
    <row r="773" ht="15.75" customHeight="1">
      <c r="A773" s="47"/>
      <c r="B773" s="47"/>
      <c r="C773" s="47"/>
      <c r="D773" s="47"/>
      <c r="E773" s="47"/>
      <c r="F773" s="47"/>
      <c r="G773" s="47"/>
    </row>
    <row r="774" ht="15.75" customHeight="1">
      <c r="A774" s="47"/>
      <c r="B774" s="47"/>
      <c r="C774" s="47"/>
      <c r="D774" s="47"/>
      <c r="E774" s="47"/>
      <c r="F774" s="47"/>
      <c r="G774" s="47"/>
    </row>
    <row r="775" ht="15.75" customHeight="1">
      <c r="A775" s="47"/>
      <c r="B775" s="47"/>
      <c r="C775" s="47"/>
      <c r="D775" s="47"/>
      <c r="E775" s="47"/>
      <c r="F775" s="47"/>
      <c r="G775" s="47"/>
    </row>
    <row r="776" ht="15.75" customHeight="1">
      <c r="A776" s="47"/>
      <c r="B776" s="47"/>
      <c r="C776" s="47"/>
      <c r="D776" s="47"/>
      <c r="E776" s="47"/>
      <c r="F776" s="47"/>
      <c r="G776" s="47"/>
    </row>
    <row r="777" ht="15.75" customHeight="1">
      <c r="A777" s="47"/>
      <c r="B777" s="47"/>
      <c r="C777" s="47"/>
      <c r="D777" s="47"/>
      <c r="E777" s="47"/>
      <c r="F777" s="47"/>
      <c r="G777" s="47"/>
    </row>
    <row r="778" ht="15.75" customHeight="1">
      <c r="A778" s="47"/>
      <c r="B778" s="47"/>
      <c r="C778" s="47"/>
      <c r="D778" s="47"/>
      <c r="E778" s="47"/>
      <c r="F778" s="47"/>
      <c r="G778" s="47"/>
    </row>
    <row r="779" ht="15.75" customHeight="1">
      <c r="A779" s="47"/>
      <c r="B779" s="47"/>
      <c r="C779" s="47"/>
      <c r="D779" s="47"/>
      <c r="E779" s="47"/>
      <c r="F779" s="47"/>
      <c r="G779" s="47"/>
    </row>
    <row r="780" ht="15.75" customHeight="1">
      <c r="A780" s="47"/>
      <c r="B780" s="47"/>
      <c r="C780" s="47"/>
      <c r="D780" s="47"/>
      <c r="E780" s="47"/>
      <c r="F780" s="47"/>
      <c r="G780" s="47"/>
    </row>
    <row r="781" ht="15.75" customHeight="1">
      <c r="A781" s="47"/>
      <c r="B781" s="47"/>
      <c r="C781" s="47"/>
      <c r="D781" s="47"/>
      <c r="E781" s="47"/>
      <c r="F781" s="47"/>
      <c r="G781" s="47"/>
    </row>
    <row r="782" ht="15.75" customHeight="1">
      <c r="A782" s="47"/>
      <c r="B782" s="47"/>
      <c r="C782" s="47"/>
      <c r="D782" s="47"/>
      <c r="E782" s="47"/>
      <c r="F782" s="47"/>
      <c r="G782" s="47"/>
    </row>
    <row r="783" ht="15.75" customHeight="1">
      <c r="A783" s="47"/>
      <c r="B783" s="47"/>
      <c r="C783" s="47"/>
      <c r="D783" s="47"/>
      <c r="E783" s="47"/>
      <c r="F783" s="47"/>
      <c r="G783" s="47"/>
    </row>
    <row r="784" ht="15.75" customHeight="1">
      <c r="A784" s="47"/>
      <c r="B784" s="47"/>
      <c r="C784" s="47"/>
      <c r="D784" s="47"/>
      <c r="E784" s="47"/>
      <c r="F784" s="47"/>
      <c r="G784" s="47"/>
    </row>
    <row r="785" ht="15.75" customHeight="1">
      <c r="A785" s="47"/>
      <c r="B785" s="47"/>
      <c r="C785" s="47"/>
      <c r="D785" s="47"/>
      <c r="E785" s="47"/>
      <c r="F785" s="47"/>
      <c r="G785" s="47"/>
    </row>
    <row r="786" ht="15.75" customHeight="1">
      <c r="A786" s="47"/>
      <c r="B786" s="47"/>
      <c r="C786" s="47"/>
      <c r="D786" s="47"/>
      <c r="E786" s="47"/>
      <c r="F786" s="47"/>
      <c r="G786" s="47"/>
    </row>
    <row r="787" ht="15.75" customHeight="1">
      <c r="A787" s="47"/>
      <c r="B787" s="47"/>
      <c r="C787" s="47"/>
      <c r="D787" s="47"/>
      <c r="E787" s="47"/>
      <c r="F787" s="47"/>
      <c r="G787" s="47"/>
    </row>
    <row r="788" ht="15.75" customHeight="1">
      <c r="A788" s="47"/>
      <c r="B788" s="47"/>
      <c r="C788" s="47"/>
      <c r="D788" s="47"/>
      <c r="E788" s="47"/>
      <c r="F788" s="47"/>
      <c r="G788" s="47"/>
    </row>
    <row r="789" ht="15.75" customHeight="1">
      <c r="A789" s="47"/>
      <c r="B789" s="47"/>
      <c r="C789" s="47"/>
      <c r="D789" s="47"/>
      <c r="E789" s="47"/>
      <c r="F789" s="47"/>
      <c r="G789" s="47"/>
    </row>
    <row r="790" ht="15.75" customHeight="1">
      <c r="A790" s="47"/>
      <c r="B790" s="47"/>
      <c r="C790" s="47"/>
      <c r="D790" s="47"/>
      <c r="E790" s="47"/>
      <c r="F790" s="47"/>
      <c r="G790" s="47"/>
    </row>
    <row r="791" ht="15.75" customHeight="1">
      <c r="A791" s="47"/>
      <c r="B791" s="47"/>
      <c r="C791" s="47"/>
      <c r="D791" s="47"/>
      <c r="E791" s="47"/>
      <c r="F791" s="47"/>
      <c r="G791" s="47"/>
    </row>
    <row r="792" ht="15.75" customHeight="1">
      <c r="A792" s="47"/>
      <c r="B792" s="47"/>
      <c r="C792" s="47"/>
      <c r="D792" s="47"/>
      <c r="E792" s="47"/>
      <c r="F792" s="47"/>
      <c r="G792" s="47"/>
    </row>
    <row r="793" ht="15.75" customHeight="1">
      <c r="A793" s="47"/>
      <c r="B793" s="47"/>
      <c r="C793" s="47"/>
      <c r="D793" s="47"/>
      <c r="E793" s="47"/>
      <c r="F793" s="47"/>
      <c r="G793" s="47"/>
    </row>
    <row r="794" ht="15.75" customHeight="1">
      <c r="A794" s="47"/>
      <c r="B794" s="47"/>
      <c r="C794" s="47"/>
      <c r="D794" s="47"/>
      <c r="E794" s="47"/>
      <c r="F794" s="47"/>
      <c r="G794" s="47"/>
    </row>
    <row r="795" ht="15.75" customHeight="1">
      <c r="A795" s="47"/>
      <c r="B795" s="47"/>
      <c r="C795" s="47"/>
      <c r="D795" s="47"/>
      <c r="E795" s="47"/>
      <c r="F795" s="47"/>
      <c r="G795" s="47"/>
    </row>
    <row r="796" ht="15.75" customHeight="1">
      <c r="A796" s="47"/>
      <c r="B796" s="47"/>
      <c r="C796" s="47"/>
      <c r="D796" s="47"/>
      <c r="E796" s="47"/>
      <c r="F796" s="47"/>
      <c r="G796" s="47"/>
    </row>
    <row r="797" ht="15.75" customHeight="1">
      <c r="A797" s="47"/>
      <c r="B797" s="47"/>
      <c r="C797" s="47"/>
      <c r="D797" s="47"/>
      <c r="E797" s="47"/>
      <c r="F797" s="47"/>
      <c r="G797" s="47"/>
    </row>
    <row r="798" ht="15.75" customHeight="1">
      <c r="A798" s="47"/>
      <c r="B798" s="47"/>
      <c r="C798" s="47"/>
      <c r="D798" s="47"/>
      <c r="E798" s="47"/>
      <c r="F798" s="47"/>
      <c r="G798" s="47"/>
    </row>
    <row r="799" ht="15.75" customHeight="1">
      <c r="A799" s="47"/>
      <c r="B799" s="47"/>
      <c r="C799" s="47"/>
      <c r="D799" s="47"/>
      <c r="E799" s="47"/>
      <c r="F799" s="47"/>
      <c r="G799" s="47"/>
    </row>
    <row r="800" ht="15.75" customHeight="1">
      <c r="A800" s="47"/>
      <c r="B800" s="47"/>
      <c r="C800" s="47"/>
      <c r="D800" s="47"/>
      <c r="E800" s="47"/>
      <c r="F800" s="47"/>
      <c r="G800" s="47"/>
    </row>
    <row r="801" ht="15.75" customHeight="1">
      <c r="A801" s="47"/>
      <c r="B801" s="47"/>
      <c r="C801" s="47"/>
      <c r="D801" s="47"/>
      <c r="E801" s="47"/>
      <c r="F801" s="47"/>
      <c r="G801" s="47"/>
    </row>
    <row r="802" ht="15.75" customHeight="1">
      <c r="A802" s="47"/>
      <c r="B802" s="47"/>
      <c r="C802" s="47"/>
      <c r="D802" s="47"/>
      <c r="E802" s="47"/>
      <c r="F802" s="47"/>
      <c r="G802" s="47"/>
    </row>
    <row r="803" ht="15.75" customHeight="1">
      <c r="A803" s="47"/>
      <c r="B803" s="47"/>
      <c r="C803" s="47"/>
      <c r="D803" s="47"/>
      <c r="E803" s="47"/>
      <c r="F803" s="47"/>
      <c r="G803" s="47"/>
    </row>
    <row r="804" ht="15.75" customHeight="1">
      <c r="A804" s="47"/>
      <c r="B804" s="47"/>
      <c r="C804" s="47"/>
      <c r="D804" s="47"/>
      <c r="E804" s="47"/>
      <c r="F804" s="47"/>
      <c r="G804" s="47"/>
    </row>
    <row r="805" ht="15.75" customHeight="1">
      <c r="A805" s="47"/>
      <c r="B805" s="47"/>
      <c r="C805" s="47"/>
      <c r="D805" s="47"/>
      <c r="E805" s="47"/>
      <c r="F805" s="47"/>
      <c r="G805" s="47"/>
    </row>
    <row r="806" ht="15.75" customHeight="1">
      <c r="A806" s="47"/>
      <c r="B806" s="47"/>
      <c r="C806" s="47"/>
      <c r="D806" s="47"/>
      <c r="E806" s="47"/>
      <c r="F806" s="47"/>
      <c r="G806" s="47"/>
    </row>
    <row r="807" ht="15.75" customHeight="1">
      <c r="A807" s="47"/>
      <c r="B807" s="47"/>
      <c r="C807" s="47"/>
      <c r="D807" s="47"/>
      <c r="E807" s="47"/>
      <c r="F807" s="47"/>
      <c r="G807" s="47"/>
    </row>
    <row r="808" ht="15.75" customHeight="1">
      <c r="A808" s="47"/>
      <c r="B808" s="47"/>
      <c r="C808" s="47"/>
      <c r="D808" s="47"/>
      <c r="E808" s="47"/>
      <c r="F808" s="47"/>
      <c r="G808" s="47"/>
    </row>
    <row r="809" ht="15.75" customHeight="1">
      <c r="A809" s="47"/>
      <c r="B809" s="47"/>
      <c r="C809" s="47"/>
      <c r="D809" s="47"/>
      <c r="E809" s="47"/>
      <c r="F809" s="47"/>
      <c r="G809" s="47"/>
    </row>
    <row r="810" ht="15.75" customHeight="1">
      <c r="A810" s="47"/>
      <c r="B810" s="47"/>
      <c r="C810" s="47"/>
      <c r="D810" s="47"/>
      <c r="E810" s="47"/>
      <c r="F810" s="47"/>
      <c r="G810" s="47"/>
    </row>
    <row r="811" ht="15.75" customHeight="1">
      <c r="A811" s="47"/>
      <c r="B811" s="47"/>
      <c r="C811" s="47"/>
      <c r="D811" s="47"/>
      <c r="E811" s="47"/>
      <c r="F811" s="47"/>
      <c r="G811" s="47"/>
    </row>
    <row r="812" ht="15.75" customHeight="1">
      <c r="A812" s="47"/>
      <c r="B812" s="47"/>
      <c r="C812" s="47"/>
      <c r="D812" s="47"/>
      <c r="E812" s="47"/>
      <c r="F812" s="47"/>
      <c r="G812" s="47"/>
    </row>
    <row r="813" ht="15.75" customHeight="1">
      <c r="A813" s="47"/>
      <c r="B813" s="47"/>
      <c r="C813" s="47"/>
      <c r="D813" s="47"/>
      <c r="E813" s="47"/>
      <c r="F813" s="47"/>
      <c r="G813" s="47"/>
    </row>
    <row r="814" ht="15.75" customHeight="1">
      <c r="A814" s="47"/>
      <c r="B814" s="47"/>
      <c r="C814" s="47"/>
      <c r="D814" s="47"/>
      <c r="E814" s="47"/>
      <c r="F814" s="47"/>
      <c r="G814" s="47"/>
    </row>
    <row r="815" ht="15.75" customHeight="1">
      <c r="A815" s="47"/>
      <c r="B815" s="47"/>
      <c r="C815" s="47"/>
      <c r="D815" s="47"/>
      <c r="E815" s="47"/>
      <c r="F815" s="47"/>
      <c r="G815" s="47"/>
    </row>
    <row r="816" ht="15.75" customHeight="1">
      <c r="A816" s="47"/>
      <c r="B816" s="47"/>
      <c r="C816" s="47"/>
      <c r="D816" s="47"/>
      <c r="E816" s="47"/>
      <c r="F816" s="47"/>
      <c r="G816" s="47"/>
    </row>
    <row r="817" ht="15.75" customHeight="1">
      <c r="A817" s="47"/>
      <c r="B817" s="47"/>
      <c r="C817" s="47"/>
      <c r="D817" s="47"/>
      <c r="E817" s="47"/>
      <c r="F817" s="47"/>
      <c r="G817" s="47"/>
    </row>
    <row r="818" ht="15.75" customHeight="1">
      <c r="A818" s="47"/>
      <c r="B818" s="47"/>
      <c r="C818" s="47"/>
      <c r="D818" s="47"/>
      <c r="E818" s="47"/>
      <c r="F818" s="47"/>
      <c r="G818" s="47"/>
    </row>
    <row r="819" ht="15.75" customHeight="1">
      <c r="A819" s="47"/>
      <c r="B819" s="47"/>
      <c r="C819" s="47"/>
      <c r="D819" s="47"/>
      <c r="E819" s="47"/>
      <c r="F819" s="47"/>
      <c r="G819" s="47"/>
    </row>
    <row r="820" ht="15.75" customHeight="1">
      <c r="A820" s="47"/>
      <c r="B820" s="47"/>
      <c r="C820" s="47"/>
      <c r="D820" s="47"/>
      <c r="E820" s="47"/>
      <c r="F820" s="47"/>
      <c r="G820" s="47"/>
    </row>
    <row r="821" ht="15.75" customHeight="1">
      <c r="A821" s="47"/>
      <c r="B821" s="47"/>
      <c r="C821" s="47"/>
      <c r="D821" s="47"/>
      <c r="E821" s="47"/>
      <c r="F821" s="47"/>
      <c r="G821" s="47"/>
    </row>
    <row r="822" ht="15.75" customHeight="1">
      <c r="A822" s="47"/>
      <c r="B822" s="47"/>
      <c r="C822" s="47"/>
      <c r="D822" s="47"/>
      <c r="E822" s="47"/>
      <c r="F822" s="47"/>
      <c r="G822" s="47"/>
    </row>
    <row r="823" ht="15.75" customHeight="1">
      <c r="A823" s="47"/>
      <c r="B823" s="47"/>
      <c r="C823" s="47"/>
      <c r="D823" s="47"/>
      <c r="E823" s="47"/>
      <c r="F823" s="47"/>
      <c r="G823" s="47"/>
    </row>
    <row r="824" ht="15.75" customHeight="1">
      <c r="A824" s="47"/>
      <c r="B824" s="47"/>
      <c r="C824" s="47"/>
      <c r="D824" s="47"/>
      <c r="E824" s="47"/>
      <c r="F824" s="47"/>
      <c r="G824" s="47"/>
    </row>
    <row r="825" ht="15.75" customHeight="1">
      <c r="A825" s="47"/>
      <c r="B825" s="47"/>
      <c r="C825" s="47"/>
      <c r="D825" s="47"/>
      <c r="E825" s="47"/>
      <c r="F825" s="47"/>
      <c r="G825" s="47"/>
    </row>
    <row r="826" ht="15.75" customHeight="1">
      <c r="A826" s="47"/>
      <c r="B826" s="47"/>
      <c r="C826" s="47"/>
      <c r="D826" s="47"/>
      <c r="E826" s="47"/>
      <c r="F826" s="47"/>
      <c r="G826" s="47"/>
    </row>
    <row r="827" ht="15.75" customHeight="1">
      <c r="A827" s="47"/>
      <c r="B827" s="47"/>
      <c r="C827" s="47"/>
      <c r="D827" s="47"/>
      <c r="E827" s="47"/>
      <c r="F827" s="47"/>
      <c r="G827" s="47"/>
    </row>
    <row r="828" ht="15.75" customHeight="1">
      <c r="A828" s="47"/>
      <c r="B828" s="47"/>
      <c r="C828" s="47"/>
      <c r="D828" s="47"/>
      <c r="E828" s="47"/>
      <c r="F828" s="47"/>
      <c r="G828" s="47"/>
    </row>
    <row r="829" ht="15.75" customHeight="1">
      <c r="A829" s="47"/>
      <c r="B829" s="47"/>
      <c r="C829" s="47"/>
      <c r="D829" s="47"/>
      <c r="E829" s="47"/>
      <c r="F829" s="47"/>
      <c r="G829" s="47"/>
    </row>
    <row r="830" ht="15.75" customHeight="1">
      <c r="A830" s="47"/>
      <c r="B830" s="47"/>
      <c r="C830" s="47"/>
      <c r="D830" s="47"/>
      <c r="E830" s="47"/>
      <c r="F830" s="47"/>
      <c r="G830" s="47"/>
    </row>
    <row r="831" ht="15.75" customHeight="1">
      <c r="A831" s="47"/>
      <c r="B831" s="47"/>
      <c r="C831" s="47"/>
      <c r="D831" s="47"/>
      <c r="E831" s="47"/>
      <c r="F831" s="47"/>
      <c r="G831" s="47"/>
    </row>
    <row r="832" ht="15.75" customHeight="1">
      <c r="A832" s="47"/>
      <c r="B832" s="47"/>
      <c r="C832" s="47"/>
      <c r="D832" s="47"/>
      <c r="E832" s="47"/>
      <c r="F832" s="47"/>
      <c r="G832" s="47"/>
    </row>
    <row r="833" ht="15.75" customHeight="1">
      <c r="A833" s="47"/>
      <c r="B833" s="47"/>
      <c r="C833" s="47"/>
      <c r="D833" s="47"/>
      <c r="E833" s="47"/>
      <c r="F833" s="47"/>
      <c r="G833" s="47"/>
    </row>
    <row r="834" ht="15.75" customHeight="1">
      <c r="A834" s="47"/>
      <c r="B834" s="47"/>
      <c r="C834" s="47"/>
      <c r="D834" s="47"/>
      <c r="E834" s="47"/>
      <c r="F834" s="47"/>
      <c r="G834" s="47"/>
    </row>
    <row r="835" ht="15.75" customHeight="1">
      <c r="A835" s="47"/>
      <c r="B835" s="47"/>
      <c r="C835" s="47"/>
      <c r="D835" s="47"/>
      <c r="E835" s="47"/>
      <c r="F835" s="47"/>
      <c r="G835" s="47"/>
    </row>
    <row r="836" ht="15.75" customHeight="1">
      <c r="A836" s="47"/>
      <c r="B836" s="47"/>
      <c r="C836" s="47"/>
      <c r="D836" s="47"/>
      <c r="E836" s="47"/>
      <c r="F836" s="47"/>
      <c r="G836" s="47"/>
    </row>
    <row r="837" ht="15.75" customHeight="1">
      <c r="A837" s="47"/>
      <c r="B837" s="47"/>
      <c r="C837" s="47"/>
      <c r="D837" s="47"/>
      <c r="E837" s="47"/>
      <c r="F837" s="47"/>
      <c r="G837" s="47"/>
    </row>
    <row r="838" ht="15.75" customHeight="1">
      <c r="A838" s="47"/>
      <c r="B838" s="47"/>
      <c r="C838" s="47"/>
      <c r="D838" s="47"/>
      <c r="E838" s="47"/>
      <c r="F838" s="47"/>
      <c r="G838" s="47"/>
    </row>
    <row r="839" ht="15.75" customHeight="1">
      <c r="A839" s="47"/>
      <c r="B839" s="47"/>
      <c r="C839" s="47"/>
      <c r="D839" s="47"/>
      <c r="E839" s="47"/>
      <c r="F839" s="47"/>
      <c r="G839" s="47"/>
    </row>
    <row r="840" ht="15.75" customHeight="1">
      <c r="A840" s="47"/>
      <c r="B840" s="47"/>
      <c r="C840" s="47"/>
      <c r="D840" s="47"/>
      <c r="E840" s="47"/>
      <c r="F840" s="47"/>
      <c r="G840" s="47"/>
    </row>
    <row r="841" ht="15.75" customHeight="1">
      <c r="A841" s="47"/>
      <c r="B841" s="47"/>
      <c r="C841" s="47"/>
      <c r="D841" s="47"/>
      <c r="E841" s="47"/>
      <c r="F841" s="47"/>
      <c r="G841" s="47"/>
    </row>
    <row r="842" ht="15.75" customHeight="1">
      <c r="A842" s="47"/>
      <c r="B842" s="47"/>
      <c r="C842" s="47"/>
      <c r="D842" s="47"/>
      <c r="E842" s="47"/>
      <c r="F842" s="47"/>
      <c r="G842" s="47"/>
    </row>
    <row r="843" ht="15.75" customHeight="1">
      <c r="A843" s="47"/>
      <c r="B843" s="47"/>
      <c r="C843" s="47"/>
      <c r="D843" s="47"/>
      <c r="E843" s="47"/>
      <c r="F843" s="47"/>
      <c r="G843" s="47"/>
    </row>
    <row r="844" ht="15.75" customHeight="1">
      <c r="A844" s="47"/>
      <c r="B844" s="47"/>
      <c r="C844" s="47"/>
      <c r="D844" s="47"/>
      <c r="E844" s="47"/>
      <c r="F844" s="47"/>
      <c r="G844" s="47"/>
    </row>
    <row r="845" ht="15.75" customHeight="1">
      <c r="A845" s="47"/>
      <c r="B845" s="47"/>
      <c r="C845" s="47"/>
      <c r="D845" s="47"/>
      <c r="E845" s="47"/>
      <c r="F845" s="47"/>
      <c r="G845" s="47"/>
    </row>
    <row r="846" ht="15.75" customHeight="1">
      <c r="A846" s="47"/>
      <c r="B846" s="47"/>
      <c r="C846" s="47"/>
      <c r="D846" s="47"/>
      <c r="E846" s="47"/>
      <c r="F846" s="47"/>
      <c r="G846" s="47"/>
    </row>
    <row r="847" ht="15.75" customHeight="1">
      <c r="A847" s="47"/>
      <c r="B847" s="47"/>
      <c r="C847" s="47"/>
      <c r="D847" s="47"/>
      <c r="E847" s="47"/>
      <c r="F847" s="47"/>
      <c r="G847" s="47"/>
    </row>
    <row r="848" ht="15.75" customHeight="1">
      <c r="A848" s="47"/>
      <c r="B848" s="47"/>
      <c r="C848" s="47"/>
      <c r="D848" s="47"/>
      <c r="E848" s="47"/>
      <c r="F848" s="47"/>
      <c r="G848" s="47"/>
    </row>
    <row r="849" ht="15.75" customHeight="1">
      <c r="A849" s="47"/>
      <c r="B849" s="47"/>
      <c r="C849" s="47"/>
      <c r="D849" s="47"/>
      <c r="E849" s="47"/>
      <c r="F849" s="47"/>
      <c r="G849" s="47"/>
    </row>
    <row r="850" ht="15.75" customHeight="1">
      <c r="A850" s="47"/>
      <c r="B850" s="47"/>
      <c r="C850" s="47"/>
      <c r="D850" s="47"/>
      <c r="E850" s="47"/>
      <c r="F850" s="47"/>
      <c r="G850" s="47"/>
    </row>
    <row r="851" ht="15.75" customHeight="1">
      <c r="A851" s="47"/>
      <c r="B851" s="47"/>
      <c r="C851" s="47"/>
      <c r="D851" s="47"/>
      <c r="E851" s="47"/>
      <c r="F851" s="47"/>
      <c r="G851" s="47"/>
    </row>
    <row r="852" ht="15.75" customHeight="1">
      <c r="A852" s="47"/>
      <c r="B852" s="47"/>
      <c r="C852" s="47"/>
      <c r="D852" s="47"/>
      <c r="E852" s="47"/>
      <c r="F852" s="47"/>
      <c r="G852" s="47"/>
    </row>
    <row r="853" ht="15.75" customHeight="1">
      <c r="A853" s="47"/>
      <c r="B853" s="47"/>
      <c r="C853" s="47"/>
      <c r="D853" s="47"/>
      <c r="E853" s="47"/>
      <c r="F853" s="47"/>
      <c r="G853" s="47"/>
    </row>
    <row r="854" ht="15.75" customHeight="1">
      <c r="A854" s="47"/>
      <c r="B854" s="47"/>
      <c r="C854" s="47"/>
      <c r="D854" s="47"/>
      <c r="E854" s="47"/>
      <c r="F854" s="47"/>
      <c r="G854" s="47"/>
    </row>
    <row r="855" ht="15.75" customHeight="1">
      <c r="A855" s="47"/>
      <c r="B855" s="47"/>
      <c r="C855" s="47"/>
      <c r="D855" s="47"/>
      <c r="E855" s="47"/>
      <c r="F855" s="47"/>
      <c r="G855" s="47"/>
    </row>
    <row r="856" ht="15.75" customHeight="1">
      <c r="A856" s="47"/>
      <c r="B856" s="47"/>
      <c r="C856" s="47"/>
      <c r="D856" s="47"/>
      <c r="E856" s="47"/>
      <c r="F856" s="47"/>
      <c r="G856" s="47"/>
    </row>
    <row r="857" ht="15.75" customHeight="1">
      <c r="A857" s="47"/>
      <c r="B857" s="47"/>
      <c r="C857" s="47"/>
      <c r="D857" s="47"/>
      <c r="E857" s="47"/>
      <c r="F857" s="47"/>
      <c r="G857" s="47"/>
    </row>
    <row r="858" ht="15.75" customHeight="1">
      <c r="A858" s="47"/>
      <c r="B858" s="47"/>
      <c r="C858" s="47"/>
      <c r="D858" s="47"/>
      <c r="E858" s="47"/>
      <c r="F858" s="47"/>
      <c r="G858" s="47"/>
    </row>
    <row r="859" ht="15.75" customHeight="1">
      <c r="A859" s="47"/>
      <c r="B859" s="47"/>
      <c r="C859" s="47"/>
      <c r="D859" s="47"/>
      <c r="E859" s="47"/>
      <c r="F859" s="47"/>
      <c r="G859" s="47"/>
    </row>
    <row r="860" ht="15.75" customHeight="1">
      <c r="A860" s="47"/>
      <c r="B860" s="47"/>
      <c r="C860" s="47"/>
      <c r="D860" s="47"/>
      <c r="E860" s="47"/>
      <c r="F860" s="47"/>
      <c r="G860" s="47"/>
    </row>
    <row r="861" ht="15.75" customHeight="1">
      <c r="A861" s="47"/>
      <c r="B861" s="47"/>
      <c r="C861" s="47"/>
      <c r="D861" s="47"/>
      <c r="E861" s="47"/>
      <c r="F861" s="47"/>
      <c r="G861" s="47"/>
    </row>
    <row r="862" ht="15.75" customHeight="1">
      <c r="A862" s="47"/>
      <c r="B862" s="47"/>
      <c r="C862" s="47"/>
      <c r="D862" s="47"/>
      <c r="E862" s="47"/>
      <c r="F862" s="47"/>
      <c r="G862" s="47"/>
    </row>
    <row r="863" ht="15.75" customHeight="1">
      <c r="A863" s="47"/>
      <c r="B863" s="47"/>
      <c r="C863" s="47"/>
      <c r="D863" s="47"/>
      <c r="E863" s="47"/>
      <c r="F863" s="47"/>
      <c r="G863" s="47"/>
    </row>
    <row r="864" ht="15.75" customHeight="1">
      <c r="A864" s="47"/>
      <c r="B864" s="47"/>
      <c r="C864" s="47"/>
      <c r="D864" s="47"/>
      <c r="E864" s="47"/>
      <c r="F864" s="47"/>
      <c r="G864" s="47"/>
    </row>
    <row r="865" ht="15.75" customHeight="1">
      <c r="A865" s="47"/>
      <c r="B865" s="47"/>
      <c r="C865" s="47"/>
      <c r="D865" s="47"/>
      <c r="E865" s="47"/>
      <c r="F865" s="47"/>
      <c r="G865" s="47"/>
    </row>
    <row r="866" ht="15.75" customHeight="1">
      <c r="A866" s="47"/>
      <c r="B866" s="47"/>
      <c r="C866" s="47"/>
      <c r="D866" s="47"/>
      <c r="E866" s="47"/>
      <c r="F866" s="47"/>
      <c r="G866" s="47"/>
    </row>
    <row r="867" ht="15.75" customHeight="1">
      <c r="A867" s="47"/>
      <c r="B867" s="47"/>
      <c r="C867" s="47"/>
      <c r="D867" s="47"/>
      <c r="E867" s="47"/>
      <c r="F867" s="47"/>
      <c r="G867" s="47"/>
    </row>
    <row r="868" ht="15.75" customHeight="1">
      <c r="A868" s="47"/>
      <c r="B868" s="47"/>
      <c r="C868" s="47"/>
      <c r="D868" s="47"/>
      <c r="E868" s="47"/>
      <c r="F868" s="47"/>
      <c r="G868" s="47"/>
    </row>
    <row r="869" ht="15.75" customHeight="1">
      <c r="A869" s="47"/>
      <c r="B869" s="47"/>
      <c r="C869" s="47"/>
      <c r="D869" s="47"/>
      <c r="E869" s="47"/>
      <c r="F869" s="47"/>
      <c r="G869" s="47"/>
    </row>
    <row r="870" ht="15.75" customHeight="1">
      <c r="A870" s="47"/>
      <c r="B870" s="47"/>
      <c r="C870" s="47"/>
      <c r="D870" s="47"/>
      <c r="E870" s="47"/>
      <c r="F870" s="47"/>
      <c r="G870" s="47"/>
    </row>
    <row r="871" ht="15.75" customHeight="1">
      <c r="A871" s="47"/>
      <c r="B871" s="47"/>
      <c r="C871" s="47"/>
      <c r="D871" s="47"/>
      <c r="E871" s="47"/>
      <c r="F871" s="47"/>
      <c r="G871" s="47"/>
    </row>
    <row r="872" ht="15.75" customHeight="1">
      <c r="A872" s="47"/>
      <c r="B872" s="47"/>
      <c r="C872" s="47"/>
      <c r="D872" s="47"/>
      <c r="E872" s="47"/>
      <c r="F872" s="47"/>
      <c r="G872" s="47"/>
    </row>
    <row r="873" ht="15.75" customHeight="1">
      <c r="A873" s="47"/>
      <c r="B873" s="47"/>
      <c r="C873" s="47"/>
      <c r="D873" s="47"/>
      <c r="E873" s="47"/>
      <c r="F873" s="47"/>
      <c r="G873" s="47"/>
    </row>
    <row r="874" ht="15.75" customHeight="1">
      <c r="A874" s="47"/>
      <c r="B874" s="47"/>
      <c r="C874" s="47"/>
      <c r="D874" s="47"/>
      <c r="E874" s="47"/>
      <c r="F874" s="47"/>
      <c r="G874" s="47"/>
    </row>
    <row r="875" ht="15.75" customHeight="1">
      <c r="A875" s="47"/>
      <c r="B875" s="47"/>
      <c r="C875" s="47"/>
      <c r="D875" s="47"/>
      <c r="E875" s="47"/>
      <c r="F875" s="47"/>
      <c r="G875" s="47"/>
    </row>
    <row r="876" ht="15.75" customHeight="1">
      <c r="A876" s="47"/>
      <c r="B876" s="47"/>
      <c r="C876" s="47"/>
      <c r="D876" s="47"/>
      <c r="E876" s="47"/>
      <c r="F876" s="47"/>
      <c r="G876" s="47"/>
    </row>
    <row r="877" ht="15.75" customHeight="1">
      <c r="A877" s="47"/>
      <c r="B877" s="47"/>
      <c r="C877" s="47"/>
      <c r="D877" s="47"/>
      <c r="E877" s="47"/>
      <c r="F877" s="47"/>
      <c r="G877" s="47"/>
    </row>
    <row r="878" ht="15.75" customHeight="1">
      <c r="A878" s="47"/>
      <c r="B878" s="47"/>
      <c r="C878" s="47"/>
      <c r="D878" s="47"/>
      <c r="E878" s="47"/>
      <c r="F878" s="47"/>
      <c r="G878" s="47"/>
    </row>
    <row r="879" ht="15.75" customHeight="1">
      <c r="A879" s="47"/>
      <c r="B879" s="47"/>
      <c r="C879" s="47"/>
      <c r="D879" s="47"/>
      <c r="E879" s="47"/>
      <c r="F879" s="47"/>
      <c r="G879" s="47"/>
    </row>
    <row r="880" ht="15.75" customHeight="1">
      <c r="A880" s="47"/>
      <c r="B880" s="47"/>
      <c r="C880" s="47"/>
      <c r="D880" s="47"/>
      <c r="E880" s="47"/>
      <c r="F880" s="47"/>
      <c r="G880" s="47"/>
    </row>
    <row r="881" ht="15.75" customHeight="1">
      <c r="A881" s="47"/>
      <c r="B881" s="47"/>
      <c r="C881" s="47"/>
      <c r="D881" s="47"/>
      <c r="E881" s="47"/>
      <c r="F881" s="47"/>
      <c r="G881" s="47"/>
    </row>
    <row r="882" ht="15.75" customHeight="1">
      <c r="A882" s="47"/>
      <c r="B882" s="47"/>
      <c r="C882" s="47"/>
      <c r="D882" s="47"/>
      <c r="E882" s="47"/>
      <c r="F882" s="47"/>
      <c r="G882" s="47"/>
    </row>
    <row r="883" ht="15.75" customHeight="1">
      <c r="A883" s="47"/>
      <c r="B883" s="47"/>
      <c r="C883" s="47"/>
      <c r="D883" s="47"/>
      <c r="E883" s="47"/>
      <c r="F883" s="47"/>
      <c r="G883" s="47"/>
    </row>
    <row r="884" ht="15.75" customHeight="1">
      <c r="A884" s="47"/>
      <c r="B884" s="47"/>
      <c r="C884" s="47"/>
      <c r="D884" s="47"/>
      <c r="E884" s="47"/>
      <c r="F884" s="47"/>
      <c r="G884" s="47"/>
    </row>
    <row r="885" ht="15.75" customHeight="1">
      <c r="A885" s="47"/>
      <c r="B885" s="47"/>
      <c r="C885" s="47"/>
      <c r="D885" s="47"/>
      <c r="E885" s="47"/>
      <c r="F885" s="47"/>
      <c r="G885" s="47"/>
    </row>
    <row r="886" ht="15.75" customHeight="1">
      <c r="A886" s="47"/>
      <c r="B886" s="47"/>
      <c r="C886" s="47"/>
      <c r="D886" s="47"/>
      <c r="E886" s="47"/>
      <c r="F886" s="47"/>
      <c r="G886" s="47"/>
    </row>
    <row r="887" ht="15.75" customHeight="1">
      <c r="A887" s="47"/>
      <c r="B887" s="47"/>
      <c r="C887" s="47"/>
      <c r="D887" s="47"/>
      <c r="E887" s="47"/>
      <c r="F887" s="47"/>
      <c r="G887" s="47"/>
    </row>
    <row r="888" ht="15.75" customHeight="1">
      <c r="A888" s="47"/>
      <c r="B888" s="47"/>
      <c r="C888" s="47"/>
      <c r="D888" s="47"/>
      <c r="E888" s="47"/>
      <c r="F888" s="47"/>
      <c r="G888" s="47"/>
    </row>
    <row r="889" ht="15.75" customHeight="1">
      <c r="A889" s="47"/>
      <c r="B889" s="47"/>
      <c r="C889" s="47"/>
      <c r="D889" s="47"/>
      <c r="E889" s="47"/>
      <c r="F889" s="47"/>
      <c r="G889" s="47"/>
    </row>
    <row r="890" ht="15.75" customHeight="1">
      <c r="A890" s="47"/>
      <c r="B890" s="47"/>
      <c r="C890" s="47"/>
      <c r="D890" s="47"/>
      <c r="E890" s="47"/>
      <c r="F890" s="47"/>
      <c r="G890" s="47"/>
    </row>
    <row r="891" ht="15.75" customHeight="1">
      <c r="A891" s="47"/>
      <c r="B891" s="47"/>
      <c r="C891" s="47"/>
      <c r="D891" s="47"/>
      <c r="E891" s="47"/>
      <c r="F891" s="47"/>
      <c r="G891" s="47"/>
    </row>
    <row r="892" ht="15.75" customHeight="1">
      <c r="A892" s="47"/>
      <c r="B892" s="47"/>
      <c r="C892" s="47"/>
      <c r="D892" s="47"/>
      <c r="E892" s="47"/>
      <c r="F892" s="47"/>
      <c r="G892" s="47"/>
    </row>
    <row r="893" ht="15.75" customHeight="1">
      <c r="A893" s="47"/>
      <c r="B893" s="47"/>
      <c r="C893" s="47"/>
      <c r="D893" s="47"/>
      <c r="E893" s="47"/>
      <c r="F893" s="47"/>
      <c r="G893" s="47"/>
    </row>
    <row r="894" ht="15.75" customHeight="1">
      <c r="A894" s="47"/>
      <c r="B894" s="47"/>
      <c r="C894" s="47"/>
      <c r="D894" s="47"/>
      <c r="E894" s="47"/>
      <c r="F894" s="47"/>
      <c r="G894" s="47"/>
    </row>
    <row r="895" ht="15.75" customHeight="1">
      <c r="A895" s="47"/>
      <c r="B895" s="47"/>
      <c r="C895" s="47"/>
      <c r="D895" s="47"/>
      <c r="E895" s="47"/>
      <c r="F895" s="47"/>
      <c r="G895" s="47"/>
    </row>
    <row r="896" ht="15.75" customHeight="1">
      <c r="A896" s="47"/>
      <c r="B896" s="47"/>
      <c r="C896" s="47"/>
      <c r="D896" s="47"/>
      <c r="E896" s="47"/>
      <c r="F896" s="47"/>
      <c r="G896" s="47"/>
    </row>
    <row r="897" ht="15.75" customHeight="1">
      <c r="A897" s="47"/>
      <c r="B897" s="47"/>
      <c r="C897" s="47"/>
      <c r="D897" s="47"/>
      <c r="E897" s="47"/>
      <c r="F897" s="47"/>
      <c r="G897" s="47"/>
    </row>
    <row r="898" ht="15.75" customHeight="1">
      <c r="A898" s="47"/>
      <c r="B898" s="47"/>
      <c r="C898" s="47"/>
      <c r="D898" s="47"/>
      <c r="E898" s="47"/>
      <c r="F898" s="47"/>
      <c r="G898" s="47"/>
    </row>
    <row r="899" ht="15.75" customHeight="1">
      <c r="A899" s="47"/>
      <c r="B899" s="47"/>
      <c r="C899" s="47"/>
      <c r="D899" s="47"/>
      <c r="E899" s="47"/>
      <c r="F899" s="47"/>
      <c r="G899" s="47"/>
    </row>
    <row r="900" ht="15.75" customHeight="1">
      <c r="A900" s="47"/>
      <c r="B900" s="47"/>
      <c r="C900" s="47"/>
      <c r="D900" s="47"/>
      <c r="E900" s="47"/>
      <c r="F900" s="47"/>
      <c r="G900" s="47"/>
    </row>
    <row r="901" ht="15.75" customHeight="1">
      <c r="A901" s="47"/>
      <c r="B901" s="47"/>
      <c r="C901" s="47"/>
      <c r="D901" s="47"/>
      <c r="E901" s="47"/>
      <c r="F901" s="47"/>
      <c r="G901" s="47"/>
    </row>
    <row r="902" ht="15.75" customHeight="1">
      <c r="A902" s="47"/>
      <c r="B902" s="47"/>
      <c r="C902" s="47"/>
      <c r="D902" s="47"/>
      <c r="E902" s="47"/>
      <c r="F902" s="47"/>
      <c r="G902" s="47"/>
    </row>
    <row r="903" ht="15.75" customHeight="1">
      <c r="A903" s="47"/>
      <c r="B903" s="47"/>
      <c r="C903" s="47"/>
      <c r="D903" s="47"/>
      <c r="E903" s="47"/>
      <c r="F903" s="47"/>
      <c r="G903" s="47"/>
    </row>
    <row r="904" ht="15.75" customHeight="1">
      <c r="A904" s="47"/>
      <c r="B904" s="47"/>
      <c r="C904" s="47"/>
      <c r="D904" s="47"/>
      <c r="E904" s="47"/>
      <c r="F904" s="47"/>
      <c r="G904" s="47"/>
    </row>
    <row r="905" ht="15.75" customHeight="1">
      <c r="A905" s="47"/>
      <c r="B905" s="47"/>
      <c r="C905" s="47"/>
      <c r="D905" s="47"/>
      <c r="E905" s="47"/>
      <c r="F905" s="47"/>
      <c r="G905" s="47"/>
    </row>
    <row r="906" ht="15.75" customHeight="1">
      <c r="A906" s="47"/>
      <c r="B906" s="47"/>
      <c r="C906" s="47"/>
      <c r="D906" s="47"/>
      <c r="E906" s="47"/>
      <c r="F906" s="47"/>
      <c r="G906" s="47"/>
    </row>
    <row r="907" ht="15.75" customHeight="1">
      <c r="A907" s="47"/>
      <c r="B907" s="47"/>
      <c r="C907" s="47"/>
      <c r="D907" s="47"/>
      <c r="E907" s="47"/>
      <c r="F907" s="47"/>
      <c r="G907" s="47"/>
    </row>
    <row r="908" ht="15.75" customHeight="1">
      <c r="A908" s="47"/>
      <c r="B908" s="47"/>
      <c r="C908" s="47"/>
      <c r="D908" s="47"/>
      <c r="E908" s="47"/>
      <c r="F908" s="47"/>
      <c r="G908" s="47"/>
    </row>
    <row r="909" ht="15.75" customHeight="1">
      <c r="A909" s="47"/>
      <c r="B909" s="47"/>
      <c r="C909" s="47"/>
      <c r="D909" s="47"/>
      <c r="E909" s="47"/>
      <c r="F909" s="47"/>
      <c r="G909" s="47"/>
    </row>
    <row r="910" ht="15.75" customHeight="1">
      <c r="A910" s="47"/>
      <c r="B910" s="47"/>
      <c r="C910" s="47"/>
      <c r="D910" s="47"/>
      <c r="E910" s="47"/>
      <c r="F910" s="47"/>
      <c r="G910" s="47"/>
    </row>
    <row r="911" ht="15.75" customHeight="1">
      <c r="A911" s="47"/>
      <c r="B911" s="47"/>
      <c r="C911" s="47"/>
      <c r="D911" s="47"/>
      <c r="E911" s="47"/>
      <c r="F911" s="47"/>
      <c r="G911" s="47"/>
    </row>
    <row r="912" ht="15.75" customHeight="1">
      <c r="A912" s="47"/>
      <c r="B912" s="47"/>
      <c r="C912" s="47"/>
      <c r="D912" s="47"/>
      <c r="E912" s="47"/>
      <c r="F912" s="47"/>
      <c r="G912" s="47"/>
    </row>
    <row r="913" ht="15.75" customHeight="1">
      <c r="A913" s="47"/>
      <c r="B913" s="47"/>
      <c r="C913" s="47"/>
      <c r="D913" s="47"/>
      <c r="E913" s="47"/>
      <c r="F913" s="47"/>
      <c r="G913" s="47"/>
    </row>
    <row r="914" ht="15.75" customHeight="1">
      <c r="A914" s="47"/>
      <c r="B914" s="47"/>
      <c r="C914" s="47"/>
      <c r="D914" s="47"/>
      <c r="E914" s="47"/>
      <c r="F914" s="47"/>
      <c r="G914" s="47"/>
    </row>
    <row r="915" ht="15.75" customHeight="1">
      <c r="A915" s="47"/>
      <c r="B915" s="47"/>
      <c r="C915" s="47"/>
      <c r="D915" s="47"/>
      <c r="E915" s="47"/>
      <c r="F915" s="47"/>
      <c r="G915" s="47"/>
    </row>
    <row r="916" ht="15.75" customHeight="1">
      <c r="A916" s="47"/>
      <c r="B916" s="47"/>
      <c r="C916" s="47"/>
      <c r="D916" s="47"/>
      <c r="E916" s="47"/>
      <c r="F916" s="47"/>
      <c r="G916" s="47"/>
    </row>
    <row r="917" ht="15.75" customHeight="1">
      <c r="A917" s="47"/>
      <c r="B917" s="47"/>
      <c r="C917" s="47"/>
      <c r="D917" s="47"/>
      <c r="E917" s="47"/>
      <c r="F917" s="47"/>
      <c r="G917" s="47"/>
    </row>
    <row r="918" ht="15.75" customHeight="1">
      <c r="A918" s="47"/>
      <c r="B918" s="47"/>
      <c r="C918" s="47"/>
      <c r="D918" s="47"/>
      <c r="E918" s="47"/>
      <c r="F918" s="47"/>
      <c r="G918" s="47"/>
    </row>
    <row r="919" ht="15.75" customHeight="1">
      <c r="A919" s="47"/>
      <c r="B919" s="47"/>
      <c r="C919" s="47"/>
      <c r="D919" s="47"/>
      <c r="E919" s="47"/>
      <c r="F919" s="47"/>
      <c r="G919" s="47"/>
    </row>
    <row r="920" ht="15.75" customHeight="1">
      <c r="A920" s="47"/>
      <c r="B920" s="47"/>
      <c r="C920" s="47"/>
      <c r="D920" s="47"/>
      <c r="E920" s="47"/>
      <c r="F920" s="47"/>
      <c r="G920" s="47"/>
    </row>
    <row r="921" ht="15.75" customHeight="1">
      <c r="A921" s="47"/>
      <c r="B921" s="47"/>
      <c r="C921" s="47"/>
      <c r="D921" s="47"/>
      <c r="E921" s="47"/>
      <c r="F921" s="47"/>
      <c r="G921" s="47"/>
    </row>
    <row r="922" ht="15.75" customHeight="1">
      <c r="A922" s="47"/>
      <c r="B922" s="47"/>
      <c r="C922" s="47"/>
      <c r="D922" s="47"/>
      <c r="E922" s="47"/>
      <c r="F922" s="47"/>
      <c r="G922" s="47"/>
    </row>
    <row r="923" ht="15.75" customHeight="1">
      <c r="A923" s="47"/>
      <c r="B923" s="47"/>
      <c r="C923" s="47"/>
      <c r="D923" s="47"/>
      <c r="E923" s="47"/>
      <c r="F923" s="47"/>
      <c r="G923" s="47"/>
    </row>
    <row r="924" ht="15.75" customHeight="1">
      <c r="A924" s="47"/>
      <c r="B924" s="47"/>
      <c r="C924" s="47"/>
      <c r="D924" s="47"/>
      <c r="E924" s="47"/>
      <c r="F924" s="47"/>
      <c r="G924" s="47"/>
    </row>
    <row r="925" ht="15.75" customHeight="1">
      <c r="A925" s="47"/>
      <c r="B925" s="47"/>
      <c r="C925" s="47"/>
      <c r="D925" s="47"/>
      <c r="E925" s="47"/>
      <c r="F925" s="47"/>
      <c r="G925" s="47"/>
    </row>
    <row r="926" ht="15.75" customHeight="1">
      <c r="A926" s="47"/>
      <c r="B926" s="47"/>
      <c r="C926" s="47"/>
      <c r="D926" s="47"/>
      <c r="E926" s="47"/>
      <c r="F926" s="47"/>
      <c r="G926" s="47"/>
    </row>
    <row r="927" ht="15.75" customHeight="1">
      <c r="A927" s="47"/>
      <c r="B927" s="47"/>
      <c r="C927" s="47"/>
      <c r="D927" s="47"/>
      <c r="E927" s="47"/>
      <c r="F927" s="47"/>
      <c r="G927" s="47"/>
    </row>
    <row r="928" ht="15.75" customHeight="1">
      <c r="A928" s="47"/>
      <c r="B928" s="47"/>
      <c r="C928" s="47"/>
      <c r="D928" s="47"/>
      <c r="E928" s="47"/>
      <c r="F928" s="47"/>
      <c r="G928" s="47"/>
    </row>
    <row r="929" ht="15.75" customHeight="1">
      <c r="A929" s="47"/>
      <c r="B929" s="47"/>
      <c r="C929" s="47"/>
      <c r="D929" s="47"/>
      <c r="E929" s="47"/>
      <c r="F929" s="47"/>
      <c r="G929" s="47"/>
    </row>
    <row r="930" ht="15.75" customHeight="1">
      <c r="A930" s="47"/>
      <c r="B930" s="47"/>
      <c r="C930" s="47"/>
      <c r="D930" s="47"/>
      <c r="E930" s="47"/>
      <c r="F930" s="47"/>
      <c r="G930" s="47"/>
    </row>
    <row r="931" ht="15.75" customHeight="1">
      <c r="A931" s="47"/>
      <c r="B931" s="47"/>
      <c r="C931" s="47"/>
      <c r="D931" s="47"/>
      <c r="E931" s="47"/>
      <c r="F931" s="47"/>
      <c r="G931" s="47"/>
    </row>
    <row r="932" ht="15.75" customHeight="1">
      <c r="A932" s="47"/>
      <c r="B932" s="47"/>
      <c r="C932" s="47"/>
      <c r="D932" s="47"/>
      <c r="E932" s="47"/>
      <c r="F932" s="47"/>
      <c r="G932" s="47"/>
    </row>
    <row r="933" ht="15.75" customHeight="1">
      <c r="A933" s="47"/>
      <c r="B933" s="47"/>
      <c r="C933" s="47"/>
      <c r="D933" s="47"/>
      <c r="E933" s="47"/>
      <c r="F933" s="47"/>
      <c r="G933" s="47"/>
    </row>
    <row r="934" ht="15.75" customHeight="1">
      <c r="A934" s="47"/>
      <c r="B934" s="47"/>
      <c r="C934" s="47"/>
      <c r="D934" s="47"/>
      <c r="E934" s="47"/>
      <c r="F934" s="47"/>
      <c r="G934" s="47"/>
    </row>
    <row r="935" ht="15.75" customHeight="1">
      <c r="A935" s="47"/>
      <c r="B935" s="47"/>
      <c r="C935" s="47"/>
      <c r="D935" s="47"/>
      <c r="E935" s="47"/>
      <c r="F935" s="47"/>
      <c r="G935" s="47"/>
    </row>
    <row r="936" ht="15.75" customHeight="1">
      <c r="A936" s="47"/>
      <c r="B936" s="47"/>
      <c r="C936" s="47"/>
      <c r="D936" s="47"/>
      <c r="E936" s="47"/>
      <c r="F936" s="47"/>
      <c r="G936" s="47"/>
    </row>
    <row r="937" ht="15.75" customHeight="1">
      <c r="A937" s="47"/>
      <c r="B937" s="47"/>
      <c r="C937" s="47"/>
      <c r="D937" s="47"/>
      <c r="E937" s="47"/>
      <c r="F937" s="47"/>
      <c r="G937" s="47"/>
    </row>
    <row r="938" ht="15.75" customHeight="1">
      <c r="A938" s="47"/>
      <c r="B938" s="47"/>
      <c r="C938" s="47"/>
      <c r="D938" s="47"/>
      <c r="E938" s="47"/>
      <c r="F938" s="47"/>
      <c r="G938" s="47"/>
    </row>
    <row r="939" ht="15.75" customHeight="1">
      <c r="A939" s="47"/>
      <c r="B939" s="47"/>
      <c r="C939" s="47"/>
      <c r="D939" s="47"/>
      <c r="E939" s="47"/>
      <c r="F939" s="47"/>
      <c r="G939" s="47"/>
    </row>
    <row r="940" ht="15.75" customHeight="1">
      <c r="A940" s="47"/>
      <c r="B940" s="47"/>
      <c r="C940" s="47"/>
      <c r="D940" s="47"/>
      <c r="E940" s="47"/>
      <c r="F940" s="47"/>
      <c r="G940" s="47"/>
    </row>
    <row r="941" ht="15.75" customHeight="1">
      <c r="A941" s="47"/>
      <c r="B941" s="47"/>
      <c r="C941" s="47"/>
      <c r="D941" s="47"/>
      <c r="E941" s="47"/>
      <c r="F941" s="47"/>
      <c r="G941" s="47"/>
    </row>
    <row r="942" ht="15.75" customHeight="1">
      <c r="A942" s="47"/>
      <c r="B942" s="47"/>
      <c r="C942" s="47"/>
      <c r="D942" s="47"/>
      <c r="E942" s="47"/>
      <c r="F942" s="47"/>
      <c r="G942" s="47"/>
    </row>
    <row r="943" ht="15.75" customHeight="1">
      <c r="A943" s="47"/>
      <c r="B943" s="47"/>
      <c r="C943" s="47"/>
      <c r="D943" s="47"/>
      <c r="E943" s="47"/>
      <c r="F943" s="47"/>
      <c r="G943" s="47"/>
    </row>
    <row r="944" ht="15.75" customHeight="1">
      <c r="A944" s="47"/>
      <c r="B944" s="47"/>
      <c r="C944" s="47"/>
      <c r="D944" s="47"/>
      <c r="E944" s="47"/>
      <c r="F944" s="47"/>
      <c r="G944" s="47"/>
    </row>
    <row r="945" ht="15.75" customHeight="1">
      <c r="A945" s="47"/>
      <c r="B945" s="47"/>
      <c r="C945" s="47"/>
      <c r="D945" s="47"/>
      <c r="E945" s="47"/>
      <c r="F945" s="47"/>
      <c r="G945" s="47"/>
    </row>
    <row r="946" ht="15.75" customHeight="1">
      <c r="A946" s="47"/>
      <c r="B946" s="47"/>
      <c r="C946" s="47"/>
      <c r="D946" s="47"/>
      <c r="E946" s="47"/>
      <c r="F946" s="47"/>
      <c r="G946" s="47"/>
    </row>
    <row r="947" ht="15.75" customHeight="1">
      <c r="A947" s="47"/>
      <c r="B947" s="47"/>
      <c r="C947" s="47"/>
      <c r="D947" s="47"/>
      <c r="E947" s="47"/>
      <c r="F947" s="47"/>
      <c r="G947" s="47"/>
    </row>
    <row r="948" ht="15.75" customHeight="1">
      <c r="A948" s="47"/>
      <c r="B948" s="47"/>
      <c r="C948" s="47"/>
      <c r="D948" s="47"/>
      <c r="E948" s="47"/>
      <c r="F948" s="47"/>
      <c r="G948" s="47"/>
    </row>
    <row r="949" ht="15.75" customHeight="1">
      <c r="A949" s="47"/>
      <c r="B949" s="47"/>
      <c r="C949" s="47"/>
      <c r="D949" s="47"/>
      <c r="E949" s="47"/>
      <c r="F949" s="47"/>
      <c r="G949" s="47"/>
    </row>
    <row r="950" ht="15.75" customHeight="1">
      <c r="A950" s="47"/>
      <c r="B950" s="47"/>
      <c r="C950" s="47"/>
      <c r="D950" s="47"/>
      <c r="E950" s="47"/>
      <c r="F950" s="47"/>
      <c r="G950" s="47"/>
    </row>
    <row r="951" ht="15.75" customHeight="1">
      <c r="A951" s="47"/>
      <c r="B951" s="47"/>
      <c r="C951" s="47"/>
      <c r="D951" s="47"/>
      <c r="E951" s="47"/>
      <c r="F951" s="47"/>
      <c r="G951" s="47"/>
    </row>
    <row r="952" ht="15.75" customHeight="1">
      <c r="A952" s="47"/>
      <c r="B952" s="47"/>
      <c r="C952" s="47"/>
      <c r="D952" s="47"/>
      <c r="E952" s="47"/>
      <c r="F952" s="47"/>
      <c r="G952" s="47"/>
    </row>
    <row r="953" ht="15.75" customHeight="1">
      <c r="A953" s="47"/>
      <c r="B953" s="47"/>
      <c r="C953" s="47"/>
      <c r="D953" s="47"/>
      <c r="E953" s="47"/>
      <c r="F953" s="47"/>
      <c r="G953" s="47"/>
    </row>
    <row r="954" ht="15.75" customHeight="1">
      <c r="A954" s="47"/>
      <c r="B954" s="47"/>
      <c r="C954" s="47"/>
      <c r="D954" s="47"/>
      <c r="E954" s="47"/>
      <c r="F954" s="47"/>
      <c r="G954" s="47"/>
    </row>
    <row r="955" ht="15.75" customHeight="1">
      <c r="A955" s="47"/>
      <c r="B955" s="47"/>
      <c r="C955" s="47"/>
      <c r="D955" s="47"/>
      <c r="E955" s="47"/>
      <c r="F955" s="47"/>
      <c r="G955" s="47"/>
    </row>
    <row r="956" ht="15.75" customHeight="1">
      <c r="A956" s="47"/>
      <c r="B956" s="47"/>
      <c r="C956" s="47"/>
      <c r="D956" s="47"/>
      <c r="E956" s="47"/>
      <c r="F956" s="47"/>
      <c r="G956" s="47"/>
    </row>
    <row r="957" ht="15.75" customHeight="1">
      <c r="A957" s="47"/>
      <c r="B957" s="47"/>
      <c r="C957" s="47"/>
      <c r="D957" s="47"/>
      <c r="E957" s="47"/>
      <c r="F957" s="47"/>
      <c r="G957" s="47"/>
    </row>
    <row r="958" ht="15.75" customHeight="1">
      <c r="A958" s="47"/>
      <c r="B958" s="47"/>
      <c r="C958" s="47"/>
      <c r="D958" s="47"/>
      <c r="E958" s="47"/>
      <c r="F958" s="47"/>
      <c r="G958" s="47"/>
    </row>
    <row r="959" ht="15.75" customHeight="1">
      <c r="A959" s="47"/>
      <c r="B959" s="47"/>
      <c r="C959" s="47"/>
      <c r="D959" s="47"/>
      <c r="E959" s="47"/>
      <c r="F959" s="47"/>
      <c r="G959" s="47"/>
    </row>
    <row r="960" ht="15.75" customHeight="1">
      <c r="A960" s="47"/>
      <c r="B960" s="47"/>
      <c r="C960" s="47"/>
      <c r="D960" s="47"/>
      <c r="E960" s="47"/>
      <c r="F960" s="47"/>
      <c r="G960" s="47"/>
    </row>
    <row r="961" ht="15.75" customHeight="1">
      <c r="A961" s="47"/>
      <c r="B961" s="47"/>
      <c r="C961" s="47"/>
      <c r="D961" s="47"/>
      <c r="E961" s="47"/>
      <c r="F961" s="47"/>
      <c r="G961" s="47"/>
    </row>
    <row r="962" ht="15.75" customHeight="1">
      <c r="A962" s="47"/>
      <c r="B962" s="47"/>
      <c r="C962" s="47"/>
      <c r="D962" s="47"/>
      <c r="E962" s="47"/>
      <c r="F962" s="47"/>
      <c r="G962" s="47"/>
    </row>
    <row r="963" ht="15.75" customHeight="1">
      <c r="A963" s="47"/>
      <c r="B963" s="47"/>
      <c r="C963" s="47"/>
      <c r="D963" s="47"/>
      <c r="E963" s="47"/>
      <c r="F963" s="47"/>
      <c r="G963" s="47"/>
    </row>
    <row r="964" ht="15.75" customHeight="1">
      <c r="A964" s="47"/>
      <c r="B964" s="47"/>
      <c r="C964" s="47"/>
      <c r="D964" s="47"/>
      <c r="E964" s="47"/>
      <c r="F964" s="47"/>
      <c r="G964" s="47"/>
    </row>
    <row r="965" ht="15.75" customHeight="1">
      <c r="A965" s="47"/>
      <c r="B965" s="47"/>
      <c r="C965" s="47"/>
      <c r="D965" s="47"/>
      <c r="E965" s="47"/>
      <c r="F965" s="47"/>
      <c r="G965" s="47"/>
    </row>
    <row r="966" ht="15.75" customHeight="1">
      <c r="A966" s="47"/>
      <c r="B966" s="47"/>
      <c r="C966" s="47"/>
      <c r="D966" s="47"/>
      <c r="E966" s="47"/>
      <c r="F966" s="47"/>
      <c r="G966" s="47"/>
    </row>
    <row r="967" ht="15.75" customHeight="1">
      <c r="A967" s="47"/>
      <c r="B967" s="47"/>
      <c r="C967" s="47"/>
      <c r="D967" s="47"/>
      <c r="E967" s="47"/>
      <c r="F967" s="47"/>
      <c r="G967" s="47"/>
    </row>
    <row r="968" ht="15.75" customHeight="1">
      <c r="A968" s="47"/>
      <c r="B968" s="47"/>
      <c r="C968" s="47"/>
      <c r="D968" s="47"/>
      <c r="E968" s="47"/>
      <c r="F968" s="47"/>
      <c r="G968" s="47"/>
    </row>
    <row r="969" ht="15.75" customHeight="1">
      <c r="A969" s="47"/>
      <c r="B969" s="47"/>
      <c r="C969" s="47"/>
      <c r="D969" s="47"/>
      <c r="E969" s="47"/>
      <c r="F969" s="47"/>
      <c r="G969" s="47"/>
    </row>
    <row r="970" ht="15.75" customHeight="1">
      <c r="A970" s="47"/>
      <c r="B970" s="47"/>
      <c r="C970" s="47"/>
      <c r="D970" s="47"/>
      <c r="E970" s="47"/>
      <c r="F970" s="47"/>
      <c r="G970" s="47"/>
    </row>
    <row r="971" ht="15.75" customHeight="1">
      <c r="A971" s="47"/>
      <c r="B971" s="47"/>
      <c r="C971" s="47"/>
      <c r="D971" s="47"/>
      <c r="E971" s="47"/>
      <c r="F971" s="47"/>
      <c r="G971" s="47"/>
    </row>
    <row r="972" ht="15.75" customHeight="1">
      <c r="A972" s="47"/>
      <c r="B972" s="47"/>
      <c r="C972" s="47"/>
      <c r="D972" s="47"/>
      <c r="E972" s="47"/>
      <c r="F972" s="47"/>
      <c r="G972" s="47"/>
    </row>
    <row r="973" ht="15.75" customHeight="1">
      <c r="A973" s="47"/>
      <c r="B973" s="47"/>
      <c r="C973" s="47"/>
      <c r="D973" s="47"/>
      <c r="E973" s="47"/>
      <c r="F973" s="47"/>
      <c r="G973" s="47"/>
    </row>
    <row r="974" ht="15.75" customHeight="1">
      <c r="A974" s="47"/>
      <c r="B974" s="47"/>
      <c r="C974" s="47"/>
      <c r="D974" s="47"/>
      <c r="E974" s="47"/>
      <c r="F974" s="47"/>
      <c r="G974" s="47"/>
    </row>
    <row r="975" ht="15.75" customHeight="1">
      <c r="A975" s="47"/>
      <c r="B975" s="47"/>
      <c r="C975" s="47"/>
      <c r="D975" s="47"/>
      <c r="E975" s="47"/>
      <c r="F975" s="47"/>
      <c r="G975" s="47"/>
    </row>
    <row r="976" ht="15.75" customHeight="1">
      <c r="A976" s="47"/>
      <c r="B976" s="47"/>
      <c r="C976" s="47"/>
      <c r="D976" s="47"/>
      <c r="E976" s="47"/>
      <c r="F976" s="47"/>
      <c r="G976" s="47"/>
    </row>
    <row r="977" ht="15.75" customHeight="1">
      <c r="A977" s="47"/>
      <c r="B977" s="47"/>
      <c r="C977" s="47"/>
      <c r="D977" s="47"/>
      <c r="E977" s="47"/>
      <c r="F977" s="47"/>
      <c r="G977" s="47"/>
    </row>
    <row r="978" ht="15.75" customHeight="1">
      <c r="A978" s="47"/>
      <c r="B978" s="47"/>
      <c r="C978" s="47"/>
      <c r="D978" s="47"/>
      <c r="E978" s="47"/>
      <c r="F978" s="47"/>
      <c r="G978" s="47"/>
    </row>
    <row r="979" ht="15.75" customHeight="1">
      <c r="A979" s="47"/>
      <c r="B979" s="47"/>
      <c r="C979" s="47"/>
      <c r="D979" s="47"/>
      <c r="E979" s="47"/>
      <c r="F979" s="47"/>
      <c r="G979" s="47"/>
    </row>
    <row r="980" ht="15.75" customHeight="1">
      <c r="A980" s="47"/>
      <c r="B980" s="47"/>
      <c r="C980" s="47"/>
      <c r="D980" s="47"/>
      <c r="E980" s="47"/>
      <c r="F980" s="47"/>
      <c r="G980" s="47"/>
    </row>
    <row r="981" ht="15.75" customHeight="1">
      <c r="A981" s="47"/>
      <c r="B981" s="47"/>
      <c r="C981" s="47"/>
      <c r="D981" s="47"/>
      <c r="E981" s="47"/>
      <c r="F981" s="47"/>
      <c r="G981" s="47"/>
    </row>
    <row r="982" ht="15.75" customHeight="1">
      <c r="A982" s="47"/>
      <c r="B982" s="47"/>
      <c r="C982" s="47"/>
      <c r="D982" s="47"/>
      <c r="E982" s="47"/>
      <c r="F982" s="47"/>
      <c r="G982" s="47"/>
    </row>
    <row r="983" ht="15.75" customHeight="1">
      <c r="A983" s="47"/>
      <c r="B983" s="47"/>
      <c r="C983" s="47"/>
      <c r="D983" s="47"/>
      <c r="E983" s="47"/>
      <c r="F983" s="47"/>
      <c r="G983" s="47"/>
    </row>
    <row r="984" ht="15.75" customHeight="1">
      <c r="A984" s="47"/>
      <c r="B984" s="47"/>
      <c r="C984" s="47"/>
      <c r="D984" s="47"/>
      <c r="E984" s="47"/>
      <c r="F984" s="47"/>
      <c r="G984" s="47"/>
    </row>
    <row r="985" ht="15.75" customHeight="1">
      <c r="A985" s="47"/>
      <c r="B985" s="47"/>
      <c r="C985" s="47"/>
      <c r="D985" s="47"/>
      <c r="E985" s="47"/>
      <c r="F985" s="47"/>
      <c r="G985" s="47"/>
    </row>
    <row r="986" ht="15.75" customHeight="1">
      <c r="A986" s="47"/>
      <c r="B986" s="47"/>
      <c r="C986" s="47"/>
      <c r="D986" s="47"/>
      <c r="E986" s="47"/>
      <c r="F986" s="47"/>
      <c r="G986" s="47"/>
    </row>
    <row r="987" ht="15.75" customHeight="1">
      <c r="A987" s="47"/>
      <c r="B987" s="47"/>
      <c r="C987" s="47"/>
      <c r="D987" s="47"/>
      <c r="E987" s="47"/>
      <c r="F987" s="47"/>
      <c r="G987" s="47"/>
    </row>
    <row r="988" ht="15.75" customHeight="1">
      <c r="A988" s="47"/>
      <c r="B988" s="47"/>
      <c r="C988" s="47"/>
      <c r="D988" s="47"/>
      <c r="E988" s="47"/>
      <c r="F988" s="47"/>
      <c r="G988" s="47"/>
    </row>
    <row r="989" ht="15.75" customHeight="1">
      <c r="A989" s="47"/>
      <c r="B989" s="47"/>
      <c r="C989" s="47"/>
      <c r="D989" s="47"/>
      <c r="E989" s="47"/>
      <c r="F989" s="47"/>
      <c r="G989" s="47"/>
    </row>
    <row r="990" ht="15.75" customHeight="1">
      <c r="A990" s="47"/>
      <c r="B990" s="47"/>
      <c r="C990" s="47"/>
      <c r="D990" s="47"/>
      <c r="E990" s="47"/>
      <c r="F990" s="47"/>
      <c r="G990" s="47"/>
    </row>
    <row r="991" ht="15.75" customHeight="1">
      <c r="A991" s="47"/>
      <c r="B991" s="47"/>
      <c r="C991" s="47"/>
      <c r="D991" s="47"/>
      <c r="E991" s="47"/>
      <c r="F991" s="47"/>
      <c r="G991" s="47"/>
    </row>
    <row r="992" ht="15.75" customHeight="1">
      <c r="A992" s="47"/>
      <c r="B992" s="47"/>
      <c r="C992" s="47"/>
      <c r="D992" s="47"/>
      <c r="E992" s="47"/>
      <c r="F992" s="47"/>
      <c r="G992" s="47"/>
    </row>
    <row r="993" ht="15.75" customHeight="1">
      <c r="A993" s="47"/>
      <c r="B993" s="47"/>
      <c r="C993" s="47"/>
      <c r="D993" s="47"/>
      <c r="E993" s="47"/>
      <c r="F993" s="47"/>
      <c r="G993" s="47"/>
    </row>
    <row r="994" ht="15.75" customHeight="1">
      <c r="A994" s="47"/>
      <c r="B994" s="47"/>
      <c r="C994" s="47"/>
      <c r="D994" s="47"/>
      <c r="E994" s="47"/>
      <c r="F994" s="47"/>
      <c r="G994" s="47"/>
    </row>
    <row r="995" ht="15.75" customHeight="1">
      <c r="A995" s="47"/>
      <c r="B995" s="47"/>
      <c r="C995" s="47"/>
      <c r="D995" s="47"/>
      <c r="E995" s="47"/>
      <c r="F995" s="47"/>
      <c r="G995" s="47"/>
    </row>
    <row r="996" ht="15.75" customHeight="1">
      <c r="A996" s="47"/>
      <c r="B996" s="47"/>
      <c r="C996" s="47"/>
      <c r="D996" s="47"/>
      <c r="E996" s="47"/>
      <c r="F996" s="47"/>
      <c r="G996" s="47"/>
    </row>
    <row r="997" ht="15.75" customHeight="1">
      <c r="A997" s="47"/>
      <c r="B997" s="47"/>
      <c r="C997" s="47"/>
      <c r="D997" s="47"/>
      <c r="E997" s="47"/>
      <c r="F997" s="47"/>
      <c r="G997" s="47"/>
    </row>
    <row r="998" ht="15.75" customHeight="1">
      <c r="A998" s="47"/>
      <c r="B998" s="47"/>
      <c r="C998" s="47"/>
      <c r="D998" s="47"/>
      <c r="E998" s="47"/>
      <c r="F998" s="47"/>
      <c r="G998" s="47"/>
    </row>
    <row r="999" ht="15.75" customHeight="1">
      <c r="A999" s="47"/>
      <c r="B999" s="47"/>
      <c r="C999" s="47"/>
      <c r="D999" s="47"/>
      <c r="E999" s="47"/>
      <c r="F999" s="47"/>
      <c r="G999" s="47"/>
    </row>
    <row r="1000" ht="15.75" customHeight="1">
      <c r="A1000" s="47"/>
      <c r="B1000" s="47"/>
      <c r="C1000" s="47"/>
      <c r="D1000" s="47"/>
      <c r="E1000" s="47"/>
      <c r="F1000" s="47"/>
      <c r="G1000" s="47"/>
    </row>
  </sheetData>
  <mergeCells count="17">
    <mergeCell ref="B2:D3"/>
    <mergeCell ref="E2:F2"/>
    <mergeCell ref="E3:F3"/>
    <mergeCell ref="B4:F4"/>
    <mergeCell ref="B6:F6"/>
    <mergeCell ref="B25:E25"/>
    <mergeCell ref="B28:F28"/>
    <mergeCell ref="C44:F44"/>
    <mergeCell ref="C45:F45"/>
    <mergeCell ref="C46:F46"/>
    <mergeCell ref="B29:F29"/>
    <mergeCell ref="B30:F30"/>
    <mergeCell ref="B31:F31"/>
    <mergeCell ref="B40:F40"/>
    <mergeCell ref="C41:F41"/>
    <mergeCell ref="C42:F42"/>
    <mergeCell ref="C43:F43"/>
  </mergeCells>
  <printOptions/>
  <pageMargins bottom="1.0" footer="0.0" header="0.0" left="0.75" right="0.75" top="1.0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D8E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9" width="12.0"/>
    <col customWidth="1" min="10" max="26" width="8.71"/>
  </cols>
  <sheetData>
    <row r="1" ht="17.25" customHeight="1">
      <c r="A1" s="160" t="s">
        <v>1943</v>
      </c>
    </row>
    <row r="2" ht="15.0" customHeight="1">
      <c r="A2" s="24" t="s">
        <v>1944</v>
      </c>
    </row>
    <row r="3">
      <c r="A3" s="47"/>
      <c r="B3" s="47"/>
      <c r="C3" s="47"/>
      <c r="D3" s="47"/>
      <c r="E3" s="47"/>
      <c r="F3" s="47"/>
      <c r="G3" s="47"/>
      <c r="H3" s="47"/>
      <c r="I3" s="47"/>
    </row>
    <row r="4" ht="21.75" customHeight="1">
      <c r="A4" s="93" t="s">
        <v>1945</v>
      </c>
      <c r="B4" s="93" t="s">
        <v>1737</v>
      </c>
      <c r="C4" s="93" t="s">
        <v>1740</v>
      </c>
      <c r="D4" s="93" t="s">
        <v>1742</v>
      </c>
      <c r="E4" s="93" t="s">
        <v>1744</v>
      </c>
      <c r="F4" s="93" t="s">
        <v>1746</v>
      </c>
      <c r="G4" s="93" t="s">
        <v>1748</v>
      </c>
      <c r="H4" s="93" t="s">
        <v>1750</v>
      </c>
      <c r="I4" s="93" t="s">
        <v>1752</v>
      </c>
    </row>
    <row r="5" ht="15.0" customHeight="1">
      <c r="A5" s="151">
        <v>1.0</v>
      </c>
      <c r="B5" s="344">
        <f t="shared" ref="B5:I5" si="1">ROUND((30-$A5)*B$35/30,0)</f>
        <v>87000</v>
      </c>
      <c r="C5" s="344">
        <f t="shared" si="1"/>
        <v>111167</v>
      </c>
      <c r="D5" s="344">
        <f t="shared" si="1"/>
        <v>137267</v>
      </c>
      <c r="E5" s="344">
        <f t="shared" si="1"/>
        <v>175933</v>
      </c>
      <c r="F5" s="344">
        <f t="shared" si="1"/>
        <v>251333</v>
      </c>
      <c r="G5" s="344">
        <f t="shared" si="1"/>
        <v>319000</v>
      </c>
      <c r="H5" s="344">
        <f t="shared" si="1"/>
        <v>473667</v>
      </c>
      <c r="I5" s="344">
        <f t="shared" si="1"/>
        <v>628333</v>
      </c>
    </row>
    <row r="6" ht="15.0" customHeight="1">
      <c r="A6" s="151">
        <v>2.0</v>
      </c>
      <c r="B6" s="344">
        <f t="shared" ref="B6:I6" si="2">ROUND((30-$A6)*B$35/30,0)</f>
        <v>84000</v>
      </c>
      <c r="C6" s="344">
        <f t="shared" si="2"/>
        <v>107333</v>
      </c>
      <c r="D6" s="344">
        <f t="shared" si="2"/>
        <v>132533</v>
      </c>
      <c r="E6" s="344">
        <f t="shared" si="2"/>
        <v>169867</v>
      </c>
      <c r="F6" s="344">
        <f t="shared" si="2"/>
        <v>242667</v>
      </c>
      <c r="G6" s="344">
        <f t="shared" si="2"/>
        <v>308000</v>
      </c>
      <c r="H6" s="344">
        <f t="shared" si="2"/>
        <v>457333</v>
      </c>
      <c r="I6" s="344">
        <f t="shared" si="2"/>
        <v>606667</v>
      </c>
    </row>
    <row r="7" ht="15.0" customHeight="1">
      <c r="A7" s="151">
        <v>3.0</v>
      </c>
      <c r="B7" s="344">
        <f t="shared" ref="B7:I7" si="3">ROUND((30-$A7)*B$35/30,0)</f>
        <v>81000</v>
      </c>
      <c r="C7" s="344">
        <f t="shared" si="3"/>
        <v>103500</v>
      </c>
      <c r="D7" s="344">
        <f t="shared" si="3"/>
        <v>127800</v>
      </c>
      <c r="E7" s="344">
        <f t="shared" si="3"/>
        <v>163800</v>
      </c>
      <c r="F7" s="344">
        <f t="shared" si="3"/>
        <v>234000</v>
      </c>
      <c r="G7" s="344">
        <f t="shared" si="3"/>
        <v>297000</v>
      </c>
      <c r="H7" s="344">
        <f t="shared" si="3"/>
        <v>441000</v>
      </c>
      <c r="I7" s="344">
        <f t="shared" si="3"/>
        <v>585000</v>
      </c>
    </row>
    <row r="8" ht="15.0" customHeight="1">
      <c r="A8" s="151">
        <v>4.0</v>
      </c>
      <c r="B8" s="344">
        <f t="shared" ref="B8:I8" si="4">ROUND((30-$A8)*B$35/30,0)</f>
        <v>78000</v>
      </c>
      <c r="C8" s="344">
        <f t="shared" si="4"/>
        <v>99667</v>
      </c>
      <c r="D8" s="344">
        <f t="shared" si="4"/>
        <v>123067</v>
      </c>
      <c r="E8" s="344">
        <f t="shared" si="4"/>
        <v>157733</v>
      </c>
      <c r="F8" s="344">
        <f t="shared" si="4"/>
        <v>225333</v>
      </c>
      <c r="G8" s="344">
        <f t="shared" si="4"/>
        <v>286000</v>
      </c>
      <c r="H8" s="344">
        <f t="shared" si="4"/>
        <v>424667</v>
      </c>
      <c r="I8" s="344">
        <f t="shared" si="4"/>
        <v>563333</v>
      </c>
    </row>
    <row r="9" ht="15.0" customHeight="1">
      <c r="A9" s="151">
        <v>5.0</v>
      </c>
      <c r="B9" s="344">
        <f t="shared" ref="B9:I9" si="5">ROUND((30-$A9)*B$35/30,0)</f>
        <v>75000</v>
      </c>
      <c r="C9" s="344">
        <f t="shared" si="5"/>
        <v>95833</v>
      </c>
      <c r="D9" s="344">
        <f t="shared" si="5"/>
        <v>118333</v>
      </c>
      <c r="E9" s="344">
        <f t="shared" si="5"/>
        <v>151667</v>
      </c>
      <c r="F9" s="344">
        <f t="shared" si="5"/>
        <v>216667</v>
      </c>
      <c r="G9" s="344">
        <f t="shared" si="5"/>
        <v>275000</v>
      </c>
      <c r="H9" s="344">
        <f t="shared" si="5"/>
        <v>408333</v>
      </c>
      <c r="I9" s="344">
        <f t="shared" si="5"/>
        <v>541667</v>
      </c>
    </row>
    <row r="10" ht="15.0" customHeight="1">
      <c r="A10" s="151">
        <v>6.0</v>
      </c>
      <c r="B10" s="344">
        <f t="shared" ref="B10:I10" si="6">ROUND((30-$A10)*B$35/30,0)</f>
        <v>72000</v>
      </c>
      <c r="C10" s="344">
        <f t="shared" si="6"/>
        <v>92000</v>
      </c>
      <c r="D10" s="344">
        <f t="shared" si="6"/>
        <v>113600</v>
      </c>
      <c r="E10" s="344">
        <f t="shared" si="6"/>
        <v>145600</v>
      </c>
      <c r="F10" s="344">
        <f t="shared" si="6"/>
        <v>208000</v>
      </c>
      <c r="G10" s="344">
        <f t="shared" si="6"/>
        <v>264000</v>
      </c>
      <c r="H10" s="344">
        <f t="shared" si="6"/>
        <v>392000</v>
      </c>
      <c r="I10" s="344">
        <f t="shared" si="6"/>
        <v>520000</v>
      </c>
    </row>
    <row r="11" ht="15.0" customHeight="1">
      <c r="A11" s="151">
        <v>7.0</v>
      </c>
      <c r="B11" s="344">
        <f t="shared" ref="B11:I11" si="7">ROUND((30-$A11)*B$35/30,0)</f>
        <v>69000</v>
      </c>
      <c r="C11" s="344">
        <f t="shared" si="7"/>
        <v>88167</v>
      </c>
      <c r="D11" s="344">
        <f t="shared" si="7"/>
        <v>108867</v>
      </c>
      <c r="E11" s="344">
        <f t="shared" si="7"/>
        <v>139533</v>
      </c>
      <c r="F11" s="344">
        <f t="shared" si="7"/>
        <v>199333</v>
      </c>
      <c r="G11" s="344">
        <f t="shared" si="7"/>
        <v>253000</v>
      </c>
      <c r="H11" s="344">
        <f t="shared" si="7"/>
        <v>375667</v>
      </c>
      <c r="I11" s="344">
        <f t="shared" si="7"/>
        <v>498333</v>
      </c>
    </row>
    <row r="12" ht="15.0" customHeight="1">
      <c r="A12" s="151">
        <v>8.0</v>
      </c>
      <c r="B12" s="344">
        <f t="shared" ref="B12:I12" si="8">ROUND((30-$A12)*B$35/30,0)</f>
        <v>66000</v>
      </c>
      <c r="C12" s="344">
        <f t="shared" si="8"/>
        <v>84333</v>
      </c>
      <c r="D12" s="344">
        <f t="shared" si="8"/>
        <v>104133</v>
      </c>
      <c r="E12" s="344">
        <f t="shared" si="8"/>
        <v>133467</v>
      </c>
      <c r="F12" s="344">
        <f t="shared" si="8"/>
        <v>190667</v>
      </c>
      <c r="G12" s="344">
        <f t="shared" si="8"/>
        <v>242000</v>
      </c>
      <c r="H12" s="344">
        <f t="shared" si="8"/>
        <v>359333</v>
      </c>
      <c r="I12" s="344">
        <f t="shared" si="8"/>
        <v>476667</v>
      </c>
    </row>
    <row r="13" ht="15.0" customHeight="1">
      <c r="A13" s="151">
        <v>9.0</v>
      </c>
      <c r="B13" s="344">
        <f t="shared" ref="B13:I13" si="9">ROUND((30-$A13)*B$35/30,0)</f>
        <v>63000</v>
      </c>
      <c r="C13" s="344">
        <f t="shared" si="9"/>
        <v>80500</v>
      </c>
      <c r="D13" s="344">
        <f t="shared" si="9"/>
        <v>99400</v>
      </c>
      <c r="E13" s="344">
        <f t="shared" si="9"/>
        <v>127400</v>
      </c>
      <c r="F13" s="344">
        <f t="shared" si="9"/>
        <v>182000</v>
      </c>
      <c r="G13" s="344">
        <f t="shared" si="9"/>
        <v>231000</v>
      </c>
      <c r="H13" s="344">
        <f t="shared" si="9"/>
        <v>343000</v>
      </c>
      <c r="I13" s="344">
        <f t="shared" si="9"/>
        <v>455000</v>
      </c>
    </row>
    <row r="14" ht="15.0" customHeight="1">
      <c r="A14" s="151">
        <v>10.0</v>
      </c>
      <c r="B14" s="344">
        <f t="shared" ref="B14:I14" si="10">ROUND((30-$A14)*B$35/30,0)</f>
        <v>60000</v>
      </c>
      <c r="C14" s="344">
        <f t="shared" si="10"/>
        <v>76667</v>
      </c>
      <c r="D14" s="344">
        <f t="shared" si="10"/>
        <v>94667</v>
      </c>
      <c r="E14" s="344">
        <f t="shared" si="10"/>
        <v>121333</v>
      </c>
      <c r="F14" s="344">
        <f t="shared" si="10"/>
        <v>173333</v>
      </c>
      <c r="G14" s="344">
        <f t="shared" si="10"/>
        <v>220000</v>
      </c>
      <c r="H14" s="344">
        <f t="shared" si="10"/>
        <v>326667</v>
      </c>
      <c r="I14" s="344">
        <f t="shared" si="10"/>
        <v>433333</v>
      </c>
    </row>
    <row r="15" ht="15.0" customHeight="1">
      <c r="A15" s="151">
        <v>11.0</v>
      </c>
      <c r="B15" s="344">
        <f t="shared" ref="B15:I15" si="11">ROUND((30-$A15)*B$35/30,0)</f>
        <v>57000</v>
      </c>
      <c r="C15" s="344">
        <f t="shared" si="11"/>
        <v>72833</v>
      </c>
      <c r="D15" s="344">
        <f t="shared" si="11"/>
        <v>89933</v>
      </c>
      <c r="E15" s="344">
        <f t="shared" si="11"/>
        <v>115267</v>
      </c>
      <c r="F15" s="344">
        <f t="shared" si="11"/>
        <v>164667</v>
      </c>
      <c r="G15" s="344">
        <f t="shared" si="11"/>
        <v>209000</v>
      </c>
      <c r="H15" s="344">
        <f t="shared" si="11"/>
        <v>310333</v>
      </c>
      <c r="I15" s="344">
        <f t="shared" si="11"/>
        <v>411667</v>
      </c>
    </row>
    <row r="16" ht="15.0" customHeight="1">
      <c r="A16" s="151">
        <v>12.0</v>
      </c>
      <c r="B16" s="344">
        <f t="shared" ref="B16:I16" si="12">ROUND((30-$A16)*B$35/30,0)</f>
        <v>54000</v>
      </c>
      <c r="C16" s="344">
        <f t="shared" si="12"/>
        <v>69000</v>
      </c>
      <c r="D16" s="344">
        <f t="shared" si="12"/>
        <v>85200</v>
      </c>
      <c r="E16" s="344">
        <f t="shared" si="12"/>
        <v>109200</v>
      </c>
      <c r="F16" s="344">
        <f t="shared" si="12"/>
        <v>156000</v>
      </c>
      <c r="G16" s="344">
        <f t="shared" si="12"/>
        <v>198000</v>
      </c>
      <c r="H16" s="344">
        <f t="shared" si="12"/>
        <v>294000</v>
      </c>
      <c r="I16" s="344">
        <f t="shared" si="12"/>
        <v>390000</v>
      </c>
    </row>
    <row r="17" ht="15.0" customHeight="1">
      <c r="A17" s="151">
        <v>13.0</v>
      </c>
      <c r="B17" s="344">
        <f t="shared" ref="B17:I17" si="13">ROUND((30-$A17)*B$35/30,0)</f>
        <v>51000</v>
      </c>
      <c r="C17" s="344">
        <f t="shared" si="13"/>
        <v>65167</v>
      </c>
      <c r="D17" s="344">
        <f t="shared" si="13"/>
        <v>80467</v>
      </c>
      <c r="E17" s="344">
        <f t="shared" si="13"/>
        <v>103133</v>
      </c>
      <c r="F17" s="344">
        <f t="shared" si="13"/>
        <v>147333</v>
      </c>
      <c r="G17" s="344">
        <f t="shared" si="13"/>
        <v>187000</v>
      </c>
      <c r="H17" s="344">
        <f t="shared" si="13"/>
        <v>277667</v>
      </c>
      <c r="I17" s="344">
        <f t="shared" si="13"/>
        <v>368333</v>
      </c>
    </row>
    <row r="18" ht="15.0" customHeight="1">
      <c r="A18" s="151">
        <v>14.0</v>
      </c>
      <c r="B18" s="344">
        <f t="shared" ref="B18:I18" si="14">ROUND((30-$A18)*B$35/30,0)</f>
        <v>48000</v>
      </c>
      <c r="C18" s="344">
        <f t="shared" si="14"/>
        <v>61333</v>
      </c>
      <c r="D18" s="344">
        <f t="shared" si="14"/>
        <v>75733</v>
      </c>
      <c r="E18" s="344">
        <f t="shared" si="14"/>
        <v>97067</v>
      </c>
      <c r="F18" s="344">
        <f t="shared" si="14"/>
        <v>138667</v>
      </c>
      <c r="G18" s="344">
        <f t="shared" si="14"/>
        <v>176000</v>
      </c>
      <c r="H18" s="344">
        <f t="shared" si="14"/>
        <v>261333</v>
      </c>
      <c r="I18" s="344">
        <f t="shared" si="14"/>
        <v>346667</v>
      </c>
    </row>
    <row r="19" ht="15.0" customHeight="1">
      <c r="A19" s="151">
        <v>15.0</v>
      </c>
      <c r="B19" s="344">
        <f t="shared" ref="B19:I19" si="15">ROUND((30-$A19)*B$35/30,0)</f>
        <v>45000</v>
      </c>
      <c r="C19" s="344">
        <f t="shared" si="15"/>
        <v>57500</v>
      </c>
      <c r="D19" s="344">
        <f t="shared" si="15"/>
        <v>71000</v>
      </c>
      <c r="E19" s="344">
        <f t="shared" si="15"/>
        <v>91000</v>
      </c>
      <c r="F19" s="344">
        <f t="shared" si="15"/>
        <v>130000</v>
      </c>
      <c r="G19" s="344">
        <f t="shared" si="15"/>
        <v>165000</v>
      </c>
      <c r="H19" s="344">
        <f t="shared" si="15"/>
        <v>245000</v>
      </c>
      <c r="I19" s="344">
        <f t="shared" si="15"/>
        <v>325000</v>
      </c>
    </row>
    <row r="20" ht="15.0" customHeight="1">
      <c r="A20" s="151">
        <v>16.0</v>
      </c>
      <c r="B20" s="344">
        <f t="shared" ref="B20:I20" si="16">ROUND((30-$A20)*B$35/30,0)</f>
        <v>42000</v>
      </c>
      <c r="C20" s="344">
        <f t="shared" si="16"/>
        <v>53667</v>
      </c>
      <c r="D20" s="344">
        <f t="shared" si="16"/>
        <v>66267</v>
      </c>
      <c r="E20" s="344">
        <f t="shared" si="16"/>
        <v>84933</v>
      </c>
      <c r="F20" s="344">
        <f t="shared" si="16"/>
        <v>121333</v>
      </c>
      <c r="G20" s="344">
        <f t="shared" si="16"/>
        <v>154000</v>
      </c>
      <c r="H20" s="344">
        <f t="shared" si="16"/>
        <v>228667</v>
      </c>
      <c r="I20" s="344">
        <f t="shared" si="16"/>
        <v>303333</v>
      </c>
    </row>
    <row r="21" ht="15.0" customHeight="1">
      <c r="A21" s="151">
        <v>17.0</v>
      </c>
      <c r="B21" s="344">
        <f t="shared" ref="B21:I21" si="17">ROUND((30-$A21)*B$35/30,0)</f>
        <v>39000</v>
      </c>
      <c r="C21" s="344">
        <f t="shared" si="17"/>
        <v>49833</v>
      </c>
      <c r="D21" s="344">
        <f t="shared" si="17"/>
        <v>61533</v>
      </c>
      <c r="E21" s="344">
        <f t="shared" si="17"/>
        <v>78867</v>
      </c>
      <c r="F21" s="344">
        <f t="shared" si="17"/>
        <v>112667</v>
      </c>
      <c r="G21" s="344">
        <f t="shared" si="17"/>
        <v>143000</v>
      </c>
      <c r="H21" s="344">
        <f t="shared" si="17"/>
        <v>212333</v>
      </c>
      <c r="I21" s="344">
        <f t="shared" si="17"/>
        <v>281667</v>
      </c>
    </row>
    <row r="22" ht="15.0" customHeight="1">
      <c r="A22" s="151">
        <v>18.0</v>
      </c>
      <c r="B22" s="344">
        <f t="shared" ref="B22:I22" si="18">ROUND((30-$A22)*B$35/30,0)</f>
        <v>36000</v>
      </c>
      <c r="C22" s="344">
        <f t="shared" si="18"/>
        <v>46000</v>
      </c>
      <c r="D22" s="344">
        <f t="shared" si="18"/>
        <v>56800</v>
      </c>
      <c r="E22" s="344">
        <f t="shared" si="18"/>
        <v>72800</v>
      </c>
      <c r="F22" s="344">
        <f t="shared" si="18"/>
        <v>104000</v>
      </c>
      <c r="G22" s="344">
        <f t="shared" si="18"/>
        <v>132000</v>
      </c>
      <c r="H22" s="344">
        <f t="shared" si="18"/>
        <v>196000</v>
      </c>
      <c r="I22" s="344">
        <f t="shared" si="18"/>
        <v>260000</v>
      </c>
    </row>
    <row r="23" ht="15.0" customHeight="1">
      <c r="A23" s="151">
        <v>19.0</v>
      </c>
      <c r="B23" s="344">
        <f t="shared" ref="B23:I23" si="19">ROUND((30-$A23)*B$35/30,0)</f>
        <v>33000</v>
      </c>
      <c r="C23" s="344">
        <f t="shared" si="19"/>
        <v>42167</v>
      </c>
      <c r="D23" s="344">
        <f t="shared" si="19"/>
        <v>52067</v>
      </c>
      <c r="E23" s="344">
        <f t="shared" si="19"/>
        <v>66733</v>
      </c>
      <c r="F23" s="344">
        <f t="shared" si="19"/>
        <v>95333</v>
      </c>
      <c r="G23" s="344">
        <f t="shared" si="19"/>
        <v>121000</v>
      </c>
      <c r="H23" s="344">
        <f t="shared" si="19"/>
        <v>179667</v>
      </c>
      <c r="I23" s="344">
        <f t="shared" si="19"/>
        <v>238333</v>
      </c>
    </row>
    <row r="24" ht="15.0" customHeight="1">
      <c r="A24" s="151">
        <v>20.0</v>
      </c>
      <c r="B24" s="344">
        <f t="shared" ref="B24:I24" si="20">ROUND((30-$A24)*B$35/30,0)</f>
        <v>30000</v>
      </c>
      <c r="C24" s="344">
        <f t="shared" si="20"/>
        <v>38333</v>
      </c>
      <c r="D24" s="344">
        <f t="shared" si="20"/>
        <v>47333</v>
      </c>
      <c r="E24" s="344">
        <f t="shared" si="20"/>
        <v>60667</v>
      </c>
      <c r="F24" s="344">
        <f t="shared" si="20"/>
        <v>86667</v>
      </c>
      <c r="G24" s="344">
        <f t="shared" si="20"/>
        <v>110000</v>
      </c>
      <c r="H24" s="344">
        <f t="shared" si="20"/>
        <v>163333</v>
      </c>
      <c r="I24" s="344">
        <f t="shared" si="20"/>
        <v>216667</v>
      </c>
    </row>
    <row r="25" ht="15.0" customHeight="1">
      <c r="A25" s="151">
        <v>21.0</v>
      </c>
      <c r="B25" s="344">
        <f t="shared" ref="B25:I25" si="21">ROUND((30-$A25)*B$35/30,0)</f>
        <v>27000</v>
      </c>
      <c r="C25" s="344">
        <f t="shared" si="21"/>
        <v>34500</v>
      </c>
      <c r="D25" s="344">
        <f t="shared" si="21"/>
        <v>42600</v>
      </c>
      <c r="E25" s="344">
        <f t="shared" si="21"/>
        <v>54600</v>
      </c>
      <c r="F25" s="344">
        <f t="shared" si="21"/>
        <v>78000</v>
      </c>
      <c r="G25" s="344">
        <f t="shared" si="21"/>
        <v>99000</v>
      </c>
      <c r="H25" s="344">
        <f t="shared" si="21"/>
        <v>147000</v>
      </c>
      <c r="I25" s="344">
        <f t="shared" si="21"/>
        <v>195000</v>
      </c>
    </row>
    <row r="26" ht="15.0" customHeight="1">
      <c r="A26" s="151">
        <v>22.0</v>
      </c>
      <c r="B26" s="344">
        <f t="shared" ref="B26:I26" si="22">ROUND((30-$A26)*B$35/30,0)</f>
        <v>24000</v>
      </c>
      <c r="C26" s="344">
        <f t="shared" si="22"/>
        <v>30667</v>
      </c>
      <c r="D26" s="344">
        <f t="shared" si="22"/>
        <v>37867</v>
      </c>
      <c r="E26" s="344">
        <f t="shared" si="22"/>
        <v>48533</v>
      </c>
      <c r="F26" s="344">
        <f t="shared" si="22"/>
        <v>69333</v>
      </c>
      <c r="G26" s="344">
        <f t="shared" si="22"/>
        <v>88000</v>
      </c>
      <c r="H26" s="344">
        <f t="shared" si="22"/>
        <v>130667</v>
      </c>
      <c r="I26" s="344">
        <f t="shared" si="22"/>
        <v>173333</v>
      </c>
    </row>
    <row r="27" ht="15.0" customHeight="1">
      <c r="A27" s="151">
        <v>23.0</v>
      </c>
      <c r="B27" s="344">
        <f t="shared" ref="B27:I27" si="23">ROUND((30-$A27)*B$35/30,0)</f>
        <v>21000</v>
      </c>
      <c r="C27" s="344">
        <f t="shared" si="23"/>
        <v>26833</v>
      </c>
      <c r="D27" s="344">
        <f t="shared" si="23"/>
        <v>33133</v>
      </c>
      <c r="E27" s="344">
        <f t="shared" si="23"/>
        <v>42467</v>
      </c>
      <c r="F27" s="344">
        <f t="shared" si="23"/>
        <v>60667</v>
      </c>
      <c r="G27" s="344">
        <f t="shared" si="23"/>
        <v>77000</v>
      </c>
      <c r="H27" s="344">
        <f t="shared" si="23"/>
        <v>114333</v>
      </c>
      <c r="I27" s="344">
        <f t="shared" si="23"/>
        <v>151667</v>
      </c>
    </row>
    <row r="28" ht="15.0" customHeight="1">
      <c r="A28" s="151">
        <v>24.0</v>
      </c>
      <c r="B28" s="344">
        <f t="shared" ref="B28:I28" si="24">ROUND((30-$A28)*B$35/30,0)</f>
        <v>18000</v>
      </c>
      <c r="C28" s="344">
        <f t="shared" si="24"/>
        <v>23000</v>
      </c>
      <c r="D28" s="344">
        <f t="shared" si="24"/>
        <v>28400</v>
      </c>
      <c r="E28" s="344">
        <f t="shared" si="24"/>
        <v>36400</v>
      </c>
      <c r="F28" s="344">
        <f t="shared" si="24"/>
        <v>52000</v>
      </c>
      <c r="G28" s="344">
        <f t="shared" si="24"/>
        <v>66000</v>
      </c>
      <c r="H28" s="344">
        <f t="shared" si="24"/>
        <v>98000</v>
      </c>
      <c r="I28" s="344">
        <f t="shared" si="24"/>
        <v>130000</v>
      </c>
    </row>
    <row r="29" ht="15.0" customHeight="1">
      <c r="A29" s="151">
        <v>25.0</v>
      </c>
      <c r="B29" s="344">
        <f t="shared" ref="B29:I29" si="25">ROUND((30-$A29)*B$35/30,0)</f>
        <v>15000</v>
      </c>
      <c r="C29" s="344">
        <f t="shared" si="25"/>
        <v>19167</v>
      </c>
      <c r="D29" s="344">
        <f t="shared" si="25"/>
        <v>23667</v>
      </c>
      <c r="E29" s="344">
        <f t="shared" si="25"/>
        <v>30333</v>
      </c>
      <c r="F29" s="344">
        <f t="shared" si="25"/>
        <v>43333</v>
      </c>
      <c r="G29" s="344">
        <f t="shared" si="25"/>
        <v>55000</v>
      </c>
      <c r="H29" s="344">
        <f t="shared" si="25"/>
        <v>81667</v>
      </c>
      <c r="I29" s="344">
        <f t="shared" si="25"/>
        <v>108333</v>
      </c>
    </row>
    <row r="30" ht="15.0" customHeight="1">
      <c r="A30" s="151">
        <v>26.0</v>
      </c>
      <c r="B30" s="344">
        <f t="shared" ref="B30:I30" si="26">ROUND((30-$A30)*B$35/30,0)</f>
        <v>12000</v>
      </c>
      <c r="C30" s="344">
        <f t="shared" si="26"/>
        <v>15333</v>
      </c>
      <c r="D30" s="344">
        <f t="shared" si="26"/>
        <v>18933</v>
      </c>
      <c r="E30" s="344">
        <f t="shared" si="26"/>
        <v>24267</v>
      </c>
      <c r="F30" s="344">
        <f t="shared" si="26"/>
        <v>34667</v>
      </c>
      <c r="G30" s="344">
        <f t="shared" si="26"/>
        <v>44000</v>
      </c>
      <c r="H30" s="344">
        <f t="shared" si="26"/>
        <v>65333</v>
      </c>
      <c r="I30" s="344">
        <f t="shared" si="26"/>
        <v>86667</v>
      </c>
    </row>
    <row r="31" ht="15.0" customHeight="1">
      <c r="A31" s="151">
        <v>27.0</v>
      </c>
      <c r="B31" s="344">
        <f t="shared" ref="B31:I31" si="27">ROUND((30-$A31)*B$35/30,0)</f>
        <v>9000</v>
      </c>
      <c r="C31" s="344">
        <f t="shared" si="27"/>
        <v>11500</v>
      </c>
      <c r="D31" s="344">
        <f t="shared" si="27"/>
        <v>14200</v>
      </c>
      <c r="E31" s="344">
        <f t="shared" si="27"/>
        <v>18200</v>
      </c>
      <c r="F31" s="344">
        <f t="shared" si="27"/>
        <v>26000</v>
      </c>
      <c r="G31" s="344">
        <f t="shared" si="27"/>
        <v>33000</v>
      </c>
      <c r="H31" s="344">
        <f t="shared" si="27"/>
        <v>49000</v>
      </c>
      <c r="I31" s="344">
        <f t="shared" si="27"/>
        <v>65000</v>
      </c>
    </row>
    <row r="32" ht="15.0" customHeight="1">
      <c r="A32" s="151">
        <v>28.0</v>
      </c>
      <c r="B32" s="344">
        <f t="shared" ref="B32:I32" si="28">ROUND((30-$A32)*B$35/30,0)</f>
        <v>6000</v>
      </c>
      <c r="C32" s="344">
        <f t="shared" si="28"/>
        <v>7667</v>
      </c>
      <c r="D32" s="344">
        <f t="shared" si="28"/>
        <v>9467</v>
      </c>
      <c r="E32" s="344">
        <f t="shared" si="28"/>
        <v>12133</v>
      </c>
      <c r="F32" s="344">
        <f t="shared" si="28"/>
        <v>17333</v>
      </c>
      <c r="G32" s="344">
        <f t="shared" si="28"/>
        <v>22000</v>
      </c>
      <c r="H32" s="344">
        <f t="shared" si="28"/>
        <v>32667</v>
      </c>
      <c r="I32" s="344">
        <f t="shared" si="28"/>
        <v>43333</v>
      </c>
    </row>
    <row r="33" ht="15.0" customHeight="1">
      <c r="A33" s="151">
        <v>29.0</v>
      </c>
      <c r="B33" s="344">
        <f t="shared" ref="B33:I33" si="29">ROUND((30-$A33)*B$35/30,0)</f>
        <v>3000</v>
      </c>
      <c r="C33" s="344">
        <f t="shared" si="29"/>
        <v>3833</v>
      </c>
      <c r="D33" s="344">
        <f t="shared" si="29"/>
        <v>4733</v>
      </c>
      <c r="E33" s="344">
        <f t="shared" si="29"/>
        <v>6067</v>
      </c>
      <c r="F33" s="344">
        <f t="shared" si="29"/>
        <v>8667</v>
      </c>
      <c r="G33" s="344">
        <f t="shared" si="29"/>
        <v>11000</v>
      </c>
      <c r="H33" s="344">
        <f t="shared" si="29"/>
        <v>16333</v>
      </c>
      <c r="I33" s="344">
        <f t="shared" si="29"/>
        <v>21667</v>
      </c>
    </row>
    <row r="34" ht="15.0" customHeight="1">
      <c r="A34" s="151">
        <v>30.0</v>
      </c>
      <c r="B34" s="344">
        <f t="shared" ref="B34:I34" si="30">ROUND((30-$A34)*B$35/30,0)</f>
        <v>0</v>
      </c>
      <c r="C34" s="344">
        <f t="shared" si="30"/>
        <v>0</v>
      </c>
      <c r="D34" s="344">
        <f t="shared" si="30"/>
        <v>0</v>
      </c>
      <c r="E34" s="344">
        <f t="shared" si="30"/>
        <v>0</v>
      </c>
      <c r="F34" s="344">
        <f t="shared" si="30"/>
        <v>0</v>
      </c>
      <c r="G34" s="344">
        <f t="shared" si="30"/>
        <v>0</v>
      </c>
      <c r="H34" s="344">
        <f t="shared" si="30"/>
        <v>0</v>
      </c>
      <c r="I34" s="344">
        <f t="shared" si="30"/>
        <v>0</v>
      </c>
    </row>
    <row r="35" ht="15.0" hidden="1" customHeight="1">
      <c r="A35" s="47"/>
      <c r="B35" s="47">
        <v>90000.0</v>
      </c>
      <c r="C35" s="47">
        <v>115000.0</v>
      </c>
      <c r="D35" s="47">
        <v>142000.0</v>
      </c>
      <c r="E35" s="47">
        <v>182000.0</v>
      </c>
      <c r="F35" s="47">
        <v>260000.0</v>
      </c>
      <c r="G35" s="47">
        <v>330000.0</v>
      </c>
      <c r="H35" s="47">
        <v>490000.0</v>
      </c>
      <c r="I35" s="47">
        <v>650000.0</v>
      </c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6E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00.0"/>
    <col customWidth="1" min="3" max="3" width="2.0"/>
    <col customWidth="1" min="4" max="26" width="8.71"/>
  </cols>
  <sheetData>
    <row r="1">
      <c r="A1" s="47"/>
      <c r="B1" s="47"/>
      <c r="C1" s="47"/>
    </row>
    <row r="2" ht="30.0" customHeight="1">
      <c r="A2" s="47"/>
      <c r="B2" s="345" t="s">
        <v>1946</v>
      </c>
      <c r="C2" s="47"/>
    </row>
    <row r="3">
      <c r="A3" s="47"/>
      <c r="B3" s="47"/>
      <c r="C3" s="47"/>
    </row>
    <row r="4" ht="23.25" customHeight="1">
      <c r="A4" s="47"/>
      <c r="B4" s="346" t="s">
        <v>1947</v>
      </c>
      <c r="C4" s="47"/>
    </row>
    <row r="5">
      <c r="A5" s="47"/>
      <c r="B5" s="47"/>
      <c r="C5" s="47"/>
    </row>
    <row r="6" ht="15.0" customHeight="1">
      <c r="A6" s="47"/>
      <c r="B6" s="347" t="s">
        <v>1948</v>
      </c>
      <c r="C6" s="47"/>
    </row>
    <row r="7" ht="27.75" customHeight="1">
      <c r="A7" s="47"/>
      <c r="B7" s="348" t="s">
        <v>1949</v>
      </c>
      <c r="C7" s="47"/>
    </row>
    <row r="8">
      <c r="A8" s="47"/>
      <c r="B8" s="47"/>
      <c r="C8" s="47"/>
    </row>
    <row r="9" ht="21.75" customHeight="1">
      <c r="A9" s="47"/>
      <c r="B9" s="349" t="s">
        <v>1950</v>
      </c>
      <c r="C9" s="47"/>
    </row>
    <row r="10" ht="15.0" customHeight="1">
      <c r="A10" s="47"/>
      <c r="B10" s="350" t="str">
        <f>"Nama: "&amp;IFERROR(VLOOKUP($B$7,'2_Data_Pelanggan'!$B:$AT,3,FALSE()),"")</f>
        <v>Nama: RAMINAH</v>
      </c>
      <c r="C10" s="47"/>
    </row>
    <row r="11" ht="15.0" customHeight="1">
      <c r="A11" s="47"/>
      <c r="B11" s="350" t="str">
        <f>"No. HP: "&amp;IFERROR(VLOOKUP($B$7,'2_Data_Pelanggan'!$B:$AT,5,FALSE()),"")</f>
        <v>No. HP: 081226123793</v>
      </c>
      <c r="C11" s="47"/>
    </row>
    <row r="12" ht="15.0" customHeight="1">
      <c r="A12" s="47"/>
      <c r="B12" s="350" t="str">
        <f>"IP: "&amp;IFERROR(VLOOKUP($B$7,'2_Data_Pelanggan'!$B:$AT,14,FALSE()),"")</f>
        <v>IP: 10.152.7.234</v>
      </c>
      <c r="C12" s="47"/>
    </row>
    <row r="13" ht="15.0" customHeight="1">
      <c r="A13" s="47"/>
      <c r="B13" s="350" t="str">
        <f>"Paket: "&amp;IFERROR(VLOOKUP($B$7,'2_Data_Pelanggan'!$B:$AT,12,FALSE()),"")</f>
        <v>Paket: 20</v>
      </c>
      <c r="C13" s="47"/>
    </row>
    <row r="14" ht="15.0" customHeight="1">
      <c r="A14" s="47"/>
      <c r="B14" s="350" t="str">
        <f>"SN Baru: "&amp;IFERROR(VLOOKUP($B$7,'2_Data_Pelanggan'!$B:$AT,16,FALSE()),"")</f>
        <v>SN Baru: ZXIC074F3E7F</v>
      </c>
      <c r="C14" s="47"/>
    </row>
    <row r="15" ht="15.0" customHeight="1">
      <c r="A15" s="47"/>
      <c r="B15" s="350" t="str">
        <f>"Port: "&amp;IFERROR(VLOOKUP($B$7,'2_Data_Pelanggan'!$B:$AT,39,FALSE()),"")</f>
        <v>Port: 1</v>
      </c>
      <c r="C15" s="47"/>
    </row>
    <row r="16" ht="15.0" customHeight="1">
      <c r="A16" s="47"/>
      <c r="B16" s="350" t="str">
        <f>"Index: "&amp;IFERROR(VLOOKUP($B$7,'2_Data_Pelanggan'!$B:$AT,40,FALSE()),"")</f>
        <v>Index: 4</v>
      </c>
      <c r="C16" s="47"/>
    </row>
    <row r="17" ht="15.0" customHeight="1">
      <c r="A17" s="47"/>
      <c r="B17" s="350" t="str">
        <f>"Profile: "&amp;IFERROR(VLOOKUP($B$7,'2_Data_Pelanggan'!$B:$AT,41,FALSE()),"")</f>
        <v>Profile: 2M_UP</v>
      </c>
      <c r="C17" s="47"/>
    </row>
    <row r="18" ht="15.0" customHeight="1">
      <c r="A18" s="47"/>
      <c r="B18" s="350" t="str">
        <f>"VLAN: "&amp;IFERROR(VLOOKUP($B$7,'2_Data_Pelanggan'!$B:$AT,42,FALSE()),"")</f>
        <v>VLAN: 1521</v>
      </c>
      <c r="C18" s="47"/>
    </row>
    <row r="19" ht="15.0" customHeight="1">
      <c r="A19" s="47"/>
      <c r="B19" s="350" t="str">
        <f>"SN Lama: "&amp;IFERROR(VLOOKUP($B$7,'2_Data_Pelanggan'!$B:$AT,44,FALSE()),"")</f>
        <v>SN Lama: </v>
      </c>
      <c r="C19" s="47"/>
    </row>
    <row r="20" ht="15.0" customHeight="1">
      <c r="A20" s="47"/>
      <c r="B20" s="350" t="str">
        <f>"Teknisi: "&amp;IFERROR(VLOOKUP($B$7,'2_Data_Pelanggan'!$B:$AT,45,FALSE()),"")</f>
        <v>Teknisi: AGAN DIMAS</v>
      </c>
      <c r="C20" s="47"/>
    </row>
    <row r="21" ht="15.75" customHeight="1">
      <c r="A21" s="47"/>
      <c r="B21" s="47"/>
      <c r="C21" s="47"/>
    </row>
    <row r="22" ht="21.75" customHeight="1">
      <c r="A22" s="47"/>
      <c r="B22" s="351" t="s">
        <v>1951</v>
      </c>
      <c r="C22" s="47"/>
    </row>
    <row r="23" ht="15.0" customHeight="1">
      <c r="A23" s="47"/>
      <c r="B23" s="352" t="s">
        <v>1952</v>
      </c>
      <c r="C23" s="47"/>
    </row>
    <row r="24" ht="57.75" customHeight="1">
      <c r="A24" s="47"/>
      <c r="B24" s="353" t="str">
        <f>"show gpon onu uncfg"&amp;CHAR(10)&amp;"show gpon onu state gpon-olt_1/1/"&amp;IFERROR(VLOOKUP($B$7,'2_Data_Pelanggan'!$B:$AT,39,FALSE()),"")&amp;CHAR(10)&amp;"show gpon onu by sn "&amp;IFERROR(VLOOKUP($B$7,'2_Data_Pelanggan'!$B:$AT,16,FALSE()),"")</f>
        <v>show gpon onu uncfg
show gpon onu state gpon-olt_1/1/1
show gpon onu by sn ZXIC074F3E7F</v>
      </c>
      <c r="C24" s="47"/>
    </row>
    <row r="25" ht="15.75" customHeight="1">
      <c r="A25" s="47"/>
      <c r="B25" s="47"/>
      <c r="C25" s="47"/>
    </row>
    <row r="26" ht="21.75" customHeight="1">
      <c r="A26" s="47"/>
      <c r="B26" s="354" t="s">
        <v>1953</v>
      </c>
      <c r="C26" s="47"/>
    </row>
    <row r="27" ht="72.0" customHeight="1">
      <c r="A27" s="47"/>
      <c r="B27" s="353" t="str">
        <f>"configure terminal"&amp;CHAR(10)&amp;"interface gpon-olt_1/1/"&amp;IFERROR(VLOOKUP($B$7,'2_Data_Pelanggan'!$B:$AT,39,FALSE()),"")&amp;CHAR(10)&amp;" onu "&amp;IFERROR(VLOOKUP($B$7,'2_Data_Pelanggan'!$B:$AT,40,FALSE()),"")&amp;" type all sn "&amp;IFERROR(VLOOKUP($B$7,'2_Data_Pelanggan'!$B:$AT,16,FALSE()),"")&amp;CHAR(10)&amp;" exit"</f>
        <v>configure terminal
interface gpon-olt_1/1/1
 onu 4 type all sn ZXIC074F3E7F
 exit</v>
      </c>
      <c r="C27" s="47"/>
    </row>
    <row r="28" ht="15.75" customHeight="1">
      <c r="A28" s="47"/>
      <c r="B28" s="47"/>
      <c r="C28" s="47"/>
    </row>
    <row r="29" ht="21.75" customHeight="1">
      <c r="A29" s="47"/>
      <c r="B29" s="355" t="s">
        <v>1954</v>
      </c>
      <c r="C29" s="47"/>
    </row>
    <row r="30" ht="85.5" customHeight="1">
      <c r="A30" s="47"/>
      <c r="B30" s="353" t="str">
        <f>"configure terminal"&amp;CHAR(10)&amp;"interface gpon-olt_1/1/"&amp;IFERROR(VLOOKUP($B$7,'2_Data_Pelanggan'!$B:$AT,39,FALSE()),"")&amp;CHAR(10)&amp;" no onu "&amp;IFERROR(VLOOKUP($B$7,'2_Data_Pelanggan'!$B:$AT,40,FALSE()),"")&amp;CHAR(10)&amp;" onu "&amp;IFERROR(VLOOKUP($B$7,'2_Data_Pelanggan'!$B:$AT,40,FALSE()),"")&amp;" type all sn "&amp;IFERROR(VLOOKUP($B$7,'2_Data_Pelanggan'!$B:$AT,16,FALSE()),"")&amp;CHAR(10)&amp;" exit"</f>
        <v>configure terminal
interface gpon-olt_1/1/1
 no onu 4
 onu 4 type all sn ZXIC074F3E7F
 exit</v>
      </c>
      <c r="C30" s="47"/>
    </row>
    <row r="31" ht="15.75" customHeight="1">
      <c r="A31" s="47"/>
      <c r="B31" s="47"/>
      <c r="C31" s="47"/>
    </row>
    <row r="32" ht="21.75" customHeight="1">
      <c r="A32" s="47"/>
      <c r="B32" s="354" t="s">
        <v>1955</v>
      </c>
      <c r="C32" s="47"/>
    </row>
    <row r="33" ht="129.75" customHeight="1">
      <c r="A33" s="47"/>
      <c r="B33" s="353" t="str">
        <f>"interface gpon-onu_1/1/"&amp;IFERROR(VLOOKUP($B$7,'2_Data_Pelanggan'!$B:$AT,39,FALSE()),"")&amp;":"&amp;IFERROR(VLOOKUP($B$7,'2_Data_Pelanggan'!$B:$AT,40,FALSE()),"")&amp;CHAR(10)&amp;" name "&amp;SUBSTITUTE(IFERROR(VLOOKUP($B$7,'2_Data_Pelanggan'!$B:$AT,3,FALSE()),"")," ","_")&amp;CHAR(10)&amp;" description "&amp;IFERROR(VLOOKUP($B$7,'2_Data_Pelanggan'!$B:$AT,29,FALSE()),"")&amp;"-"&amp;IFERROR(VLOOKUP($B$7,'2_Data_Pelanggan'!$B:$AT,14,FALSE()),"")&amp;"-"&amp;IFERROR(VLOOKUP($B$7,'2_Data_Pelanggan'!$B:$AT,5,FALSE()),"")&amp;CHAR(10)&amp;" sn-bind enable sn"&amp;CHAR(10)&amp;" tcont 1 profile "&amp;IFERROR(VLOOKUP($B$7,'2_Data_Pelanggan'!$B:$AT,41,FALSE()),"")&amp;CHAR(10)&amp;" gemport 1 tcont 1"&amp;CHAR(10)&amp;" service-port 1 vport 1 user-vlan "&amp;IFERROR(VLOOKUP($B$7,'2_Data_Pelanggan'!$B:$AT,42,FALSE()),"")&amp;" vlan "&amp;IFERROR(VLOOKUP($B$7,'2_Data_Pelanggan'!$B:$AT,42,FALSE()),"")&amp;CHAR(10)&amp;" exit"</f>
        <v>interface gpon-onu_1/1/1:4
 name RAMINAH
 description Sunarjo Suntar-10.152.7.234-081226123793
 sn-bind enable sn
 tcont 1 profile 2M_UP
 gemport 1 tcont 1
 service-port 1 vport 1 user-vlan 1521 vlan 1521
 exit</v>
      </c>
      <c r="C33" s="47"/>
    </row>
    <row r="34" ht="15.75" customHeight="1">
      <c r="A34" s="47"/>
      <c r="B34" s="47"/>
      <c r="C34" s="47"/>
    </row>
    <row r="35" ht="21.75" customHeight="1">
      <c r="A35" s="47"/>
      <c r="B35" s="354" t="s">
        <v>1956</v>
      </c>
      <c r="C35" s="47"/>
    </row>
    <row r="36" ht="114.75" customHeight="1">
      <c r="A36" s="47"/>
      <c r="B36" s="353" t="str">
        <f>"pon-onu-mng gpon-onu_1/1/"&amp;IFERROR(VLOOKUP($B$7,'2_Data_Pelanggan'!$B:$AT,39,FALSE()),"")&amp;":"&amp;IFERROR(VLOOKUP($B$7,'2_Data_Pelanggan'!$B:$AT,40,FALSE()),"")&amp;CHAR(10)&amp;" flow mode 1 tag-filter vlan-filter untag-filter discard"&amp;CHAR(10)&amp;" flow 1 pri 0 vlan "&amp;IFERROR(VLOOKUP($B$7,'2_Data_Pelanggan'!$B:$AT,42,FALSE()),"")&amp;CHAR(10)&amp;" gemport 1 flow 1"&amp;CHAR(10)&amp;" exit"&amp;CHAR(10)&amp;"end"&amp;CHAR(10)&amp;"write"</f>
        <v>pon-onu-mng gpon-onu_1/1/1:4
 flow mode 1 tag-filter vlan-filter untag-filter discard
 flow 1 pri 0 vlan 1521
 gemport 1 flow 1
 exit
end
write</v>
      </c>
      <c r="C36" s="47"/>
    </row>
    <row r="37" ht="15.75" customHeight="1">
      <c r="A37" s="47"/>
      <c r="B37" s="47"/>
      <c r="C37" s="47"/>
    </row>
    <row r="38" ht="21.75" customHeight="1">
      <c r="A38" s="47"/>
      <c r="B38" s="349" t="s">
        <v>1957</v>
      </c>
      <c r="C38" s="47"/>
    </row>
    <row r="39" ht="15.0" customHeight="1">
      <c r="A39" s="47"/>
      <c r="B39" s="352" t="s">
        <v>1958</v>
      </c>
      <c r="C39" s="47"/>
    </row>
    <row r="40" ht="21.75" customHeight="1">
      <c r="A40" s="47"/>
      <c r="B40" s="353" t="str">
        <f>"ssh cs26@49.156.62.10 port=22022 pass=2026"</f>
        <v>ssh cs26@49.156.62.10 port=22022 pass=2026</v>
      </c>
      <c r="C40" s="47"/>
    </row>
    <row r="41" ht="15.0" customHeight="1">
      <c r="A41" s="47"/>
      <c r="B41" s="346" t="s">
        <v>1959</v>
      </c>
      <c r="C41" s="47"/>
    </row>
    <row r="42" ht="57.75" customHeight="1">
      <c r="A42" s="47"/>
      <c r="B42" s="353" t="str">
        <f>"/tool netwatch add host="&amp;IFERROR(VLOOKUP($B$7,'2_Data_Pelanggan'!$B:$AT,14,FALSE()),"")&amp;" interval=3m comment="&amp;CHAR(34)&amp;IFERROR(VLOOKUP($B$7,'2_Data_Pelanggan'!$B:$AT,3,FALSE()),"")&amp;" - "&amp;IFERROR(VLOOKUP($B$7,'2_Data_Pelanggan'!$B:$AT,16,FALSE()),"")&amp;" - "&amp;IFERROR(VLOOKUP($B$7,'2_Data_Pelanggan'!$B:$AT,5,FALSE()),"")&amp;" - "&amp;IFERROR(VLOOKUP($B$7,'2_Data_Pelanggan'!$B:$AT,29,FALSE()),"")&amp;" - "&amp;IFERROR(VLOOKUP($B$7,'2_Data_Pelanggan'!$B:$AT,9,FALSE()),"")&amp;"/"&amp;IFERROR(VLOOKUP($B$7,'2_Data_Pelanggan'!$B:$AT,8,FALSE()),"")&amp;" - "&amp;IFERROR(VLOOKUP($B$7,'2_Data_Pelanggan'!$B:$AT,7,FALSE()),"")&amp;" - "&amp;IFERROR(VLOOKUP($B$7,'2_Data_Pelanggan'!$B:$AT,45,FALSE()),"")&amp;CHAR(34)</f>
        <v>/tool netwatch add host=10.152.7.234 interval=3m comment="RAMINAH - ZXIC074F3E7F - 081226123793 - Sunarjo Suntar - 6/1 - GUMELAR - AGAN DIMAS"</v>
      </c>
      <c r="C42" s="47"/>
    </row>
    <row r="43" ht="15.0" customHeight="1">
      <c r="A43" s="47"/>
      <c r="B43" s="356" t="s">
        <v>1960</v>
      </c>
      <c r="C43" s="47"/>
    </row>
    <row r="44" ht="57.75" customHeight="1">
      <c r="A44" s="47"/>
      <c r="B44" s="353" t="str">
        <f>"/tool netwatch set [find host="&amp;IFERROR(VLOOKUP($B$7,'2_Data_Pelanggan'!$B:$AT,14,FALSE()),"")&amp;"] comment="&amp;CHAR(34)&amp;IFERROR(VLOOKUP($B$7,'2_Data_Pelanggan'!$B:$AT,3,FALSE()),"")&amp;" - "&amp;IFERROR(VLOOKUP($B$7,'2_Data_Pelanggan'!$B:$AT,16,FALSE()),"")&amp;" - "&amp;IFERROR(VLOOKUP($B$7,'2_Data_Pelanggan'!$B:$AT,5,FALSE()),"")&amp;" - "&amp;IFERROR(VLOOKUP($B$7,'2_Data_Pelanggan'!$B:$AT,29,FALSE()),"")&amp;" - "&amp;IFERROR(VLOOKUP($B$7,'2_Data_Pelanggan'!$B:$AT,9,FALSE()),"")&amp;"/"&amp;IFERROR(VLOOKUP($B$7,'2_Data_Pelanggan'!$B:$AT,8,FALSE()),"")&amp;" - "&amp;IFERROR(VLOOKUP($B$7,'2_Data_Pelanggan'!$B:$AT,7,FALSE()),"")&amp;" - "&amp;IFERROR(VLOOKUP($B$7,'2_Data_Pelanggan'!$B:$AT,45,FALSE()),"")&amp;CHAR(34)</f>
        <v>/tool netwatch set [find host=10.152.7.234] comment="RAMINAH - ZXIC074F3E7F - 081226123793 - Sunarjo Suntar - 6/1 - GUMELAR - AGAN DIMAS"</v>
      </c>
      <c r="C44" s="47"/>
    </row>
    <row r="45" ht="15.75" customHeight="1">
      <c r="A45" s="47"/>
      <c r="B45" s="47"/>
      <c r="C45" s="47"/>
    </row>
    <row r="46" ht="21.75" customHeight="1">
      <c r="A46" s="47"/>
      <c r="B46" s="351" t="s">
        <v>1961</v>
      </c>
      <c r="C46" s="47"/>
    </row>
    <row r="47" ht="43.5" customHeight="1">
      <c r="A47" s="47"/>
      <c r="B47" s="353" t="str">
        <f>"show gpon onu state gpon-olt_1/1/"&amp;IFERROR(VLOOKUP($B$7,'2_Data_Pelanggan'!$B:$AT,39,FALSE()),"")&amp;CHAR(10)&amp;"show gpon onu detail-info gpon-onu_1/1/"&amp;IFERROR(VLOOKUP($B$7,'2_Data_Pelanggan'!$B:$AT,39,FALSE()),"")&amp;":"&amp;IFERROR(VLOOKUP($B$7,'2_Data_Pelanggan'!$B:$AT,40,FALSE()),"")</f>
        <v>show gpon onu state gpon-olt_1/1/1
show gpon onu detail-info gpon-onu_1/1/1:4</v>
      </c>
      <c r="C47" s="47"/>
    </row>
    <row r="48" ht="15.75" customHeight="1">
      <c r="A48" s="47"/>
      <c r="B48" s="47"/>
      <c r="C48" s="47"/>
    </row>
    <row r="49" ht="15.75" customHeight="1">
      <c r="A49" s="47"/>
      <c r="B49" s="47"/>
      <c r="C49" s="47"/>
    </row>
    <row r="50" ht="15.75" customHeight="1">
      <c r="A50" s="47"/>
      <c r="B50" s="47"/>
      <c r="C50" s="47"/>
    </row>
    <row r="51" ht="15.75" customHeight="1">
      <c r="A51" s="47"/>
      <c r="B51" s="47"/>
      <c r="C51" s="47"/>
    </row>
    <row r="52" ht="15.75" customHeight="1">
      <c r="A52" s="47"/>
      <c r="B52" s="47"/>
      <c r="C52" s="47"/>
    </row>
    <row r="53" ht="15.75" customHeight="1">
      <c r="A53" s="47"/>
      <c r="B53" s="47"/>
      <c r="C53" s="47"/>
    </row>
    <row r="54" ht="15.75" customHeight="1">
      <c r="A54" s="47"/>
      <c r="B54" s="47"/>
      <c r="C54" s="47"/>
    </row>
    <row r="55" ht="15.75" customHeight="1">
      <c r="A55" s="47"/>
      <c r="B55" s="47"/>
      <c r="C55" s="47"/>
    </row>
    <row r="56" ht="15.75" customHeight="1">
      <c r="A56" s="47"/>
      <c r="B56" s="47"/>
      <c r="C56" s="47"/>
    </row>
    <row r="57" ht="15.75" customHeight="1">
      <c r="A57" s="47"/>
      <c r="B57" s="47"/>
      <c r="C57" s="47"/>
    </row>
    <row r="58" ht="15.75" customHeight="1">
      <c r="A58" s="47"/>
      <c r="B58" s="47"/>
      <c r="C58" s="47"/>
    </row>
    <row r="59" ht="15.75" customHeight="1">
      <c r="A59" s="47"/>
      <c r="B59" s="47"/>
      <c r="C59" s="47"/>
    </row>
    <row r="60" ht="15.75" customHeight="1">
      <c r="A60" s="47"/>
      <c r="B60" s="47"/>
      <c r="C60" s="47"/>
    </row>
    <row r="61" ht="15.75" customHeight="1">
      <c r="A61" s="47"/>
      <c r="B61" s="47"/>
      <c r="C61" s="47"/>
    </row>
    <row r="62" ht="15.75" customHeight="1">
      <c r="A62" s="47"/>
      <c r="B62" s="47"/>
      <c r="C62" s="47"/>
    </row>
    <row r="63" ht="15.75" customHeight="1">
      <c r="A63" s="47"/>
      <c r="B63" s="47"/>
      <c r="C63" s="47"/>
    </row>
    <row r="64" ht="15.75" customHeight="1">
      <c r="A64" s="47"/>
      <c r="B64" s="47"/>
      <c r="C64" s="47"/>
    </row>
    <row r="65" ht="15.75" customHeight="1">
      <c r="A65" s="47"/>
      <c r="B65" s="47"/>
      <c r="C65" s="47"/>
    </row>
    <row r="66" ht="15.75" customHeight="1">
      <c r="A66" s="47"/>
      <c r="B66" s="47"/>
      <c r="C66" s="47"/>
    </row>
    <row r="67" ht="15.75" customHeight="1">
      <c r="A67" s="47"/>
      <c r="B67" s="47"/>
      <c r="C67" s="47"/>
    </row>
    <row r="68" ht="15.75" customHeight="1">
      <c r="A68" s="47"/>
      <c r="B68" s="47"/>
      <c r="C68" s="47"/>
    </row>
    <row r="69" ht="15.75" customHeight="1">
      <c r="A69" s="47"/>
      <c r="B69" s="47"/>
      <c r="C69" s="47"/>
    </row>
    <row r="70" ht="15.75" customHeight="1">
      <c r="A70" s="47"/>
      <c r="B70" s="47"/>
      <c r="C70" s="47"/>
    </row>
    <row r="71" ht="15.75" customHeight="1">
      <c r="A71" s="47"/>
      <c r="B71" s="47"/>
      <c r="C71" s="47"/>
    </row>
    <row r="72" ht="15.75" customHeight="1">
      <c r="A72" s="47"/>
      <c r="B72" s="47"/>
      <c r="C72" s="47"/>
    </row>
    <row r="73" ht="15.75" customHeight="1">
      <c r="A73" s="47"/>
      <c r="B73" s="47"/>
      <c r="C73" s="47"/>
    </row>
    <row r="74" ht="15.75" customHeight="1">
      <c r="A74" s="47"/>
      <c r="B74" s="47"/>
      <c r="C74" s="47"/>
    </row>
    <row r="75" ht="15.75" customHeight="1">
      <c r="A75" s="47"/>
      <c r="B75" s="47"/>
      <c r="C75" s="47"/>
    </row>
    <row r="76" ht="15.75" customHeight="1">
      <c r="A76" s="47"/>
      <c r="B76" s="47"/>
      <c r="C76" s="47"/>
    </row>
    <row r="77" ht="15.75" customHeight="1">
      <c r="A77" s="47"/>
      <c r="B77" s="47"/>
      <c r="C77" s="47"/>
    </row>
    <row r="78" ht="15.75" customHeight="1">
      <c r="A78" s="47"/>
      <c r="B78" s="47"/>
      <c r="C78" s="47"/>
    </row>
    <row r="79" ht="15.75" customHeight="1">
      <c r="A79" s="47"/>
      <c r="B79" s="47"/>
      <c r="C79" s="47"/>
    </row>
    <row r="80" ht="15.75" customHeight="1">
      <c r="A80" s="47"/>
      <c r="B80" s="47"/>
      <c r="C80" s="47"/>
    </row>
    <row r="81" ht="15.75" customHeight="1">
      <c r="A81" s="47"/>
      <c r="B81" s="47"/>
      <c r="C81" s="47"/>
    </row>
    <row r="82" ht="15.75" customHeight="1">
      <c r="A82" s="47"/>
      <c r="B82" s="47"/>
      <c r="C82" s="47"/>
    </row>
    <row r="83" ht="15.75" customHeight="1">
      <c r="A83" s="47"/>
      <c r="B83" s="47"/>
      <c r="C83" s="47"/>
    </row>
    <row r="84" ht="15.75" customHeight="1">
      <c r="A84" s="47"/>
      <c r="B84" s="47"/>
      <c r="C84" s="47"/>
    </row>
    <row r="85" ht="15.75" customHeight="1">
      <c r="A85" s="47"/>
      <c r="B85" s="47"/>
      <c r="C85" s="47"/>
    </row>
    <row r="86" ht="15.75" customHeight="1">
      <c r="A86" s="47"/>
      <c r="B86" s="47"/>
      <c r="C86" s="47"/>
    </row>
    <row r="87" ht="15.75" customHeight="1">
      <c r="A87" s="47"/>
      <c r="B87" s="47"/>
      <c r="C87" s="47"/>
    </row>
    <row r="88" ht="15.75" customHeight="1">
      <c r="A88" s="47"/>
      <c r="B88" s="47"/>
      <c r="C88" s="47"/>
    </row>
    <row r="89" ht="15.75" customHeight="1">
      <c r="A89" s="47"/>
      <c r="B89" s="47"/>
      <c r="C89" s="47"/>
    </row>
    <row r="90" ht="15.75" customHeight="1">
      <c r="A90" s="47"/>
      <c r="B90" s="47"/>
      <c r="C90" s="47"/>
    </row>
    <row r="91" ht="15.75" customHeight="1">
      <c r="A91" s="47"/>
      <c r="B91" s="47"/>
      <c r="C91" s="47"/>
    </row>
    <row r="92" ht="15.75" customHeight="1">
      <c r="A92" s="47"/>
      <c r="B92" s="47"/>
      <c r="C92" s="47"/>
    </row>
    <row r="93" ht="15.75" customHeight="1">
      <c r="A93" s="47"/>
      <c r="B93" s="47"/>
      <c r="C93" s="47"/>
    </row>
    <row r="94" ht="15.75" customHeight="1">
      <c r="A94" s="47"/>
      <c r="B94" s="47"/>
      <c r="C94" s="47"/>
    </row>
    <row r="95" ht="15.75" customHeight="1">
      <c r="A95" s="47"/>
      <c r="B95" s="47"/>
      <c r="C95" s="47"/>
    </row>
    <row r="96" ht="15.75" customHeight="1">
      <c r="A96" s="47"/>
      <c r="B96" s="47"/>
      <c r="C96" s="47"/>
    </row>
    <row r="97" ht="15.75" customHeight="1">
      <c r="A97" s="47"/>
      <c r="B97" s="47"/>
      <c r="C97" s="47"/>
    </row>
    <row r="98" ht="15.75" customHeight="1">
      <c r="A98" s="47"/>
      <c r="B98" s="47"/>
      <c r="C98" s="47"/>
    </row>
    <row r="99" ht="15.75" customHeight="1">
      <c r="A99" s="47"/>
      <c r="B99" s="47"/>
      <c r="C99" s="47"/>
    </row>
    <row r="100" ht="15.75" customHeight="1">
      <c r="A100" s="47"/>
      <c r="B100" s="47"/>
      <c r="C100" s="47"/>
    </row>
    <row r="101" ht="15.75" customHeight="1">
      <c r="A101" s="47"/>
      <c r="B101" s="47"/>
      <c r="C101" s="47"/>
    </row>
    <row r="102" ht="15.75" customHeight="1">
      <c r="A102" s="47"/>
      <c r="B102" s="47"/>
      <c r="C102" s="47"/>
    </row>
    <row r="103" ht="15.75" customHeight="1">
      <c r="A103" s="47"/>
      <c r="B103" s="47"/>
      <c r="C103" s="47"/>
    </row>
    <row r="104" ht="15.75" customHeight="1">
      <c r="A104" s="47"/>
      <c r="B104" s="47"/>
      <c r="C104" s="47"/>
    </row>
    <row r="105" ht="15.75" customHeight="1">
      <c r="A105" s="47"/>
      <c r="B105" s="47"/>
      <c r="C105" s="47"/>
    </row>
    <row r="106" ht="15.75" customHeight="1">
      <c r="A106" s="47"/>
      <c r="B106" s="47"/>
      <c r="C106" s="47"/>
    </row>
    <row r="107" ht="15.75" customHeight="1">
      <c r="A107" s="47"/>
      <c r="B107" s="47"/>
      <c r="C107" s="47"/>
    </row>
    <row r="108" ht="15.75" customHeight="1">
      <c r="A108" s="47"/>
      <c r="B108" s="47"/>
      <c r="C108" s="47"/>
    </row>
    <row r="109" ht="15.75" customHeight="1">
      <c r="A109" s="47"/>
      <c r="B109" s="47"/>
      <c r="C109" s="47"/>
    </row>
    <row r="110" ht="15.75" customHeight="1">
      <c r="A110" s="47"/>
      <c r="B110" s="47"/>
      <c r="C110" s="47"/>
    </row>
    <row r="111" ht="15.75" customHeight="1">
      <c r="A111" s="47"/>
      <c r="B111" s="47"/>
      <c r="C111" s="47"/>
    </row>
    <row r="112" ht="15.75" customHeight="1">
      <c r="A112" s="47"/>
      <c r="B112" s="47"/>
      <c r="C112" s="47"/>
    </row>
    <row r="113" ht="15.75" customHeight="1">
      <c r="A113" s="47"/>
      <c r="B113" s="47"/>
      <c r="C113" s="47"/>
    </row>
    <row r="114" ht="15.75" customHeight="1">
      <c r="A114" s="47"/>
      <c r="B114" s="47"/>
      <c r="C114" s="47"/>
    </row>
    <row r="115" ht="15.75" customHeight="1">
      <c r="A115" s="47"/>
      <c r="B115" s="47"/>
      <c r="C115" s="47"/>
    </row>
    <row r="116" ht="15.75" customHeight="1">
      <c r="A116" s="47"/>
      <c r="B116" s="47"/>
      <c r="C116" s="47"/>
    </row>
    <row r="117" ht="15.75" customHeight="1">
      <c r="A117" s="47"/>
      <c r="B117" s="47"/>
      <c r="C117" s="47"/>
    </row>
    <row r="118" ht="15.75" customHeight="1">
      <c r="A118" s="47"/>
      <c r="B118" s="47"/>
      <c r="C118" s="47"/>
    </row>
    <row r="119" ht="15.75" customHeight="1">
      <c r="A119" s="47"/>
      <c r="B119" s="47"/>
      <c r="C119" s="47"/>
    </row>
    <row r="120" ht="15.75" customHeight="1">
      <c r="A120" s="47"/>
      <c r="B120" s="47"/>
      <c r="C120" s="47"/>
    </row>
    <row r="121" ht="15.75" customHeight="1">
      <c r="A121" s="47"/>
      <c r="B121" s="47"/>
      <c r="C121" s="47"/>
    </row>
    <row r="122" ht="15.75" customHeight="1">
      <c r="A122" s="47"/>
      <c r="B122" s="47"/>
      <c r="C122" s="47"/>
    </row>
    <row r="123" ht="15.75" customHeight="1">
      <c r="A123" s="47"/>
      <c r="B123" s="47"/>
      <c r="C123" s="47"/>
    </row>
    <row r="124" ht="15.75" customHeight="1">
      <c r="A124" s="47"/>
      <c r="B124" s="47"/>
      <c r="C124" s="47"/>
    </row>
    <row r="125" ht="15.75" customHeight="1">
      <c r="A125" s="47"/>
      <c r="B125" s="47"/>
      <c r="C125" s="47"/>
    </row>
    <row r="126" ht="15.75" customHeight="1">
      <c r="A126" s="47"/>
      <c r="B126" s="47"/>
      <c r="C126" s="47"/>
    </row>
    <row r="127" ht="15.75" customHeight="1">
      <c r="A127" s="47"/>
      <c r="B127" s="47"/>
      <c r="C127" s="47"/>
    </row>
    <row r="128" ht="15.75" customHeight="1">
      <c r="A128" s="47"/>
      <c r="B128" s="47"/>
      <c r="C128" s="47"/>
    </row>
    <row r="129" ht="15.75" customHeight="1">
      <c r="A129" s="47"/>
      <c r="B129" s="47"/>
      <c r="C129" s="47"/>
    </row>
    <row r="130" ht="15.75" customHeight="1">
      <c r="A130" s="47"/>
      <c r="B130" s="47"/>
      <c r="C130" s="47"/>
    </row>
    <row r="131" ht="15.75" customHeight="1">
      <c r="A131" s="47"/>
      <c r="B131" s="47"/>
      <c r="C131" s="47"/>
    </row>
    <row r="132" ht="15.75" customHeight="1">
      <c r="A132" s="47"/>
      <c r="B132" s="47"/>
      <c r="C132" s="47"/>
    </row>
    <row r="133" ht="15.75" customHeight="1">
      <c r="A133" s="47"/>
      <c r="B133" s="47"/>
      <c r="C133" s="47"/>
    </row>
    <row r="134" ht="15.75" customHeight="1">
      <c r="A134" s="47"/>
      <c r="B134" s="47"/>
      <c r="C134" s="47"/>
    </row>
    <row r="135" ht="15.75" customHeight="1">
      <c r="A135" s="47"/>
      <c r="B135" s="47"/>
      <c r="C135" s="47"/>
    </row>
    <row r="136" ht="15.75" customHeight="1">
      <c r="A136" s="47"/>
      <c r="B136" s="47"/>
      <c r="C136" s="47"/>
    </row>
    <row r="137" ht="15.75" customHeight="1">
      <c r="A137" s="47"/>
      <c r="B137" s="47"/>
      <c r="C137" s="47"/>
    </row>
    <row r="138" ht="15.75" customHeight="1">
      <c r="A138" s="47"/>
      <c r="B138" s="47"/>
      <c r="C138" s="47"/>
    </row>
    <row r="139" ht="15.75" customHeight="1">
      <c r="A139" s="47"/>
      <c r="B139" s="47"/>
      <c r="C139" s="47"/>
    </row>
    <row r="140" ht="15.75" customHeight="1">
      <c r="A140" s="47"/>
      <c r="B140" s="47"/>
      <c r="C140" s="47"/>
    </row>
    <row r="141" ht="15.75" customHeight="1">
      <c r="A141" s="47"/>
      <c r="B141" s="47"/>
      <c r="C141" s="47"/>
    </row>
    <row r="142" ht="15.75" customHeight="1">
      <c r="A142" s="47"/>
      <c r="B142" s="47"/>
      <c r="C142" s="47"/>
    </row>
    <row r="143" ht="15.75" customHeight="1">
      <c r="A143" s="47"/>
      <c r="B143" s="47"/>
      <c r="C143" s="47"/>
    </row>
    <row r="144" ht="15.75" customHeight="1">
      <c r="A144" s="47"/>
      <c r="B144" s="47"/>
      <c r="C144" s="47"/>
    </row>
    <row r="145" ht="15.75" customHeight="1">
      <c r="A145" s="47"/>
      <c r="B145" s="47"/>
      <c r="C145" s="47"/>
    </row>
    <row r="146" ht="15.75" customHeight="1">
      <c r="A146" s="47"/>
      <c r="B146" s="47"/>
      <c r="C146" s="47"/>
    </row>
    <row r="147" ht="15.75" customHeight="1">
      <c r="A147" s="47"/>
      <c r="B147" s="47"/>
      <c r="C147" s="47"/>
    </row>
    <row r="148" ht="15.75" customHeight="1">
      <c r="A148" s="47"/>
      <c r="B148" s="47"/>
      <c r="C148" s="47"/>
    </row>
    <row r="149" ht="15.75" customHeight="1">
      <c r="A149" s="47"/>
      <c r="B149" s="47"/>
      <c r="C149" s="47"/>
    </row>
    <row r="150" ht="15.75" customHeight="1">
      <c r="A150" s="47"/>
      <c r="B150" s="47"/>
      <c r="C150" s="47"/>
    </row>
    <row r="151" ht="15.75" customHeight="1">
      <c r="A151" s="47"/>
      <c r="B151" s="47"/>
      <c r="C151" s="47"/>
    </row>
    <row r="152" ht="15.75" customHeight="1">
      <c r="A152" s="47"/>
      <c r="B152" s="47"/>
      <c r="C152" s="47"/>
    </row>
    <row r="153" ht="15.75" customHeight="1">
      <c r="A153" s="47"/>
      <c r="B153" s="47"/>
      <c r="C153" s="47"/>
    </row>
    <row r="154" ht="15.75" customHeight="1">
      <c r="A154" s="47"/>
      <c r="B154" s="47"/>
      <c r="C154" s="47"/>
    </row>
    <row r="155" ht="15.75" customHeight="1">
      <c r="A155" s="47"/>
      <c r="B155" s="47"/>
      <c r="C155" s="47"/>
    </row>
    <row r="156" ht="15.75" customHeight="1">
      <c r="A156" s="47"/>
      <c r="B156" s="47"/>
      <c r="C156" s="47"/>
    </row>
    <row r="157" ht="15.75" customHeight="1">
      <c r="A157" s="47"/>
      <c r="B157" s="47"/>
      <c r="C157" s="47"/>
    </row>
    <row r="158" ht="15.75" customHeight="1">
      <c r="A158" s="47"/>
      <c r="B158" s="47"/>
      <c r="C158" s="47"/>
    </row>
    <row r="159" ht="15.75" customHeight="1">
      <c r="A159" s="47"/>
      <c r="B159" s="47"/>
      <c r="C159" s="47"/>
    </row>
    <row r="160" ht="15.75" customHeight="1">
      <c r="A160" s="47"/>
      <c r="B160" s="47"/>
      <c r="C160" s="47"/>
    </row>
    <row r="161" ht="15.75" customHeight="1">
      <c r="A161" s="47"/>
      <c r="B161" s="47"/>
      <c r="C161" s="47"/>
    </row>
    <row r="162" ht="15.75" customHeight="1">
      <c r="A162" s="47"/>
      <c r="B162" s="47"/>
      <c r="C162" s="47"/>
    </row>
    <row r="163" ht="15.75" customHeight="1">
      <c r="A163" s="47"/>
      <c r="B163" s="47"/>
      <c r="C163" s="47"/>
    </row>
    <row r="164" ht="15.75" customHeight="1">
      <c r="A164" s="47"/>
      <c r="B164" s="47"/>
      <c r="C164" s="47"/>
    </row>
    <row r="165" ht="15.75" customHeight="1">
      <c r="A165" s="47"/>
      <c r="B165" s="47"/>
      <c r="C165" s="47"/>
    </row>
    <row r="166" ht="15.75" customHeight="1">
      <c r="A166" s="47"/>
      <c r="B166" s="47"/>
      <c r="C166" s="47"/>
    </row>
    <row r="167" ht="15.75" customHeight="1">
      <c r="A167" s="47"/>
      <c r="B167" s="47"/>
      <c r="C167" s="47"/>
    </row>
    <row r="168" ht="15.75" customHeight="1">
      <c r="A168" s="47"/>
      <c r="B168" s="47"/>
      <c r="C168" s="47"/>
    </row>
    <row r="169" ht="15.75" customHeight="1">
      <c r="A169" s="47"/>
      <c r="B169" s="47"/>
      <c r="C169" s="47"/>
    </row>
    <row r="170" ht="15.75" customHeight="1">
      <c r="A170" s="47"/>
      <c r="B170" s="47"/>
      <c r="C170" s="47"/>
    </row>
    <row r="171" ht="15.75" customHeight="1">
      <c r="A171" s="47"/>
      <c r="B171" s="47"/>
      <c r="C171" s="47"/>
    </row>
    <row r="172" ht="15.75" customHeight="1">
      <c r="A172" s="47"/>
      <c r="B172" s="47"/>
      <c r="C172" s="47"/>
    </row>
    <row r="173" ht="15.75" customHeight="1">
      <c r="A173" s="47"/>
      <c r="B173" s="47"/>
      <c r="C173" s="47"/>
    </row>
    <row r="174" ht="15.75" customHeight="1">
      <c r="A174" s="47"/>
      <c r="B174" s="47"/>
      <c r="C174" s="47"/>
    </row>
    <row r="175" ht="15.75" customHeight="1">
      <c r="A175" s="47"/>
      <c r="B175" s="47"/>
      <c r="C175" s="47"/>
    </row>
    <row r="176" ht="15.75" customHeight="1">
      <c r="A176" s="47"/>
      <c r="B176" s="47"/>
      <c r="C176" s="47"/>
    </row>
    <row r="177" ht="15.75" customHeight="1">
      <c r="A177" s="47"/>
      <c r="B177" s="47"/>
      <c r="C177" s="47"/>
    </row>
    <row r="178" ht="15.75" customHeight="1">
      <c r="A178" s="47"/>
      <c r="B178" s="47"/>
      <c r="C178" s="47"/>
    </row>
    <row r="179" ht="15.75" customHeight="1">
      <c r="A179" s="47"/>
      <c r="B179" s="47"/>
      <c r="C179" s="47"/>
    </row>
    <row r="180" ht="15.75" customHeight="1">
      <c r="A180" s="47"/>
      <c r="B180" s="47"/>
      <c r="C180" s="47"/>
    </row>
    <row r="181" ht="15.75" customHeight="1">
      <c r="A181" s="47"/>
      <c r="B181" s="47"/>
      <c r="C181" s="47"/>
    </row>
    <row r="182" ht="15.75" customHeight="1">
      <c r="A182" s="47"/>
      <c r="B182" s="47"/>
      <c r="C182" s="47"/>
    </row>
    <row r="183" ht="15.75" customHeight="1">
      <c r="A183" s="47"/>
      <c r="B183" s="47"/>
      <c r="C183" s="47"/>
    </row>
    <row r="184" ht="15.75" customHeight="1">
      <c r="A184" s="47"/>
      <c r="B184" s="47"/>
      <c r="C184" s="47"/>
    </row>
    <row r="185" ht="15.75" customHeight="1">
      <c r="A185" s="47"/>
      <c r="B185" s="47"/>
      <c r="C185" s="47"/>
    </row>
    <row r="186" ht="15.75" customHeight="1">
      <c r="A186" s="47"/>
      <c r="B186" s="47"/>
      <c r="C186" s="47"/>
    </row>
    <row r="187" ht="15.75" customHeight="1">
      <c r="A187" s="47"/>
      <c r="B187" s="47"/>
      <c r="C187" s="47"/>
    </row>
    <row r="188" ht="15.75" customHeight="1">
      <c r="A188" s="47"/>
      <c r="B188" s="47"/>
      <c r="C188" s="47"/>
    </row>
    <row r="189" ht="15.75" customHeight="1">
      <c r="A189" s="47"/>
      <c r="B189" s="47"/>
      <c r="C189" s="47"/>
    </row>
    <row r="190" ht="15.75" customHeight="1">
      <c r="A190" s="47"/>
      <c r="B190" s="47"/>
      <c r="C190" s="47"/>
    </row>
    <row r="191" ht="15.75" customHeight="1">
      <c r="A191" s="47"/>
      <c r="B191" s="47"/>
      <c r="C191" s="47"/>
    </row>
    <row r="192" ht="15.75" customHeight="1">
      <c r="A192" s="47"/>
      <c r="B192" s="47"/>
      <c r="C192" s="47"/>
    </row>
    <row r="193" ht="15.75" customHeight="1">
      <c r="A193" s="47"/>
      <c r="B193" s="47"/>
      <c r="C193" s="47"/>
    </row>
    <row r="194" ht="15.75" customHeight="1">
      <c r="A194" s="47"/>
      <c r="B194" s="47"/>
      <c r="C194" s="47"/>
    </row>
    <row r="195" ht="15.75" customHeight="1">
      <c r="A195" s="47"/>
      <c r="B195" s="47"/>
      <c r="C195" s="47"/>
    </row>
    <row r="196" ht="15.75" customHeight="1">
      <c r="A196" s="47"/>
      <c r="B196" s="47"/>
      <c r="C196" s="47"/>
    </row>
    <row r="197" ht="15.75" customHeight="1">
      <c r="A197" s="47"/>
      <c r="B197" s="47"/>
      <c r="C197" s="47"/>
    </row>
    <row r="198" ht="15.75" customHeight="1">
      <c r="A198" s="47"/>
      <c r="B198" s="47"/>
      <c r="C198" s="47"/>
    </row>
    <row r="199" ht="15.75" customHeight="1">
      <c r="A199" s="47"/>
      <c r="B199" s="47"/>
      <c r="C199" s="47"/>
    </row>
    <row r="200" ht="15.75" customHeight="1">
      <c r="A200" s="47"/>
      <c r="B200" s="47"/>
      <c r="C200" s="47"/>
    </row>
    <row r="201" ht="15.75" customHeight="1">
      <c r="A201" s="47"/>
      <c r="B201" s="47"/>
      <c r="C201" s="47"/>
    </row>
    <row r="202" ht="15.75" customHeight="1">
      <c r="A202" s="47"/>
      <c r="B202" s="47"/>
      <c r="C202" s="47"/>
    </row>
    <row r="203" ht="15.75" customHeight="1">
      <c r="A203" s="47"/>
      <c r="B203" s="47"/>
      <c r="C203" s="47"/>
    </row>
    <row r="204" ht="15.75" customHeight="1">
      <c r="A204" s="47"/>
      <c r="B204" s="47"/>
      <c r="C204" s="47"/>
    </row>
    <row r="205" ht="15.75" customHeight="1">
      <c r="A205" s="47"/>
      <c r="B205" s="47"/>
      <c r="C205" s="47"/>
    </row>
    <row r="206" ht="15.75" customHeight="1">
      <c r="A206" s="47"/>
      <c r="B206" s="47"/>
      <c r="C206" s="47"/>
    </row>
    <row r="207" ht="15.75" customHeight="1">
      <c r="A207" s="47"/>
      <c r="B207" s="47"/>
      <c r="C207" s="47"/>
    </row>
    <row r="208" ht="15.75" customHeight="1">
      <c r="A208" s="47"/>
      <c r="B208" s="47"/>
      <c r="C208" s="47"/>
    </row>
    <row r="209" ht="15.75" customHeight="1">
      <c r="A209" s="47"/>
      <c r="B209" s="47"/>
      <c r="C209" s="47"/>
    </row>
    <row r="210" ht="15.75" customHeight="1">
      <c r="A210" s="47"/>
      <c r="B210" s="47"/>
      <c r="C210" s="47"/>
    </row>
    <row r="211" ht="15.75" customHeight="1">
      <c r="A211" s="47"/>
      <c r="B211" s="47"/>
      <c r="C211" s="47"/>
    </row>
    <row r="212" ht="15.75" customHeight="1">
      <c r="A212" s="47"/>
      <c r="B212" s="47"/>
      <c r="C212" s="47"/>
    </row>
    <row r="213" ht="15.75" customHeight="1">
      <c r="A213" s="47"/>
      <c r="B213" s="47"/>
      <c r="C213" s="47"/>
    </row>
    <row r="214" ht="15.75" customHeight="1">
      <c r="A214" s="47"/>
      <c r="B214" s="47"/>
      <c r="C214" s="47"/>
    </row>
    <row r="215" ht="15.75" customHeight="1">
      <c r="A215" s="47"/>
      <c r="B215" s="47"/>
      <c r="C215" s="47"/>
    </row>
    <row r="216" ht="15.75" customHeight="1">
      <c r="A216" s="47"/>
      <c r="B216" s="47"/>
      <c r="C216" s="47"/>
    </row>
    <row r="217" ht="15.75" customHeight="1">
      <c r="A217" s="47"/>
      <c r="B217" s="47"/>
      <c r="C217" s="47"/>
    </row>
    <row r="218" ht="15.75" customHeight="1">
      <c r="A218" s="47"/>
      <c r="B218" s="47"/>
      <c r="C218" s="47"/>
    </row>
    <row r="219" ht="15.75" customHeight="1">
      <c r="A219" s="47"/>
      <c r="B219" s="47"/>
      <c r="C219" s="47"/>
    </row>
    <row r="220" ht="15.75" customHeight="1">
      <c r="A220" s="47"/>
      <c r="B220" s="47"/>
      <c r="C220" s="47"/>
    </row>
    <row r="221" ht="15.75" customHeight="1">
      <c r="A221" s="47"/>
      <c r="B221" s="47"/>
      <c r="C221" s="47"/>
    </row>
    <row r="222" ht="15.75" customHeight="1">
      <c r="A222" s="47"/>
      <c r="B222" s="47"/>
      <c r="C222" s="47"/>
    </row>
    <row r="223" ht="15.75" customHeight="1">
      <c r="A223" s="47"/>
      <c r="B223" s="47"/>
      <c r="C223" s="47"/>
    </row>
    <row r="224" ht="15.75" customHeight="1">
      <c r="A224" s="47"/>
      <c r="B224" s="47"/>
      <c r="C224" s="47"/>
    </row>
    <row r="225" ht="15.75" customHeight="1">
      <c r="A225" s="47"/>
      <c r="B225" s="47"/>
      <c r="C225" s="47"/>
    </row>
    <row r="226" ht="15.75" customHeight="1">
      <c r="A226" s="47"/>
      <c r="B226" s="47"/>
      <c r="C226" s="47"/>
    </row>
    <row r="227" ht="15.75" customHeight="1">
      <c r="A227" s="47"/>
      <c r="B227" s="47"/>
      <c r="C227" s="47"/>
    </row>
    <row r="228" ht="15.75" customHeight="1">
      <c r="A228" s="47"/>
      <c r="B228" s="47"/>
      <c r="C228" s="47"/>
    </row>
    <row r="229" ht="15.75" customHeight="1">
      <c r="A229" s="47"/>
      <c r="B229" s="47"/>
      <c r="C229" s="47"/>
    </row>
    <row r="230" ht="15.75" customHeight="1">
      <c r="A230" s="47"/>
      <c r="B230" s="47"/>
      <c r="C230" s="47"/>
    </row>
    <row r="231" ht="15.75" customHeight="1">
      <c r="A231" s="47"/>
      <c r="B231" s="47"/>
      <c r="C231" s="47"/>
    </row>
    <row r="232" ht="15.75" customHeight="1">
      <c r="A232" s="47"/>
      <c r="B232" s="47"/>
      <c r="C232" s="47"/>
    </row>
    <row r="233" ht="15.75" customHeight="1">
      <c r="A233" s="47"/>
      <c r="B233" s="47"/>
      <c r="C233" s="47"/>
    </row>
    <row r="234" ht="15.75" customHeight="1">
      <c r="A234" s="47"/>
      <c r="B234" s="47"/>
      <c r="C234" s="47"/>
    </row>
    <row r="235" ht="15.75" customHeight="1">
      <c r="A235" s="47"/>
      <c r="B235" s="47"/>
      <c r="C235" s="47"/>
    </row>
    <row r="236" ht="15.75" customHeight="1">
      <c r="A236" s="47"/>
      <c r="B236" s="47"/>
      <c r="C236" s="47"/>
    </row>
    <row r="237" ht="15.75" customHeight="1">
      <c r="A237" s="47"/>
      <c r="B237" s="47"/>
      <c r="C237" s="47"/>
    </row>
    <row r="238" ht="15.75" customHeight="1">
      <c r="A238" s="47"/>
      <c r="B238" s="47"/>
      <c r="C238" s="47"/>
    </row>
    <row r="239" ht="15.75" customHeight="1">
      <c r="A239" s="47"/>
      <c r="B239" s="47"/>
      <c r="C239" s="47"/>
    </row>
    <row r="240" ht="15.75" customHeight="1">
      <c r="A240" s="47"/>
      <c r="B240" s="47"/>
      <c r="C240" s="47"/>
    </row>
    <row r="241" ht="15.75" customHeight="1">
      <c r="A241" s="47"/>
      <c r="B241" s="47"/>
      <c r="C241" s="47"/>
    </row>
    <row r="242" ht="15.75" customHeight="1">
      <c r="A242" s="47"/>
      <c r="B242" s="47"/>
      <c r="C242" s="47"/>
    </row>
    <row r="243" ht="15.75" customHeight="1">
      <c r="A243" s="47"/>
      <c r="B243" s="47"/>
      <c r="C243" s="47"/>
    </row>
    <row r="244" ht="15.75" customHeight="1">
      <c r="A244" s="47"/>
      <c r="B244" s="47"/>
      <c r="C244" s="47"/>
    </row>
    <row r="245" ht="15.75" customHeight="1">
      <c r="A245" s="47"/>
      <c r="B245" s="47"/>
      <c r="C245" s="47"/>
    </row>
    <row r="246" ht="15.75" customHeight="1">
      <c r="A246" s="47"/>
      <c r="B246" s="47"/>
      <c r="C246" s="47"/>
    </row>
    <row r="247" ht="15.75" customHeight="1">
      <c r="A247" s="47"/>
      <c r="B247" s="47"/>
      <c r="C247" s="47"/>
    </row>
    <row r="248" ht="15.75" customHeight="1">
      <c r="A248" s="47"/>
      <c r="B248" s="47"/>
      <c r="C248" s="47"/>
    </row>
    <row r="249" ht="15.75" customHeight="1">
      <c r="A249" s="47"/>
      <c r="B249" s="47"/>
      <c r="C249" s="47"/>
    </row>
    <row r="250" ht="15.75" customHeight="1">
      <c r="A250" s="47"/>
      <c r="B250" s="47"/>
      <c r="C250" s="47"/>
    </row>
    <row r="251" ht="15.75" customHeight="1">
      <c r="A251" s="47"/>
      <c r="B251" s="47"/>
      <c r="C251" s="47"/>
    </row>
    <row r="252" ht="15.75" customHeight="1">
      <c r="A252" s="47"/>
      <c r="B252" s="47"/>
      <c r="C252" s="47"/>
    </row>
    <row r="253" ht="15.75" customHeight="1">
      <c r="A253" s="47"/>
      <c r="B253" s="47"/>
      <c r="C253" s="47"/>
    </row>
    <row r="254" ht="15.75" customHeight="1">
      <c r="A254" s="47"/>
      <c r="B254" s="47"/>
      <c r="C254" s="47"/>
    </row>
    <row r="255" ht="15.75" customHeight="1">
      <c r="A255" s="47"/>
      <c r="B255" s="47"/>
      <c r="C255" s="47"/>
    </row>
    <row r="256" ht="15.75" customHeight="1">
      <c r="A256" s="47"/>
      <c r="B256" s="47"/>
      <c r="C256" s="47"/>
    </row>
    <row r="257" ht="15.75" customHeight="1">
      <c r="A257" s="47"/>
      <c r="B257" s="47"/>
      <c r="C257" s="47"/>
    </row>
    <row r="258" ht="15.75" customHeight="1">
      <c r="A258" s="47"/>
      <c r="B258" s="47"/>
      <c r="C258" s="47"/>
    </row>
    <row r="259" ht="15.75" customHeight="1">
      <c r="A259" s="47"/>
      <c r="B259" s="47"/>
      <c r="C259" s="47"/>
    </row>
    <row r="260" ht="15.75" customHeight="1">
      <c r="A260" s="47"/>
      <c r="B260" s="47"/>
      <c r="C260" s="47"/>
    </row>
    <row r="261" ht="15.75" customHeight="1">
      <c r="A261" s="47"/>
      <c r="B261" s="47"/>
      <c r="C261" s="47"/>
    </row>
    <row r="262" ht="15.75" customHeight="1">
      <c r="A262" s="47"/>
      <c r="B262" s="47"/>
      <c r="C262" s="47"/>
    </row>
    <row r="263" ht="15.75" customHeight="1">
      <c r="A263" s="47"/>
      <c r="B263" s="47"/>
      <c r="C263" s="47"/>
    </row>
    <row r="264" ht="15.75" customHeight="1">
      <c r="A264" s="47"/>
      <c r="B264" s="47"/>
      <c r="C264" s="47"/>
    </row>
    <row r="265" ht="15.75" customHeight="1">
      <c r="A265" s="47"/>
      <c r="B265" s="47"/>
      <c r="C265" s="47"/>
    </row>
    <row r="266" ht="15.75" customHeight="1">
      <c r="A266" s="47"/>
      <c r="B266" s="47"/>
      <c r="C266" s="47"/>
    </row>
    <row r="267" ht="15.75" customHeight="1">
      <c r="A267" s="47"/>
      <c r="B267" s="47"/>
      <c r="C267" s="47"/>
    </row>
    <row r="268" ht="15.75" customHeight="1">
      <c r="A268" s="47"/>
      <c r="B268" s="47"/>
      <c r="C268" s="47"/>
    </row>
    <row r="269" ht="15.75" customHeight="1">
      <c r="A269" s="47"/>
      <c r="B269" s="47"/>
      <c r="C269" s="47"/>
    </row>
    <row r="270" ht="15.75" customHeight="1">
      <c r="A270" s="47"/>
      <c r="B270" s="47"/>
      <c r="C270" s="47"/>
    </row>
    <row r="271" ht="15.75" customHeight="1">
      <c r="A271" s="47"/>
      <c r="B271" s="47"/>
      <c r="C271" s="47"/>
    </row>
    <row r="272" ht="15.75" customHeight="1">
      <c r="A272" s="47"/>
      <c r="B272" s="47"/>
      <c r="C272" s="47"/>
    </row>
    <row r="273" ht="15.75" customHeight="1">
      <c r="A273" s="47"/>
      <c r="B273" s="47"/>
      <c r="C273" s="47"/>
    </row>
    <row r="274" ht="15.75" customHeight="1">
      <c r="A274" s="47"/>
      <c r="B274" s="47"/>
      <c r="C274" s="47"/>
    </row>
    <row r="275" ht="15.75" customHeight="1">
      <c r="A275" s="47"/>
      <c r="B275" s="47"/>
      <c r="C275" s="47"/>
    </row>
    <row r="276" ht="15.75" customHeight="1">
      <c r="A276" s="47"/>
      <c r="B276" s="47"/>
      <c r="C276" s="47"/>
    </row>
    <row r="277" ht="15.75" customHeight="1">
      <c r="A277" s="47"/>
      <c r="B277" s="47"/>
      <c r="C277" s="47"/>
    </row>
    <row r="278" ht="15.75" customHeight="1">
      <c r="A278" s="47"/>
      <c r="B278" s="47"/>
      <c r="C278" s="47"/>
    </row>
    <row r="279" ht="15.75" customHeight="1">
      <c r="A279" s="47"/>
      <c r="B279" s="47"/>
      <c r="C279" s="47"/>
    </row>
    <row r="280" ht="15.75" customHeight="1">
      <c r="A280" s="47"/>
      <c r="B280" s="47"/>
      <c r="C280" s="47"/>
    </row>
    <row r="281" ht="15.75" customHeight="1">
      <c r="A281" s="47"/>
      <c r="B281" s="47"/>
      <c r="C281" s="47"/>
    </row>
    <row r="282" ht="15.75" customHeight="1">
      <c r="A282" s="47"/>
      <c r="B282" s="47"/>
      <c r="C282" s="47"/>
    </row>
    <row r="283" ht="15.75" customHeight="1">
      <c r="A283" s="47"/>
      <c r="B283" s="47"/>
      <c r="C283" s="47"/>
    </row>
    <row r="284" ht="15.75" customHeight="1">
      <c r="A284" s="47"/>
      <c r="B284" s="47"/>
      <c r="C284" s="47"/>
    </row>
    <row r="285" ht="15.75" customHeight="1">
      <c r="A285" s="47"/>
      <c r="B285" s="47"/>
      <c r="C285" s="47"/>
    </row>
    <row r="286" ht="15.75" customHeight="1">
      <c r="A286" s="47"/>
      <c r="B286" s="47"/>
      <c r="C286" s="47"/>
    </row>
    <row r="287" ht="15.75" customHeight="1">
      <c r="A287" s="47"/>
      <c r="B287" s="47"/>
      <c r="C287" s="47"/>
    </row>
    <row r="288" ht="15.75" customHeight="1">
      <c r="A288" s="47"/>
      <c r="B288" s="47"/>
      <c r="C288" s="47"/>
    </row>
    <row r="289" ht="15.75" customHeight="1">
      <c r="A289" s="47"/>
      <c r="B289" s="47"/>
      <c r="C289" s="47"/>
    </row>
    <row r="290" ht="15.75" customHeight="1">
      <c r="A290" s="47"/>
      <c r="B290" s="47"/>
      <c r="C290" s="47"/>
    </row>
    <row r="291" ht="15.75" customHeight="1">
      <c r="A291" s="47"/>
      <c r="B291" s="47"/>
      <c r="C291" s="47"/>
    </row>
    <row r="292" ht="15.75" customHeight="1">
      <c r="A292" s="47"/>
      <c r="B292" s="47"/>
      <c r="C292" s="47"/>
    </row>
    <row r="293" ht="15.75" customHeight="1">
      <c r="A293" s="47"/>
      <c r="B293" s="47"/>
      <c r="C293" s="47"/>
    </row>
    <row r="294" ht="15.75" customHeight="1">
      <c r="A294" s="47"/>
      <c r="B294" s="47"/>
      <c r="C294" s="47"/>
    </row>
    <row r="295" ht="15.75" customHeight="1">
      <c r="A295" s="47"/>
      <c r="B295" s="47"/>
      <c r="C295" s="47"/>
    </row>
    <row r="296" ht="15.75" customHeight="1">
      <c r="A296" s="47"/>
      <c r="B296" s="47"/>
      <c r="C296" s="47"/>
    </row>
    <row r="297" ht="15.75" customHeight="1">
      <c r="A297" s="47"/>
      <c r="B297" s="47"/>
      <c r="C297" s="47"/>
    </row>
    <row r="298" ht="15.75" customHeight="1">
      <c r="A298" s="47"/>
      <c r="B298" s="47"/>
      <c r="C298" s="47"/>
    </row>
    <row r="299" ht="15.75" customHeight="1">
      <c r="A299" s="47"/>
      <c r="B299" s="47"/>
      <c r="C299" s="47"/>
    </row>
    <row r="300" ht="15.75" customHeight="1">
      <c r="A300" s="47"/>
      <c r="B300" s="47"/>
      <c r="C300" s="47"/>
    </row>
    <row r="301" ht="15.75" customHeight="1">
      <c r="A301" s="47"/>
      <c r="B301" s="47"/>
      <c r="C301" s="47"/>
    </row>
    <row r="302" ht="15.75" customHeight="1">
      <c r="A302" s="47"/>
      <c r="B302" s="47"/>
      <c r="C302" s="47"/>
    </row>
    <row r="303" ht="15.75" customHeight="1">
      <c r="A303" s="47"/>
      <c r="B303" s="47"/>
      <c r="C303" s="47"/>
    </row>
    <row r="304" ht="15.75" customHeight="1">
      <c r="A304" s="47"/>
      <c r="B304" s="47"/>
      <c r="C304" s="47"/>
    </row>
    <row r="305" ht="15.75" customHeight="1">
      <c r="A305" s="47"/>
      <c r="B305" s="47"/>
      <c r="C305" s="47"/>
    </row>
    <row r="306" ht="15.75" customHeight="1">
      <c r="A306" s="47"/>
      <c r="B306" s="47"/>
      <c r="C306" s="47"/>
    </row>
    <row r="307" ht="15.75" customHeight="1">
      <c r="A307" s="47"/>
      <c r="B307" s="47"/>
      <c r="C307" s="47"/>
    </row>
    <row r="308" ht="15.75" customHeight="1">
      <c r="A308" s="47"/>
      <c r="B308" s="47"/>
      <c r="C308" s="47"/>
    </row>
    <row r="309" ht="15.75" customHeight="1">
      <c r="A309" s="47"/>
      <c r="B309" s="47"/>
      <c r="C309" s="47"/>
    </row>
    <row r="310" ht="15.75" customHeight="1">
      <c r="A310" s="47"/>
      <c r="B310" s="47"/>
      <c r="C310" s="47"/>
    </row>
    <row r="311" ht="15.75" customHeight="1">
      <c r="A311" s="47"/>
      <c r="B311" s="47"/>
      <c r="C311" s="47"/>
    </row>
    <row r="312" ht="15.75" customHeight="1">
      <c r="A312" s="47"/>
      <c r="B312" s="47"/>
      <c r="C312" s="47"/>
    </row>
    <row r="313" ht="15.75" customHeight="1">
      <c r="A313" s="47"/>
      <c r="B313" s="47"/>
      <c r="C313" s="47"/>
    </row>
    <row r="314" ht="15.75" customHeight="1">
      <c r="A314" s="47"/>
      <c r="B314" s="47"/>
      <c r="C314" s="47"/>
    </row>
    <row r="315" ht="15.75" customHeight="1">
      <c r="A315" s="47"/>
      <c r="B315" s="47"/>
      <c r="C315" s="47"/>
    </row>
    <row r="316" ht="15.75" customHeight="1">
      <c r="A316" s="47"/>
      <c r="B316" s="47"/>
      <c r="C316" s="47"/>
    </row>
    <row r="317" ht="15.75" customHeight="1">
      <c r="A317" s="47"/>
      <c r="B317" s="47"/>
      <c r="C317" s="47"/>
    </row>
    <row r="318" ht="15.75" customHeight="1">
      <c r="A318" s="47"/>
      <c r="B318" s="47"/>
      <c r="C318" s="47"/>
    </row>
    <row r="319" ht="15.75" customHeight="1">
      <c r="A319" s="47"/>
      <c r="B319" s="47"/>
      <c r="C319" s="47"/>
    </row>
    <row r="320" ht="15.75" customHeight="1">
      <c r="A320" s="47"/>
      <c r="B320" s="47"/>
      <c r="C320" s="47"/>
    </row>
    <row r="321" ht="15.75" customHeight="1">
      <c r="A321" s="47"/>
      <c r="B321" s="47"/>
      <c r="C321" s="47"/>
    </row>
    <row r="322" ht="15.75" customHeight="1">
      <c r="A322" s="47"/>
      <c r="B322" s="47"/>
      <c r="C322" s="47"/>
    </row>
    <row r="323" ht="15.75" customHeight="1">
      <c r="A323" s="47"/>
      <c r="B323" s="47"/>
      <c r="C323" s="47"/>
    </row>
    <row r="324" ht="15.75" customHeight="1">
      <c r="A324" s="47"/>
      <c r="B324" s="47"/>
      <c r="C324" s="47"/>
    </row>
    <row r="325" ht="15.75" customHeight="1">
      <c r="A325" s="47"/>
      <c r="B325" s="47"/>
      <c r="C325" s="47"/>
    </row>
    <row r="326" ht="15.75" customHeight="1">
      <c r="A326" s="47"/>
      <c r="B326" s="47"/>
      <c r="C326" s="47"/>
    </row>
    <row r="327" ht="15.75" customHeight="1">
      <c r="A327" s="47"/>
      <c r="B327" s="47"/>
      <c r="C327" s="47"/>
    </row>
    <row r="328" ht="15.75" customHeight="1">
      <c r="A328" s="47"/>
      <c r="B328" s="47"/>
      <c r="C328" s="47"/>
    </row>
    <row r="329" ht="15.75" customHeight="1">
      <c r="A329" s="47"/>
      <c r="B329" s="47"/>
      <c r="C329" s="47"/>
    </row>
    <row r="330" ht="15.75" customHeight="1">
      <c r="A330" s="47"/>
      <c r="B330" s="47"/>
      <c r="C330" s="47"/>
    </row>
    <row r="331" ht="15.75" customHeight="1">
      <c r="A331" s="47"/>
      <c r="B331" s="47"/>
      <c r="C331" s="47"/>
    </row>
    <row r="332" ht="15.75" customHeight="1">
      <c r="A332" s="47"/>
      <c r="B332" s="47"/>
      <c r="C332" s="47"/>
    </row>
    <row r="333" ht="15.75" customHeight="1">
      <c r="A333" s="47"/>
      <c r="B333" s="47"/>
      <c r="C333" s="47"/>
    </row>
    <row r="334" ht="15.75" customHeight="1">
      <c r="A334" s="47"/>
      <c r="B334" s="47"/>
      <c r="C334" s="47"/>
    </row>
    <row r="335" ht="15.75" customHeight="1">
      <c r="A335" s="47"/>
      <c r="B335" s="47"/>
      <c r="C335" s="47"/>
    </row>
    <row r="336" ht="15.75" customHeight="1">
      <c r="A336" s="47"/>
      <c r="B336" s="47"/>
      <c r="C336" s="47"/>
    </row>
    <row r="337" ht="15.75" customHeight="1">
      <c r="A337" s="47"/>
      <c r="B337" s="47"/>
      <c r="C337" s="47"/>
    </row>
    <row r="338" ht="15.75" customHeight="1">
      <c r="A338" s="47"/>
      <c r="B338" s="47"/>
      <c r="C338" s="47"/>
    </row>
    <row r="339" ht="15.75" customHeight="1">
      <c r="A339" s="47"/>
      <c r="B339" s="47"/>
      <c r="C339" s="47"/>
    </row>
    <row r="340" ht="15.75" customHeight="1">
      <c r="A340" s="47"/>
      <c r="B340" s="47"/>
      <c r="C340" s="47"/>
    </row>
    <row r="341" ht="15.75" customHeight="1">
      <c r="A341" s="47"/>
      <c r="B341" s="47"/>
      <c r="C341" s="47"/>
    </row>
    <row r="342" ht="15.75" customHeight="1">
      <c r="A342" s="47"/>
      <c r="B342" s="47"/>
      <c r="C342" s="47"/>
    </row>
    <row r="343" ht="15.75" customHeight="1">
      <c r="A343" s="47"/>
      <c r="B343" s="47"/>
      <c r="C343" s="47"/>
    </row>
    <row r="344" ht="15.75" customHeight="1">
      <c r="A344" s="47"/>
      <c r="B344" s="47"/>
      <c r="C344" s="47"/>
    </row>
    <row r="345" ht="15.75" customHeight="1">
      <c r="A345" s="47"/>
      <c r="B345" s="47"/>
      <c r="C345" s="47"/>
    </row>
    <row r="346" ht="15.75" customHeight="1">
      <c r="A346" s="47"/>
      <c r="B346" s="47"/>
      <c r="C346" s="47"/>
    </row>
    <row r="347" ht="15.75" customHeight="1">
      <c r="A347" s="47"/>
      <c r="B347" s="47"/>
      <c r="C347" s="47"/>
    </row>
    <row r="348" ht="15.75" customHeight="1">
      <c r="A348" s="47"/>
      <c r="B348" s="47"/>
      <c r="C348" s="47"/>
    </row>
    <row r="349" ht="15.75" customHeight="1">
      <c r="A349" s="47"/>
      <c r="B349" s="47"/>
      <c r="C349" s="47"/>
    </row>
    <row r="350" ht="15.75" customHeight="1">
      <c r="A350" s="47"/>
      <c r="B350" s="47"/>
      <c r="C350" s="47"/>
    </row>
    <row r="351" ht="15.75" customHeight="1">
      <c r="A351" s="47"/>
      <c r="B351" s="47"/>
      <c r="C351" s="47"/>
    </row>
    <row r="352" ht="15.75" customHeight="1">
      <c r="A352" s="47"/>
      <c r="B352" s="47"/>
      <c r="C352" s="47"/>
    </row>
    <row r="353" ht="15.75" customHeight="1">
      <c r="A353" s="47"/>
      <c r="B353" s="47"/>
      <c r="C353" s="47"/>
    </row>
    <row r="354" ht="15.75" customHeight="1">
      <c r="A354" s="47"/>
      <c r="B354" s="47"/>
      <c r="C354" s="47"/>
    </row>
    <row r="355" ht="15.75" customHeight="1">
      <c r="A355" s="47"/>
      <c r="B355" s="47"/>
      <c r="C355" s="47"/>
    </row>
    <row r="356" ht="15.75" customHeight="1">
      <c r="A356" s="47"/>
      <c r="B356" s="47"/>
      <c r="C356" s="47"/>
    </row>
    <row r="357" ht="15.75" customHeight="1">
      <c r="A357" s="47"/>
      <c r="B357" s="47"/>
      <c r="C357" s="47"/>
    </row>
    <row r="358" ht="15.75" customHeight="1">
      <c r="A358" s="47"/>
      <c r="B358" s="47"/>
      <c r="C358" s="47"/>
    </row>
    <row r="359" ht="15.75" customHeight="1">
      <c r="A359" s="47"/>
      <c r="B359" s="47"/>
      <c r="C359" s="47"/>
    </row>
    <row r="360" ht="15.75" customHeight="1">
      <c r="A360" s="47"/>
      <c r="B360" s="47"/>
      <c r="C360" s="47"/>
    </row>
    <row r="361" ht="15.75" customHeight="1">
      <c r="A361" s="47"/>
      <c r="B361" s="47"/>
      <c r="C361" s="47"/>
    </row>
    <row r="362" ht="15.75" customHeight="1">
      <c r="A362" s="47"/>
      <c r="B362" s="47"/>
      <c r="C362" s="47"/>
    </row>
    <row r="363" ht="15.75" customHeight="1">
      <c r="A363" s="47"/>
      <c r="B363" s="47"/>
      <c r="C363" s="47"/>
    </row>
    <row r="364" ht="15.75" customHeight="1">
      <c r="A364" s="47"/>
      <c r="B364" s="47"/>
      <c r="C364" s="47"/>
    </row>
    <row r="365" ht="15.75" customHeight="1">
      <c r="A365" s="47"/>
      <c r="B365" s="47"/>
      <c r="C365" s="47"/>
    </row>
    <row r="366" ht="15.75" customHeight="1">
      <c r="A366" s="47"/>
      <c r="B366" s="47"/>
      <c r="C366" s="47"/>
    </row>
    <row r="367" ht="15.75" customHeight="1">
      <c r="A367" s="47"/>
      <c r="B367" s="47"/>
      <c r="C367" s="47"/>
    </row>
    <row r="368" ht="15.75" customHeight="1">
      <c r="A368" s="47"/>
      <c r="B368" s="47"/>
      <c r="C368" s="47"/>
    </row>
    <row r="369" ht="15.75" customHeight="1">
      <c r="A369" s="47"/>
      <c r="B369" s="47"/>
      <c r="C369" s="47"/>
    </row>
    <row r="370" ht="15.75" customHeight="1">
      <c r="A370" s="47"/>
      <c r="B370" s="47"/>
      <c r="C370" s="47"/>
    </row>
    <row r="371" ht="15.75" customHeight="1">
      <c r="A371" s="47"/>
      <c r="B371" s="47"/>
      <c r="C371" s="47"/>
    </row>
    <row r="372" ht="15.75" customHeight="1">
      <c r="A372" s="47"/>
      <c r="B372" s="47"/>
      <c r="C372" s="47"/>
    </row>
    <row r="373" ht="15.75" customHeight="1">
      <c r="A373" s="47"/>
      <c r="B373" s="47"/>
      <c r="C373" s="47"/>
    </row>
    <row r="374" ht="15.75" customHeight="1">
      <c r="A374" s="47"/>
      <c r="B374" s="47"/>
      <c r="C374" s="47"/>
    </row>
    <row r="375" ht="15.75" customHeight="1">
      <c r="A375" s="47"/>
      <c r="B375" s="47"/>
      <c r="C375" s="47"/>
    </row>
    <row r="376" ht="15.75" customHeight="1">
      <c r="A376" s="47"/>
      <c r="B376" s="47"/>
      <c r="C376" s="47"/>
    </row>
    <row r="377" ht="15.75" customHeight="1">
      <c r="A377" s="47"/>
      <c r="B377" s="47"/>
      <c r="C377" s="47"/>
    </row>
    <row r="378" ht="15.75" customHeight="1">
      <c r="A378" s="47"/>
      <c r="B378" s="47"/>
      <c r="C378" s="47"/>
    </row>
    <row r="379" ht="15.75" customHeight="1">
      <c r="A379" s="47"/>
      <c r="B379" s="47"/>
      <c r="C379" s="47"/>
    </row>
    <row r="380" ht="15.75" customHeight="1">
      <c r="A380" s="47"/>
      <c r="B380" s="47"/>
      <c r="C380" s="47"/>
    </row>
    <row r="381" ht="15.75" customHeight="1">
      <c r="A381" s="47"/>
      <c r="B381" s="47"/>
      <c r="C381" s="47"/>
    </row>
    <row r="382" ht="15.75" customHeight="1">
      <c r="A382" s="47"/>
      <c r="B382" s="47"/>
      <c r="C382" s="47"/>
    </row>
    <row r="383" ht="15.75" customHeight="1">
      <c r="A383" s="47"/>
      <c r="B383" s="47"/>
      <c r="C383" s="47"/>
    </row>
    <row r="384" ht="15.75" customHeight="1">
      <c r="A384" s="47"/>
      <c r="B384" s="47"/>
      <c r="C384" s="47"/>
    </row>
    <row r="385" ht="15.75" customHeight="1">
      <c r="A385" s="47"/>
      <c r="B385" s="47"/>
      <c r="C385" s="47"/>
    </row>
    <row r="386" ht="15.75" customHeight="1">
      <c r="A386" s="47"/>
      <c r="B386" s="47"/>
      <c r="C386" s="47"/>
    </row>
    <row r="387" ht="15.75" customHeight="1">
      <c r="A387" s="47"/>
      <c r="B387" s="47"/>
      <c r="C387" s="47"/>
    </row>
    <row r="388" ht="15.75" customHeight="1">
      <c r="A388" s="47"/>
      <c r="B388" s="47"/>
      <c r="C388" s="47"/>
    </row>
    <row r="389" ht="15.75" customHeight="1">
      <c r="A389" s="47"/>
      <c r="B389" s="47"/>
      <c r="C389" s="47"/>
    </row>
    <row r="390" ht="15.75" customHeight="1">
      <c r="A390" s="47"/>
      <c r="B390" s="47"/>
      <c r="C390" s="47"/>
    </row>
    <row r="391" ht="15.75" customHeight="1">
      <c r="A391" s="47"/>
      <c r="B391" s="47"/>
      <c r="C391" s="47"/>
    </row>
    <row r="392" ht="15.75" customHeight="1">
      <c r="A392" s="47"/>
      <c r="B392" s="47"/>
      <c r="C392" s="47"/>
    </row>
    <row r="393" ht="15.75" customHeight="1">
      <c r="A393" s="47"/>
      <c r="B393" s="47"/>
      <c r="C393" s="47"/>
    </row>
    <row r="394" ht="15.75" customHeight="1">
      <c r="A394" s="47"/>
      <c r="B394" s="47"/>
      <c r="C394" s="47"/>
    </row>
    <row r="395" ht="15.75" customHeight="1">
      <c r="A395" s="47"/>
      <c r="B395" s="47"/>
      <c r="C395" s="47"/>
    </row>
    <row r="396" ht="15.75" customHeight="1">
      <c r="A396" s="47"/>
      <c r="B396" s="47"/>
      <c r="C396" s="47"/>
    </row>
    <row r="397" ht="15.75" customHeight="1">
      <c r="A397" s="47"/>
      <c r="B397" s="47"/>
      <c r="C397" s="47"/>
    </row>
    <row r="398" ht="15.75" customHeight="1">
      <c r="A398" s="47"/>
      <c r="B398" s="47"/>
      <c r="C398" s="47"/>
    </row>
    <row r="399" ht="15.75" customHeight="1">
      <c r="A399" s="47"/>
      <c r="B399" s="47"/>
      <c r="C399" s="47"/>
    </row>
    <row r="400" ht="15.75" customHeight="1">
      <c r="A400" s="47"/>
      <c r="B400" s="47"/>
      <c r="C400" s="47"/>
    </row>
    <row r="401" ht="15.75" customHeight="1">
      <c r="A401" s="47"/>
      <c r="B401" s="47"/>
      <c r="C401" s="47"/>
    </row>
    <row r="402" ht="15.75" customHeight="1">
      <c r="A402" s="47"/>
      <c r="B402" s="47"/>
      <c r="C402" s="47"/>
    </row>
    <row r="403" ht="15.75" customHeight="1">
      <c r="A403" s="47"/>
      <c r="B403" s="47"/>
      <c r="C403" s="47"/>
    </row>
    <row r="404" ht="15.75" customHeight="1">
      <c r="A404" s="47"/>
      <c r="B404" s="47"/>
      <c r="C404" s="47"/>
    </row>
    <row r="405" ht="15.75" customHeight="1">
      <c r="A405" s="47"/>
      <c r="B405" s="47"/>
      <c r="C405" s="47"/>
    </row>
    <row r="406" ht="15.75" customHeight="1">
      <c r="A406" s="47"/>
      <c r="B406" s="47"/>
      <c r="C406" s="47"/>
    </row>
    <row r="407" ht="15.75" customHeight="1">
      <c r="A407" s="47"/>
      <c r="B407" s="47"/>
      <c r="C407" s="47"/>
    </row>
    <row r="408" ht="15.75" customHeight="1">
      <c r="A408" s="47"/>
      <c r="B408" s="47"/>
      <c r="C408" s="47"/>
    </row>
    <row r="409" ht="15.75" customHeight="1">
      <c r="A409" s="47"/>
      <c r="B409" s="47"/>
      <c r="C409" s="47"/>
    </row>
    <row r="410" ht="15.75" customHeight="1">
      <c r="A410" s="47"/>
      <c r="B410" s="47"/>
      <c r="C410" s="47"/>
    </row>
    <row r="411" ht="15.75" customHeight="1">
      <c r="A411" s="47"/>
      <c r="B411" s="47"/>
      <c r="C411" s="47"/>
    </row>
    <row r="412" ht="15.75" customHeight="1">
      <c r="A412" s="47"/>
      <c r="B412" s="47"/>
      <c r="C412" s="47"/>
    </row>
    <row r="413" ht="15.75" customHeight="1">
      <c r="A413" s="47"/>
      <c r="B413" s="47"/>
      <c r="C413" s="47"/>
    </row>
    <row r="414" ht="15.75" customHeight="1">
      <c r="A414" s="47"/>
      <c r="B414" s="47"/>
      <c r="C414" s="47"/>
    </row>
    <row r="415" ht="15.75" customHeight="1">
      <c r="A415" s="47"/>
      <c r="B415" s="47"/>
      <c r="C415" s="47"/>
    </row>
    <row r="416" ht="15.75" customHeight="1">
      <c r="A416" s="47"/>
      <c r="B416" s="47"/>
      <c r="C416" s="47"/>
    </row>
    <row r="417" ht="15.75" customHeight="1">
      <c r="A417" s="47"/>
      <c r="B417" s="47"/>
      <c r="C417" s="47"/>
    </row>
    <row r="418" ht="15.75" customHeight="1">
      <c r="A418" s="47"/>
      <c r="B418" s="47"/>
      <c r="C418" s="47"/>
    </row>
    <row r="419" ht="15.75" customHeight="1">
      <c r="A419" s="47"/>
      <c r="B419" s="47"/>
      <c r="C419" s="47"/>
    </row>
    <row r="420" ht="15.75" customHeight="1">
      <c r="A420" s="47"/>
      <c r="B420" s="47"/>
      <c r="C420" s="47"/>
    </row>
    <row r="421" ht="15.75" customHeight="1">
      <c r="A421" s="47"/>
      <c r="B421" s="47"/>
      <c r="C421" s="47"/>
    </row>
    <row r="422" ht="15.75" customHeight="1">
      <c r="A422" s="47"/>
      <c r="B422" s="47"/>
      <c r="C422" s="47"/>
    </row>
    <row r="423" ht="15.75" customHeight="1">
      <c r="A423" s="47"/>
      <c r="B423" s="47"/>
      <c r="C423" s="47"/>
    </row>
    <row r="424" ht="15.75" customHeight="1">
      <c r="A424" s="47"/>
      <c r="B424" s="47"/>
      <c r="C424" s="47"/>
    </row>
    <row r="425" ht="15.75" customHeight="1">
      <c r="A425" s="47"/>
      <c r="B425" s="47"/>
      <c r="C425" s="47"/>
    </row>
    <row r="426" ht="15.75" customHeight="1">
      <c r="A426" s="47"/>
      <c r="B426" s="47"/>
      <c r="C426" s="47"/>
    </row>
    <row r="427" ht="15.75" customHeight="1">
      <c r="A427" s="47"/>
      <c r="B427" s="47"/>
      <c r="C427" s="47"/>
    </row>
    <row r="428" ht="15.75" customHeight="1">
      <c r="A428" s="47"/>
      <c r="B428" s="47"/>
      <c r="C428" s="47"/>
    </row>
    <row r="429" ht="15.75" customHeight="1">
      <c r="A429" s="47"/>
      <c r="B429" s="47"/>
      <c r="C429" s="47"/>
    </row>
    <row r="430" ht="15.75" customHeight="1">
      <c r="A430" s="47"/>
      <c r="B430" s="47"/>
      <c r="C430" s="47"/>
    </row>
    <row r="431" ht="15.75" customHeight="1">
      <c r="A431" s="47"/>
      <c r="B431" s="47"/>
      <c r="C431" s="47"/>
    </row>
    <row r="432" ht="15.75" customHeight="1">
      <c r="A432" s="47"/>
      <c r="B432" s="47"/>
      <c r="C432" s="47"/>
    </row>
    <row r="433" ht="15.75" customHeight="1">
      <c r="A433" s="47"/>
      <c r="B433" s="47"/>
      <c r="C433" s="47"/>
    </row>
    <row r="434" ht="15.75" customHeight="1">
      <c r="A434" s="47"/>
      <c r="B434" s="47"/>
      <c r="C434" s="47"/>
    </row>
    <row r="435" ht="15.75" customHeight="1">
      <c r="A435" s="47"/>
      <c r="B435" s="47"/>
      <c r="C435" s="47"/>
    </row>
    <row r="436" ht="15.75" customHeight="1">
      <c r="A436" s="47"/>
      <c r="B436" s="47"/>
      <c r="C436" s="47"/>
    </row>
    <row r="437" ht="15.75" customHeight="1">
      <c r="A437" s="47"/>
      <c r="B437" s="47"/>
      <c r="C437" s="47"/>
    </row>
    <row r="438" ht="15.75" customHeight="1">
      <c r="A438" s="47"/>
      <c r="B438" s="47"/>
      <c r="C438" s="47"/>
    </row>
    <row r="439" ht="15.75" customHeight="1">
      <c r="A439" s="47"/>
      <c r="B439" s="47"/>
      <c r="C439" s="47"/>
    </row>
    <row r="440" ht="15.75" customHeight="1">
      <c r="A440" s="47"/>
      <c r="B440" s="47"/>
      <c r="C440" s="47"/>
    </row>
    <row r="441" ht="15.75" customHeight="1">
      <c r="A441" s="47"/>
      <c r="B441" s="47"/>
      <c r="C441" s="47"/>
    </row>
    <row r="442" ht="15.75" customHeight="1">
      <c r="A442" s="47"/>
      <c r="B442" s="47"/>
      <c r="C442" s="47"/>
    </row>
    <row r="443" ht="15.75" customHeight="1">
      <c r="A443" s="47"/>
      <c r="B443" s="47"/>
      <c r="C443" s="47"/>
    </row>
    <row r="444" ht="15.75" customHeight="1">
      <c r="A444" s="47"/>
      <c r="B444" s="47"/>
      <c r="C444" s="47"/>
    </row>
    <row r="445" ht="15.75" customHeight="1">
      <c r="A445" s="47"/>
      <c r="B445" s="47"/>
      <c r="C445" s="47"/>
    </row>
    <row r="446" ht="15.75" customHeight="1">
      <c r="A446" s="47"/>
      <c r="B446" s="47"/>
      <c r="C446" s="47"/>
    </row>
    <row r="447" ht="15.75" customHeight="1">
      <c r="A447" s="47"/>
      <c r="B447" s="47"/>
      <c r="C447" s="47"/>
    </row>
    <row r="448" ht="15.75" customHeight="1">
      <c r="A448" s="47"/>
      <c r="B448" s="47"/>
      <c r="C448" s="47"/>
    </row>
    <row r="449" ht="15.75" customHeight="1">
      <c r="A449" s="47"/>
      <c r="B449" s="47"/>
      <c r="C449" s="47"/>
    </row>
    <row r="450" ht="15.75" customHeight="1">
      <c r="A450" s="47"/>
      <c r="B450" s="47"/>
      <c r="C450" s="47"/>
    </row>
    <row r="451" ht="15.75" customHeight="1">
      <c r="A451" s="47"/>
      <c r="B451" s="47"/>
      <c r="C451" s="47"/>
    </row>
    <row r="452" ht="15.75" customHeight="1">
      <c r="A452" s="47"/>
      <c r="B452" s="47"/>
      <c r="C452" s="47"/>
    </row>
    <row r="453" ht="15.75" customHeight="1">
      <c r="A453" s="47"/>
      <c r="B453" s="47"/>
      <c r="C453" s="47"/>
    </row>
    <row r="454" ht="15.75" customHeight="1">
      <c r="A454" s="47"/>
      <c r="B454" s="47"/>
      <c r="C454" s="47"/>
    </row>
    <row r="455" ht="15.75" customHeight="1">
      <c r="A455" s="47"/>
      <c r="B455" s="47"/>
      <c r="C455" s="47"/>
    </row>
    <row r="456" ht="15.75" customHeight="1">
      <c r="A456" s="47"/>
      <c r="B456" s="47"/>
      <c r="C456" s="47"/>
    </row>
    <row r="457" ht="15.75" customHeight="1">
      <c r="A457" s="47"/>
      <c r="B457" s="47"/>
      <c r="C457" s="47"/>
    </row>
    <row r="458" ht="15.75" customHeight="1">
      <c r="A458" s="47"/>
      <c r="B458" s="47"/>
      <c r="C458" s="47"/>
    </row>
    <row r="459" ht="15.75" customHeight="1">
      <c r="A459" s="47"/>
      <c r="B459" s="47"/>
      <c r="C459" s="47"/>
    </row>
    <row r="460" ht="15.75" customHeight="1">
      <c r="A460" s="47"/>
      <c r="B460" s="47"/>
      <c r="C460" s="47"/>
    </row>
    <row r="461" ht="15.75" customHeight="1">
      <c r="A461" s="47"/>
      <c r="B461" s="47"/>
      <c r="C461" s="47"/>
    </row>
    <row r="462" ht="15.75" customHeight="1">
      <c r="A462" s="47"/>
      <c r="B462" s="47"/>
      <c r="C462" s="47"/>
    </row>
    <row r="463" ht="15.75" customHeight="1">
      <c r="A463" s="47"/>
      <c r="B463" s="47"/>
      <c r="C463" s="47"/>
    </row>
    <row r="464" ht="15.75" customHeight="1">
      <c r="A464" s="47"/>
      <c r="B464" s="47"/>
      <c r="C464" s="47"/>
    </row>
    <row r="465" ht="15.75" customHeight="1">
      <c r="A465" s="47"/>
      <c r="B465" s="47"/>
      <c r="C465" s="47"/>
    </row>
    <row r="466" ht="15.75" customHeight="1">
      <c r="A466" s="47"/>
      <c r="B466" s="47"/>
      <c r="C466" s="47"/>
    </row>
    <row r="467" ht="15.75" customHeight="1">
      <c r="A467" s="47"/>
      <c r="B467" s="47"/>
      <c r="C467" s="47"/>
    </row>
    <row r="468" ht="15.75" customHeight="1">
      <c r="A468" s="47"/>
      <c r="B468" s="47"/>
      <c r="C468" s="47"/>
    </row>
    <row r="469" ht="15.75" customHeight="1">
      <c r="A469" s="47"/>
      <c r="B469" s="47"/>
      <c r="C469" s="47"/>
    </row>
    <row r="470" ht="15.75" customHeight="1">
      <c r="A470" s="47"/>
      <c r="B470" s="47"/>
      <c r="C470" s="47"/>
    </row>
    <row r="471" ht="15.75" customHeight="1">
      <c r="A471" s="47"/>
      <c r="B471" s="47"/>
      <c r="C471" s="47"/>
    </row>
    <row r="472" ht="15.75" customHeight="1">
      <c r="A472" s="47"/>
      <c r="B472" s="47"/>
      <c r="C472" s="47"/>
    </row>
    <row r="473" ht="15.75" customHeight="1">
      <c r="A473" s="47"/>
      <c r="B473" s="47"/>
      <c r="C473" s="47"/>
    </row>
    <row r="474" ht="15.75" customHeight="1">
      <c r="A474" s="47"/>
      <c r="B474" s="47"/>
      <c r="C474" s="47"/>
    </row>
    <row r="475" ht="15.75" customHeight="1">
      <c r="A475" s="47"/>
      <c r="B475" s="47"/>
      <c r="C475" s="47"/>
    </row>
    <row r="476" ht="15.75" customHeight="1">
      <c r="A476" s="47"/>
      <c r="B476" s="47"/>
      <c r="C476" s="47"/>
    </row>
    <row r="477" ht="15.75" customHeight="1">
      <c r="A477" s="47"/>
      <c r="B477" s="47"/>
      <c r="C477" s="47"/>
    </row>
    <row r="478" ht="15.75" customHeight="1">
      <c r="A478" s="47"/>
      <c r="B478" s="47"/>
      <c r="C478" s="47"/>
    </row>
    <row r="479" ht="15.75" customHeight="1">
      <c r="A479" s="47"/>
      <c r="B479" s="47"/>
      <c r="C479" s="47"/>
    </row>
    <row r="480" ht="15.75" customHeight="1">
      <c r="A480" s="47"/>
      <c r="B480" s="47"/>
      <c r="C480" s="47"/>
    </row>
    <row r="481" ht="15.75" customHeight="1">
      <c r="A481" s="47"/>
      <c r="B481" s="47"/>
      <c r="C481" s="47"/>
    </row>
    <row r="482" ht="15.75" customHeight="1">
      <c r="A482" s="47"/>
      <c r="B482" s="47"/>
      <c r="C482" s="47"/>
    </row>
    <row r="483" ht="15.75" customHeight="1">
      <c r="A483" s="47"/>
      <c r="B483" s="47"/>
      <c r="C483" s="47"/>
    </row>
    <row r="484" ht="15.75" customHeight="1">
      <c r="A484" s="47"/>
      <c r="B484" s="47"/>
      <c r="C484" s="47"/>
    </row>
    <row r="485" ht="15.75" customHeight="1">
      <c r="A485" s="47"/>
      <c r="B485" s="47"/>
      <c r="C485" s="47"/>
    </row>
    <row r="486" ht="15.75" customHeight="1">
      <c r="A486" s="47"/>
      <c r="B486" s="47"/>
      <c r="C486" s="47"/>
    </row>
    <row r="487" ht="15.75" customHeight="1">
      <c r="A487" s="47"/>
      <c r="B487" s="47"/>
      <c r="C487" s="47"/>
    </row>
    <row r="488" ht="15.75" customHeight="1">
      <c r="A488" s="47"/>
      <c r="B488" s="47"/>
      <c r="C488" s="47"/>
    </row>
    <row r="489" ht="15.75" customHeight="1">
      <c r="A489" s="47"/>
      <c r="B489" s="47"/>
      <c r="C489" s="47"/>
    </row>
    <row r="490" ht="15.75" customHeight="1">
      <c r="A490" s="47"/>
      <c r="B490" s="47"/>
      <c r="C490" s="47"/>
    </row>
    <row r="491" ht="15.75" customHeight="1">
      <c r="A491" s="47"/>
      <c r="B491" s="47"/>
      <c r="C491" s="47"/>
    </row>
    <row r="492" ht="15.75" customHeight="1">
      <c r="A492" s="47"/>
      <c r="B492" s="47"/>
      <c r="C492" s="47"/>
    </row>
    <row r="493" ht="15.75" customHeight="1">
      <c r="A493" s="47"/>
      <c r="B493" s="47"/>
      <c r="C493" s="47"/>
    </row>
    <row r="494" ht="15.75" customHeight="1">
      <c r="A494" s="47"/>
      <c r="B494" s="47"/>
      <c r="C494" s="47"/>
    </row>
    <row r="495" ht="15.75" customHeight="1">
      <c r="A495" s="47"/>
      <c r="B495" s="47"/>
      <c r="C495" s="47"/>
    </row>
    <row r="496" ht="15.75" customHeight="1">
      <c r="A496" s="47"/>
      <c r="B496" s="47"/>
      <c r="C496" s="47"/>
    </row>
    <row r="497" ht="15.75" customHeight="1">
      <c r="A497" s="47"/>
      <c r="B497" s="47"/>
      <c r="C497" s="47"/>
    </row>
    <row r="498" ht="15.75" customHeight="1">
      <c r="A498" s="47"/>
      <c r="B498" s="47"/>
      <c r="C498" s="47"/>
    </row>
    <row r="499" ht="15.75" customHeight="1">
      <c r="A499" s="47"/>
      <c r="B499" s="47"/>
      <c r="C499" s="47"/>
    </row>
    <row r="500" ht="15.75" customHeight="1">
      <c r="A500" s="47"/>
      <c r="B500" s="47"/>
      <c r="C500" s="47"/>
    </row>
    <row r="501" ht="15.75" customHeight="1">
      <c r="A501" s="47"/>
      <c r="B501" s="47"/>
      <c r="C501" s="47"/>
    </row>
    <row r="502" ht="15.75" customHeight="1">
      <c r="A502" s="47"/>
      <c r="B502" s="47"/>
      <c r="C502" s="47"/>
    </row>
    <row r="503" ht="15.75" customHeight="1">
      <c r="A503" s="47"/>
      <c r="B503" s="47"/>
      <c r="C503" s="47"/>
    </row>
    <row r="504" ht="15.75" customHeight="1">
      <c r="A504" s="47"/>
      <c r="B504" s="47"/>
      <c r="C504" s="47"/>
    </row>
    <row r="505" ht="15.75" customHeight="1">
      <c r="A505" s="47"/>
      <c r="B505" s="47"/>
      <c r="C505" s="47"/>
    </row>
    <row r="506" ht="15.75" customHeight="1">
      <c r="A506" s="47"/>
      <c r="B506" s="47"/>
      <c r="C506" s="47"/>
    </row>
    <row r="507" ht="15.75" customHeight="1">
      <c r="A507" s="47"/>
      <c r="B507" s="47"/>
      <c r="C507" s="47"/>
    </row>
    <row r="508" ht="15.75" customHeight="1">
      <c r="A508" s="47"/>
      <c r="B508" s="47"/>
      <c r="C508" s="47"/>
    </row>
    <row r="509" ht="15.75" customHeight="1">
      <c r="A509" s="47"/>
      <c r="B509" s="47"/>
      <c r="C509" s="47"/>
    </row>
    <row r="510" ht="15.75" customHeight="1">
      <c r="A510" s="47"/>
      <c r="B510" s="47"/>
      <c r="C510" s="47"/>
    </row>
    <row r="511" ht="15.75" customHeight="1">
      <c r="A511" s="47"/>
      <c r="B511" s="47"/>
      <c r="C511" s="47"/>
    </row>
    <row r="512" ht="15.75" customHeight="1">
      <c r="A512" s="47"/>
      <c r="B512" s="47"/>
      <c r="C512" s="47"/>
    </row>
    <row r="513" ht="15.75" customHeight="1">
      <c r="A513" s="47"/>
      <c r="B513" s="47"/>
      <c r="C513" s="47"/>
    </row>
    <row r="514" ht="15.75" customHeight="1">
      <c r="A514" s="47"/>
      <c r="B514" s="47"/>
      <c r="C514" s="47"/>
    </row>
    <row r="515" ht="15.75" customHeight="1">
      <c r="A515" s="47"/>
      <c r="B515" s="47"/>
      <c r="C515" s="47"/>
    </row>
    <row r="516" ht="15.75" customHeight="1">
      <c r="A516" s="47"/>
      <c r="B516" s="47"/>
      <c r="C516" s="47"/>
    </row>
    <row r="517" ht="15.75" customHeight="1">
      <c r="A517" s="47"/>
      <c r="B517" s="47"/>
      <c r="C517" s="47"/>
    </row>
    <row r="518" ht="15.75" customHeight="1">
      <c r="A518" s="47"/>
      <c r="B518" s="47"/>
      <c r="C518" s="47"/>
    </row>
    <row r="519" ht="15.75" customHeight="1">
      <c r="A519" s="47"/>
      <c r="B519" s="47"/>
      <c r="C519" s="47"/>
    </row>
    <row r="520" ht="15.75" customHeight="1">
      <c r="A520" s="47"/>
      <c r="B520" s="47"/>
      <c r="C520" s="47"/>
    </row>
    <row r="521" ht="15.75" customHeight="1">
      <c r="A521" s="47"/>
      <c r="B521" s="47"/>
      <c r="C521" s="47"/>
    </row>
    <row r="522" ht="15.75" customHeight="1">
      <c r="A522" s="47"/>
      <c r="B522" s="47"/>
      <c r="C522" s="47"/>
    </row>
    <row r="523" ht="15.75" customHeight="1">
      <c r="A523" s="47"/>
      <c r="B523" s="47"/>
      <c r="C523" s="47"/>
    </row>
    <row r="524" ht="15.75" customHeight="1">
      <c r="A524" s="47"/>
      <c r="B524" s="47"/>
      <c r="C524" s="47"/>
    </row>
    <row r="525" ht="15.75" customHeight="1">
      <c r="A525" s="47"/>
      <c r="B525" s="47"/>
      <c r="C525" s="47"/>
    </row>
    <row r="526" ht="15.75" customHeight="1">
      <c r="A526" s="47"/>
      <c r="B526" s="47"/>
      <c r="C526" s="47"/>
    </row>
    <row r="527" ht="15.75" customHeight="1">
      <c r="A527" s="47"/>
      <c r="B527" s="47"/>
      <c r="C527" s="47"/>
    </row>
    <row r="528" ht="15.75" customHeight="1">
      <c r="A528" s="47"/>
      <c r="B528" s="47"/>
      <c r="C528" s="47"/>
    </row>
    <row r="529" ht="15.75" customHeight="1">
      <c r="A529" s="47"/>
      <c r="B529" s="47"/>
      <c r="C529" s="47"/>
    </row>
    <row r="530" ht="15.75" customHeight="1">
      <c r="A530" s="47"/>
      <c r="B530" s="47"/>
      <c r="C530" s="47"/>
    </row>
    <row r="531" ht="15.75" customHeight="1">
      <c r="A531" s="47"/>
      <c r="B531" s="47"/>
      <c r="C531" s="47"/>
    </row>
    <row r="532" ht="15.75" customHeight="1">
      <c r="A532" s="47"/>
      <c r="B532" s="47"/>
      <c r="C532" s="47"/>
    </row>
    <row r="533" ht="15.75" customHeight="1">
      <c r="A533" s="47"/>
      <c r="B533" s="47"/>
      <c r="C533" s="47"/>
    </row>
    <row r="534" ht="15.75" customHeight="1">
      <c r="A534" s="47"/>
      <c r="B534" s="47"/>
      <c r="C534" s="47"/>
    </row>
    <row r="535" ht="15.75" customHeight="1">
      <c r="A535" s="47"/>
      <c r="B535" s="47"/>
      <c r="C535" s="47"/>
    </row>
    <row r="536" ht="15.75" customHeight="1">
      <c r="A536" s="47"/>
      <c r="B536" s="47"/>
      <c r="C536" s="47"/>
    </row>
    <row r="537" ht="15.75" customHeight="1">
      <c r="A537" s="47"/>
      <c r="B537" s="47"/>
      <c r="C537" s="47"/>
    </row>
    <row r="538" ht="15.75" customHeight="1">
      <c r="A538" s="47"/>
      <c r="B538" s="47"/>
      <c r="C538" s="47"/>
    </row>
    <row r="539" ht="15.75" customHeight="1">
      <c r="A539" s="47"/>
      <c r="B539" s="47"/>
      <c r="C539" s="47"/>
    </row>
    <row r="540" ht="15.75" customHeight="1">
      <c r="A540" s="47"/>
      <c r="B540" s="47"/>
      <c r="C540" s="47"/>
    </row>
    <row r="541" ht="15.75" customHeight="1">
      <c r="A541" s="47"/>
      <c r="B541" s="47"/>
      <c r="C541" s="47"/>
    </row>
    <row r="542" ht="15.75" customHeight="1">
      <c r="A542" s="47"/>
      <c r="B542" s="47"/>
      <c r="C542" s="47"/>
    </row>
    <row r="543" ht="15.75" customHeight="1">
      <c r="A543" s="47"/>
      <c r="B543" s="47"/>
      <c r="C543" s="47"/>
    </row>
    <row r="544" ht="15.75" customHeight="1">
      <c r="A544" s="47"/>
      <c r="B544" s="47"/>
      <c r="C544" s="47"/>
    </row>
    <row r="545" ht="15.75" customHeight="1">
      <c r="A545" s="47"/>
      <c r="B545" s="47"/>
      <c r="C545" s="47"/>
    </row>
    <row r="546" ht="15.75" customHeight="1">
      <c r="A546" s="47"/>
      <c r="B546" s="47"/>
      <c r="C546" s="47"/>
    </row>
    <row r="547" ht="15.75" customHeight="1">
      <c r="A547" s="47"/>
      <c r="B547" s="47"/>
      <c r="C547" s="47"/>
    </row>
    <row r="548" ht="15.75" customHeight="1">
      <c r="A548" s="47"/>
      <c r="B548" s="47"/>
      <c r="C548" s="47"/>
    </row>
    <row r="549" ht="15.75" customHeight="1">
      <c r="A549" s="47"/>
      <c r="B549" s="47"/>
      <c r="C549" s="47"/>
    </row>
    <row r="550" ht="15.75" customHeight="1">
      <c r="A550" s="47"/>
      <c r="B550" s="47"/>
      <c r="C550" s="47"/>
    </row>
    <row r="551" ht="15.75" customHeight="1">
      <c r="A551" s="47"/>
      <c r="B551" s="47"/>
      <c r="C551" s="47"/>
    </row>
    <row r="552" ht="15.75" customHeight="1">
      <c r="A552" s="47"/>
      <c r="B552" s="47"/>
      <c r="C552" s="47"/>
    </row>
    <row r="553" ht="15.75" customHeight="1">
      <c r="A553" s="47"/>
      <c r="B553" s="47"/>
      <c r="C553" s="47"/>
    </row>
    <row r="554" ht="15.75" customHeight="1">
      <c r="A554" s="47"/>
      <c r="B554" s="47"/>
      <c r="C554" s="47"/>
    </row>
    <row r="555" ht="15.75" customHeight="1">
      <c r="A555" s="47"/>
      <c r="B555" s="47"/>
      <c r="C555" s="47"/>
    </row>
    <row r="556" ht="15.75" customHeight="1">
      <c r="A556" s="47"/>
      <c r="B556" s="47"/>
      <c r="C556" s="47"/>
    </row>
    <row r="557" ht="15.75" customHeight="1">
      <c r="A557" s="47"/>
      <c r="B557" s="47"/>
      <c r="C557" s="47"/>
    </row>
    <row r="558" ht="15.75" customHeight="1">
      <c r="A558" s="47"/>
      <c r="B558" s="47"/>
      <c r="C558" s="47"/>
    </row>
    <row r="559" ht="15.75" customHeight="1">
      <c r="A559" s="47"/>
      <c r="B559" s="47"/>
      <c r="C559" s="47"/>
    </row>
    <row r="560" ht="15.75" customHeight="1">
      <c r="A560" s="47"/>
      <c r="B560" s="47"/>
      <c r="C560" s="47"/>
    </row>
    <row r="561" ht="15.75" customHeight="1">
      <c r="A561" s="47"/>
      <c r="B561" s="47"/>
      <c r="C561" s="47"/>
    </row>
    <row r="562" ht="15.75" customHeight="1">
      <c r="A562" s="47"/>
      <c r="B562" s="47"/>
      <c r="C562" s="47"/>
    </row>
    <row r="563" ht="15.75" customHeight="1">
      <c r="A563" s="47"/>
      <c r="B563" s="47"/>
      <c r="C563" s="47"/>
    </row>
    <row r="564" ht="15.75" customHeight="1">
      <c r="A564" s="47"/>
      <c r="B564" s="47"/>
      <c r="C564" s="47"/>
    </row>
    <row r="565" ht="15.75" customHeight="1">
      <c r="A565" s="47"/>
      <c r="B565" s="47"/>
      <c r="C565" s="47"/>
    </row>
    <row r="566" ht="15.75" customHeight="1">
      <c r="A566" s="47"/>
      <c r="B566" s="47"/>
      <c r="C566" s="47"/>
    </row>
    <row r="567" ht="15.75" customHeight="1">
      <c r="A567" s="47"/>
      <c r="B567" s="47"/>
      <c r="C567" s="47"/>
    </row>
    <row r="568" ht="15.75" customHeight="1">
      <c r="A568" s="47"/>
      <c r="B568" s="47"/>
      <c r="C568" s="47"/>
    </row>
    <row r="569" ht="15.75" customHeight="1">
      <c r="A569" s="47"/>
      <c r="B569" s="47"/>
      <c r="C569" s="47"/>
    </row>
    <row r="570" ht="15.75" customHeight="1">
      <c r="A570" s="47"/>
      <c r="B570" s="47"/>
      <c r="C570" s="47"/>
    </row>
    <row r="571" ht="15.75" customHeight="1">
      <c r="A571" s="47"/>
      <c r="B571" s="47"/>
      <c r="C571" s="47"/>
    </row>
    <row r="572" ht="15.75" customHeight="1">
      <c r="A572" s="47"/>
      <c r="B572" s="47"/>
      <c r="C572" s="47"/>
    </row>
    <row r="573" ht="15.75" customHeight="1">
      <c r="A573" s="47"/>
      <c r="B573" s="47"/>
      <c r="C573" s="47"/>
    </row>
    <row r="574" ht="15.75" customHeight="1">
      <c r="A574" s="47"/>
      <c r="B574" s="47"/>
      <c r="C574" s="47"/>
    </row>
    <row r="575" ht="15.75" customHeight="1">
      <c r="A575" s="47"/>
      <c r="B575" s="47"/>
      <c r="C575" s="47"/>
    </row>
    <row r="576" ht="15.75" customHeight="1">
      <c r="A576" s="47"/>
      <c r="B576" s="47"/>
      <c r="C576" s="47"/>
    </row>
    <row r="577" ht="15.75" customHeight="1">
      <c r="A577" s="47"/>
      <c r="B577" s="47"/>
      <c r="C577" s="47"/>
    </row>
    <row r="578" ht="15.75" customHeight="1">
      <c r="A578" s="47"/>
      <c r="B578" s="47"/>
      <c r="C578" s="47"/>
    </row>
    <row r="579" ht="15.75" customHeight="1">
      <c r="A579" s="47"/>
      <c r="B579" s="47"/>
      <c r="C579" s="47"/>
    </row>
    <row r="580" ht="15.75" customHeight="1">
      <c r="A580" s="47"/>
      <c r="B580" s="47"/>
      <c r="C580" s="47"/>
    </row>
    <row r="581" ht="15.75" customHeight="1">
      <c r="A581" s="47"/>
      <c r="B581" s="47"/>
      <c r="C581" s="47"/>
    </row>
    <row r="582" ht="15.75" customHeight="1">
      <c r="A582" s="47"/>
      <c r="B582" s="47"/>
      <c r="C582" s="47"/>
    </row>
    <row r="583" ht="15.75" customHeight="1">
      <c r="A583" s="47"/>
      <c r="B583" s="47"/>
      <c r="C583" s="47"/>
    </row>
    <row r="584" ht="15.75" customHeight="1">
      <c r="A584" s="47"/>
      <c r="B584" s="47"/>
      <c r="C584" s="47"/>
    </row>
    <row r="585" ht="15.75" customHeight="1">
      <c r="A585" s="47"/>
      <c r="B585" s="47"/>
      <c r="C585" s="47"/>
    </row>
    <row r="586" ht="15.75" customHeight="1">
      <c r="A586" s="47"/>
      <c r="B586" s="47"/>
      <c r="C586" s="47"/>
    </row>
    <row r="587" ht="15.75" customHeight="1">
      <c r="A587" s="47"/>
      <c r="B587" s="47"/>
      <c r="C587" s="47"/>
    </row>
    <row r="588" ht="15.75" customHeight="1">
      <c r="A588" s="47"/>
      <c r="B588" s="47"/>
      <c r="C588" s="47"/>
    </row>
    <row r="589" ht="15.75" customHeight="1">
      <c r="A589" s="47"/>
      <c r="B589" s="47"/>
      <c r="C589" s="47"/>
    </row>
    <row r="590" ht="15.75" customHeight="1">
      <c r="A590" s="47"/>
      <c r="B590" s="47"/>
      <c r="C590" s="47"/>
    </row>
    <row r="591" ht="15.75" customHeight="1">
      <c r="A591" s="47"/>
      <c r="B591" s="47"/>
      <c r="C591" s="47"/>
    </row>
    <row r="592" ht="15.75" customHeight="1">
      <c r="A592" s="47"/>
      <c r="B592" s="47"/>
      <c r="C592" s="47"/>
    </row>
    <row r="593" ht="15.75" customHeight="1">
      <c r="A593" s="47"/>
      <c r="B593" s="47"/>
      <c r="C593" s="47"/>
    </row>
    <row r="594" ht="15.75" customHeight="1">
      <c r="A594" s="47"/>
      <c r="B594" s="47"/>
      <c r="C594" s="47"/>
    </row>
    <row r="595" ht="15.75" customHeight="1">
      <c r="A595" s="47"/>
      <c r="B595" s="47"/>
      <c r="C595" s="47"/>
    </row>
    <row r="596" ht="15.75" customHeight="1">
      <c r="A596" s="47"/>
      <c r="B596" s="47"/>
      <c r="C596" s="47"/>
    </row>
    <row r="597" ht="15.75" customHeight="1">
      <c r="A597" s="47"/>
      <c r="B597" s="47"/>
      <c r="C597" s="47"/>
    </row>
    <row r="598" ht="15.75" customHeight="1">
      <c r="A598" s="47"/>
      <c r="B598" s="47"/>
      <c r="C598" s="47"/>
    </row>
    <row r="599" ht="15.75" customHeight="1">
      <c r="A599" s="47"/>
      <c r="B599" s="47"/>
      <c r="C599" s="47"/>
    </row>
    <row r="600" ht="15.75" customHeight="1">
      <c r="A600" s="47"/>
      <c r="B600" s="47"/>
      <c r="C600" s="47"/>
    </row>
    <row r="601" ht="15.75" customHeight="1">
      <c r="A601" s="47"/>
      <c r="B601" s="47"/>
      <c r="C601" s="47"/>
    </row>
    <row r="602" ht="15.75" customHeight="1">
      <c r="A602" s="47"/>
      <c r="B602" s="47"/>
      <c r="C602" s="47"/>
    </row>
    <row r="603" ht="15.75" customHeight="1">
      <c r="A603" s="47"/>
      <c r="B603" s="47"/>
      <c r="C603" s="47"/>
    </row>
    <row r="604" ht="15.75" customHeight="1">
      <c r="A604" s="47"/>
      <c r="B604" s="47"/>
      <c r="C604" s="47"/>
    </row>
    <row r="605" ht="15.75" customHeight="1">
      <c r="A605" s="47"/>
      <c r="B605" s="47"/>
      <c r="C605" s="47"/>
    </row>
    <row r="606" ht="15.75" customHeight="1">
      <c r="A606" s="47"/>
      <c r="B606" s="47"/>
      <c r="C606" s="47"/>
    </row>
    <row r="607" ht="15.75" customHeight="1">
      <c r="A607" s="47"/>
      <c r="B607" s="47"/>
      <c r="C607" s="47"/>
    </row>
    <row r="608" ht="15.75" customHeight="1">
      <c r="A608" s="47"/>
      <c r="B608" s="47"/>
      <c r="C608" s="47"/>
    </row>
    <row r="609" ht="15.75" customHeight="1">
      <c r="A609" s="47"/>
      <c r="B609" s="47"/>
      <c r="C609" s="47"/>
    </row>
    <row r="610" ht="15.75" customHeight="1">
      <c r="A610" s="47"/>
      <c r="B610" s="47"/>
      <c r="C610" s="47"/>
    </row>
    <row r="611" ht="15.75" customHeight="1">
      <c r="A611" s="47"/>
      <c r="B611" s="47"/>
      <c r="C611" s="47"/>
    </row>
    <row r="612" ht="15.75" customHeight="1">
      <c r="A612" s="47"/>
      <c r="B612" s="47"/>
      <c r="C612" s="47"/>
    </row>
    <row r="613" ht="15.75" customHeight="1">
      <c r="A613" s="47"/>
      <c r="B613" s="47"/>
      <c r="C613" s="47"/>
    </row>
    <row r="614" ht="15.75" customHeight="1">
      <c r="A614" s="47"/>
      <c r="B614" s="47"/>
      <c r="C614" s="47"/>
    </row>
    <row r="615" ht="15.75" customHeight="1">
      <c r="A615" s="47"/>
      <c r="B615" s="47"/>
      <c r="C615" s="47"/>
    </row>
    <row r="616" ht="15.75" customHeight="1">
      <c r="A616" s="47"/>
      <c r="B616" s="47"/>
      <c r="C616" s="47"/>
    </row>
    <row r="617" ht="15.75" customHeight="1">
      <c r="A617" s="47"/>
      <c r="B617" s="47"/>
      <c r="C617" s="47"/>
    </row>
    <row r="618" ht="15.75" customHeight="1">
      <c r="A618" s="47"/>
      <c r="B618" s="47"/>
      <c r="C618" s="47"/>
    </row>
    <row r="619" ht="15.75" customHeight="1">
      <c r="A619" s="47"/>
      <c r="B619" s="47"/>
      <c r="C619" s="47"/>
    </row>
    <row r="620" ht="15.75" customHeight="1">
      <c r="A620" s="47"/>
      <c r="B620" s="47"/>
      <c r="C620" s="47"/>
    </row>
    <row r="621" ht="15.75" customHeight="1">
      <c r="A621" s="47"/>
      <c r="B621" s="47"/>
      <c r="C621" s="47"/>
    </row>
    <row r="622" ht="15.75" customHeight="1">
      <c r="A622" s="47"/>
      <c r="B622" s="47"/>
      <c r="C622" s="47"/>
    </row>
    <row r="623" ht="15.75" customHeight="1">
      <c r="A623" s="47"/>
      <c r="B623" s="47"/>
      <c r="C623" s="47"/>
    </row>
    <row r="624" ht="15.75" customHeight="1">
      <c r="A624" s="47"/>
      <c r="B624" s="47"/>
      <c r="C624" s="47"/>
    </row>
    <row r="625" ht="15.75" customHeight="1">
      <c r="A625" s="47"/>
      <c r="B625" s="47"/>
      <c r="C625" s="47"/>
    </row>
    <row r="626" ht="15.75" customHeight="1">
      <c r="A626" s="47"/>
      <c r="B626" s="47"/>
      <c r="C626" s="47"/>
    </row>
    <row r="627" ht="15.75" customHeight="1">
      <c r="A627" s="47"/>
      <c r="B627" s="47"/>
      <c r="C627" s="47"/>
    </row>
    <row r="628" ht="15.75" customHeight="1">
      <c r="A628" s="47"/>
      <c r="B628" s="47"/>
      <c r="C628" s="47"/>
    </row>
    <row r="629" ht="15.75" customHeight="1">
      <c r="A629" s="47"/>
      <c r="B629" s="47"/>
      <c r="C629" s="47"/>
    </row>
    <row r="630" ht="15.75" customHeight="1">
      <c r="A630" s="47"/>
      <c r="B630" s="47"/>
      <c r="C630" s="47"/>
    </row>
    <row r="631" ht="15.75" customHeight="1">
      <c r="A631" s="47"/>
      <c r="B631" s="47"/>
      <c r="C631" s="47"/>
    </row>
    <row r="632" ht="15.75" customHeight="1">
      <c r="A632" s="47"/>
      <c r="B632" s="47"/>
      <c r="C632" s="47"/>
    </row>
    <row r="633" ht="15.75" customHeight="1">
      <c r="A633" s="47"/>
      <c r="B633" s="47"/>
      <c r="C633" s="47"/>
    </row>
    <row r="634" ht="15.75" customHeight="1">
      <c r="A634" s="47"/>
      <c r="B634" s="47"/>
      <c r="C634" s="47"/>
    </row>
    <row r="635" ht="15.75" customHeight="1">
      <c r="A635" s="47"/>
      <c r="B635" s="47"/>
      <c r="C635" s="47"/>
    </row>
    <row r="636" ht="15.75" customHeight="1">
      <c r="A636" s="47"/>
      <c r="B636" s="47"/>
      <c r="C636" s="47"/>
    </row>
    <row r="637" ht="15.75" customHeight="1">
      <c r="A637" s="47"/>
      <c r="B637" s="47"/>
      <c r="C637" s="47"/>
    </row>
    <row r="638" ht="15.75" customHeight="1">
      <c r="A638" s="47"/>
      <c r="B638" s="47"/>
      <c r="C638" s="47"/>
    </row>
    <row r="639" ht="15.75" customHeight="1">
      <c r="A639" s="47"/>
      <c r="B639" s="47"/>
      <c r="C639" s="47"/>
    </row>
    <row r="640" ht="15.75" customHeight="1">
      <c r="A640" s="47"/>
      <c r="B640" s="47"/>
      <c r="C640" s="47"/>
    </row>
    <row r="641" ht="15.75" customHeight="1">
      <c r="A641" s="47"/>
      <c r="B641" s="47"/>
      <c r="C641" s="47"/>
    </row>
    <row r="642" ht="15.75" customHeight="1">
      <c r="A642" s="47"/>
      <c r="B642" s="47"/>
      <c r="C642" s="47"/>
    </row>
    <row r="643" ht="15.75" customHeight="1">
      <c r="A643" s="47"/>
      <c r="B643" s="47"/>
      <c r="C643" s="47"/>
    </row>
    <row r="644" ht="15.75" customHeight="1">
      <c r="A644" s="47"/>
      <c r="B644" s="47"/>
      <c r="C644" s="47"/>
    </row>
    <row r="645" ht="15.75" customHeight="1">
      <c r="A645" s="47"/>
      <c r="B645" s="47"/>
      <c r="C645" s="47"/>
    </row>
    <row r="646" ht="15.75" customHeight="1">
      <c r="A646" s="47"/>
      <c r="B646" s="47"/>
      <c r="C646" s="47"/>
    </row>
    <row r="647" ht="15.75" customHeight="1">
      <c r="A647" s="47"/>
      <c r="B647" s="47"/>
      <c r="C647" s="47"/>
    </row>
    <row r="648" ht="15.75" customHeight="1">
      <c r="A648" s="47"/>
      <c r="B648" s="47"/>
      <c r="C648" s="47"/>
    </row>
    <row r="649" ht="15.75" customHeight="1">
      <c r="A649" s="47"/>
      <c r="B649" s="47"/>
      <c r="C649" s="47"/>
    </row>
    <row r="650" ht="15.75" customHeight="1">
      <c r="A650" s="47"/>
      <c r="B650" s="47"/>
      <c r="C650" s="47"/>
    </row>
    <row r="651" ht="15.75" customHeight="1">
      <c r="A651" s="47"/>
      <c r="B651" s="47"/>
      <c r="C651" s="47"/>
    </row>
    <row r="652" ht="15.75" customHeight="1">
      <c r="A652" s="47"/>
      <c r="B652" s="47"/>
      <c r="C652" s="47"/>
    </row>
    <row r="653" ht="15.75" customHeight="1">
      <c r="A653" s="47"/>
      <c r="B653" s="47"/>
      <c r="C653" s="47"/>
    </row>
    <row r="654" ht="15.75" customHeight="1">
      <c r="A654" s="47"/>
      <c r="B654" s="47"/>
      <c r="C654" s="47"/>
    </row>
    <row r="655" ht="15.75" customHeight="1">
      <c r="A655" s="47"/>
      <c r="B655" s="47"/>
      <c r="C655" s="47"/>
    </row>
    <row r="656" ht="15.75" customHeight="1">
      <c r="A656" s="47"/>
      <c r="B656" s="47"/>
      <c r="C656" s="47"/>
    </row>
    <row r="657" ht="15.75" customHeight="1">
      <c r="A657" s="47"/>
      <c r="B657" s="47"/>
      <c r="C657" s="47"/>
    </row>
    <row r="658" ht="15.75" customHeight="1">
      <c r="A658" s="47"/>
      <c r="B658" s="47"/>
      <c r="C658" s="47"/>
    </row>
    <row r="659" ht="15.75" customHeight="1">
      <c r="A659" s="47"/>
      <c r="B659" s="47"/>
      <c r="C659" s="47"/>
    </row>
    <row r="660" ht="15.75" customHeight="1">
      <c r="A660" s="47"/>
      <c r="B660" s="47"/>
      <c r="C660" s="47"/>
    </row>
    <row r="661" ht="15.75" customHeight="1">
      <c r="A661" s="47"/>
      <c r="B661" s="47"/>
      <c r="C661" s="47"/>
    </row>
    <row r="662" ht="15.75" customHeight="1">
      <c r="A662" s="47"/>
      <c r="B662" s="47"/>
      <c r="C662" s="47"/>
    </row>
    <row r="663" ht="15.75" customHeight="1">
      <c r="A663" s="47"/>
      <c r="B663" s="47"/>
      <c r="C663" s="47"/>
    </row>
    <row r="664" ht="15.75" customHeight="1">
      <c r="A664" s="47"/>
      <c r="B664" s="47"/>
      <c r="C664" s="47"/>
    </row>
    <row r="665" ht="15.75" customHeight="1">
      <c r="A665" s="47"/>
      <c r="B665" s="47"/>
      <c r="C665" s="47"/>
    </row>
    <row r="666" ht="15.75" customHeight="1">
      <c r="A666" s="47"/>
      <c r="B666" s="47"/>
      <c r="C666" s="47"/>
    </row>
    <row r="667" ht="15.75" customHeight="1">
      <c r="A667" s="47"/>
      <c r="B667" s="47"/>
      <c r="C667" s="47"/>
    </row>
    <row r="668" ht="15.75" customHeight="1">
      <c r="A668" s="47"/>
      <c r="B668" s="47"/>
      <c r="C668" s="47"/>
    </row>
    <row r="669" ht="15.75" customHeight="1">
      <c r="A669" s="47"/>
      <c r="B669" s="47"/>
      <c r="C669" s="47"/>
    </row>
    <row r="670" ht="15.75" customHeight="1">
      <c r="A670" s="47"/>
      <c r="B670" s="47"/>
      <c r="C670" s="47"/>
    </row>
    <row r="671" ht="15.75" customHeight="1">
      <c r="A671" s="47"/>
      <c r="B671" s="47"/>
      <c r="C671" s="47"/>
    </row>
    <row r="672" ht="15.75" customHeight="1">
      <c r="A672" s="47"/>
      <c r="B672" s="47"/>
      <c r="C672" s="47"/>
    </row>
    <row r="673" ht="15.75" customHeight="1">
      <c r="A673" s="47"/>
      <c r="B673" s="47"/>
      <c r="C673" s="47"/>
    </row>
    <row r="674" ht="15.75" customHeight="1">
      <c r="A674" s="47"/>
      <c r="B674" s="47"/>
      <c r="C674" s="47"/>
    </row>
    <row r="675" ht="15.75" customHeight="1">
      <c r="A675" s="47"/>
      <c r="B675" s="47"/>
      <c r="C675" s="47"/>
    </row>
    <row r="676" ht="15.75" customHeight="1">
      <c r="A676" s="47"/>
      <c r="B676" s="47"/>
      <c r="C676" s="47"/>
    </row>
    <row r="677" ht="15.75" customHeight="1">
      <c r="A677" s="47"/>
      <c r="B677" s="47"/>
      <c r="C677" s="47"/>
    </row>
    <row r="678" ht="15.75" customHeight="1">
      <c r="A678" s="47"/>
      <c r="B678" s="47"/>
      <c r="C678" s="47"/>
    </row>
    <row r="679" ht="15.75" customHeight="1">
      <c r="A679" s="47"/>
      <c r="B679" s="47"/>
      <c r="C679" s="47"/>
    </row>
    <row r="680" ht="15.75" customHeight="1">
      <c r="A680" s="47"/>
      <c r="B680" s="47"/>
      <c r="C680" s="47"/>
    </row>
    <row r="681" ht="15.75" customHeight="1">
      <c r="A681" s="47"/>
      <c r="B681" s="47"/>
      <c r="C681" s="47"/>
    </row>
    <row r="682" ht="15.75" customHeight="1">
      <c r="A682" s="47"/>
      <c r="B682" s="47"/>
      <c r="C682" s="47"/>
    </row>
    <row r="683" ht="15.75" customHeight="1">
      <c r="A683" s="47"/>
      <c r="B683" s="47"/>
      <c r="C683" s="47"/>
    </row>
    <row r="684" ht="15.75" customHeight="1">
      <c r="A684" s="47"/>
      <c r="B684" s="47"/>
      <c r="C684" s="47"/>
    </row>
    <row r="685" ht="15.75" customHeight="1">
      <c r="A685" s="47"/>
      <c r="B685" s="47"/>
      <c r="C685" s="47"/>
    </row>
    <row r="686" ht="15.75" customHeight="1">
      <c r="A686" s="47"/>
      <c r="B686" s="47"/>
      <c r="C686" s="47"/>
    </row>
    <row r="687" ht="15.75" customHeight="1">
      <c r="A687" s="47"/>
      <c r="B687" s="47"/>
      <c r="C687" s="47"/>
    </row>
    <row r="688" ht="15.75" customHeight="1">
      <c r="A688" s="47"/>
      <c r="B688" s="47"/>
      <c r="C688" s="47"/>
    </row>
    <row r="689" ht="15.75" customHeight="1">
      <c r="A689" s="47"/>
      <c r="B689" s="47"/>
      <c r="C689" s="47"/>
    </row>
    <row r="690" ht="15.75" customHeight="1">
      <c r="A690" s="47"/>
      <c r="B690" s="47"/>
      <c r="C690" s="47"/>
    </row>
    <row r="691" ht="15.75" customHeight="1">
      <c r="A691" s="47"/>
      <c r="B691" s="47"/>
      <c r="C691" s="47"/>
    </row>
    <row r="692" ht="15.75" customHeight="1">
      <c r="A692" s="47"/>
      <c r="B692" s="47"/>
      <c r="C692" s="47"/>
    </row>
    <row r="693" ht="15.75" customHeight="1">
      <c r="A693" s="47"/>
      <c r="B693" s="47"/>
      <c r="C693" s="47"/>
    </row>
    <row r="694" ht="15.75" customHeight="1">
      <c r="A694" s="47"/>
      <c r="B694" s="47"/>
      <c r="C694" s="47"/>
    </row>
    <row r="695" ht="15.75" customHeight="1">
      <c r="A695" s="47"/>
      <c r="B695" s="47"/>
      <c r="C695" s="47"/>
    </row>
    <row r="696" ht="15.75" customHeight="1">
      <c r="A696" s="47"/>
      <c r="B696" s="47"/>
      <c r="C696" s="47"/>
    </row>
    <row r="697" ht="15.75" customHeight="1">
      <c r="A697" s="47"/>
      <c r="B697" s="47"/>
      <c r="C697" s="47"/>
    </row>
    <row r="698" ht="15.75" customHeight="1">
      <c r="A698" s="47"/>
      <c r="B698" s="47"/>
      <c r="C698" s="47"/>
    </row>
    <row r="699" ht="15.75" customHeight="1">
      <c r="A699" s="47"/>
      <c r="B699" s="47"/>
      <c r="C699" s="47"/>
    </row>
    <row r="700" ht="15.75" customHeight="1">
      <c r="A700" s="47"/>
      <c r="B700" s="47"/>
      <c r="C700" s="47"/>
    </row>
    <row r="701" ht="15.75" customHeight="1">
      <c r="A701" s="47"/>
      <c r="B701" s="47"/>
      <c r="C701" s="47"/>
    </row>
    <row r="702" ht="15.75" customHeight="1">
      <c r="A702" s="47"/>
      <c r="B702" s="47"/>
      <c r="C702" s="47"/>
    </row>
    <row r="703" ht="15.75" customHeight="1">
      <c r="A703" s="47"/>
      <c r="B703" s="47"/>
      <c r="C703" s="47"/>
    </row>
    <row r="704" ht="15.75" customHeight="1">
      <c r="A704" s="47"/>
      <c r="B704" s="47"/>
      <c r="C704" s="47"/>
    </row>
    <row r="705" ht="15.75" customHeight="1">
      <c r="A705" s="47"/>
      <c r="B705" s="47"/>
      <c r="C705" s="47"/>
    </row>
    <row r="706" ht="15.75" customHeight="1">
      <c r="A706" s="47"/>
      <c r="B706" s="47"/>
      <c r="C706" s="47"/>
    </row>
    <row r="707" ht="15.75" customHeight="1">
      <c r="A707" s="47"/>
      <c r="B707" s="47"/>
      <c r="C707" s="47"/>
    </row>
    <row r="708" ht="15.75" customHeight="1">
      <c r="A708" s="47"/>
      <c r="B708" s="47"/>
      <c r="C708" s="47"/>
    </row>
    <row r="709" ht="15.75" customHeight="1">
      <c r="A709" s="47"/>
      <c r="B709" s="47"/>
      <c r="C709" s="47"/>
    </row>
    <row r="710" ht="15.75" customHeight="1">
      <c r="A710" s="47"/>
      <c r="B710" s="47"/>
      <c r="C710" s="47"/>
    </row>
    <row r="711" ht="15.75" customHeight="1">
      <c r="A711" s="47"/>
      <c r="B711" s="47"/>
      <c r="C711" s="47"/>
    </row>
    <row r="712" ht="15.75" customHeight="1">
      <c r="A712" s="47"/>
      <c r="B712" s="47"/>
      <c r="C712" s="47"/>
    </row>
    <row r="713" ht="15.75" customHeight="1">
      <c r="A713" s="47"/>
      <c r="B713" s="47"/>
      <c r="C713" s="47"/>
    </row>
    <row r="714" ht="15.75" customHeight="1">
      <c r="A714" s="47"/>
      <c r="B714" s="47"/>
      <c r="C714" s="47"/>
    </row>
    <row r="715" ht="15.75" customHeight="1">
      <c r="A715" s="47"/>
      <c r="B715" s="47"/>
      <c r="C715" s="47"/>
    </row>
    <row r="716" ht="15.75" customHeight="1">
      <c r="A716" s="47"/>
      <c r="B716" s="47"/>
      <c r="C716" s="47"/>
    </row>
    <row r="717" ht="15.75" customHeight="1">
      <c r="A717" s="47"/>
      <c r="B717" s="47"/>
      <c r="C717" s="47"/>
    </row>
    <row r="718" ht="15.75" customHeight="1">
      <c r="A718" s="47"/>
      <c r="B718" s="47"/>
      <c r="C718" s="47"/>
    </row>
    <row r="719" ht="15.75" customHeight="1">
      <c r="A719" s="47"/>
      <c r="B719" s="47"/>
      <c r="C719" s="47"/>
    </row>
    <row r="720" ht="15.75" customHeight="1">
      <c r="A720" s="47"/>
      <c r="B720" s="47"/>
      <c r="C720" s="47"/>
    </row>
    <row r="721" ht="15.75" customHeight="1">
      <c r="A721" s="47"/>
      <c r="B721" s="47"/>
      <c r="C721" s="47"/>
    </row>
    <row r="722" ht="15.75" customHeight="1">
      <c r="A722" s="47"/>
      <c r="B722" s="47"/>
      <c r="C722" s="47"/>
    </row>
    <row r="723" ht="15.75" customHeight="1">
      <c r="A723" s="47"/>
      <c r="B723" s="47"/>
      <c r="C723" s="47"/>
    </row>
    <row r="724" ht="15.75" customHeight="1">
      <c r="A724" s="47"/>
      <c r="B724" s="47"/>
      <c r="C724" s="47"/>
    </row>
    <row r="725" ht="15.75" customHeight="1">
      <c r="A725" s="47"/>
      <c r="B725" s="47"/>
      <c r="C725" s="47"/>
    </row>
    <row r="726" ht="15.75" customHeight="1">
      <c r="A726" s="47"/>
      <c r="B726" s="47"/>
      <c r="C726" s="47"/>
    </row>
    <row r="727" ht="15.75" customHeight="1">
      <c r="A727" s="47"/>
      <c r="B727" s="47"/>
      <c r="C727" s="47"/>
    </row>
    <row r="728" ht="15.75" customHeight="1">
      <c r="A728" s="47"/>
      <c r="B728" s="47"/>
      <c r="C728" s="47"/>
    </row>
    <row r="729" ht="15.75" customHeight="1">
      <c r="A729" s="47"/>
      <c r="B729" s="47"/>
      <c r="C729" s="47"/>
    </row>
    <row r="730" ht="15.75" customHeight="1">
      <c r="A730" s="47"/>
      <c r="B730" s="47"/>
      <c r="C730" s="47"/>
    </row>
    <row r="731" ht="15.75" customHeight="1">
      <c r="A731" s="47"/>
      <c r="B731" s="47"/>
      <c r="C731" s="47"/>
    </row>
    <row r="732" ht="15.75" customHeight="1">
      <c r="A732" s="47"/>
      <c r="B732" s="47"/>
      <c r="C732" s="47"/>
    </row>
    <row r="733" ht="15.75" customHeight="1">
      <c r="A733" s="47"/>
      <c r="B733" s="47"/>
      <c r="C733" s="47"/>
    </row>
    <row r="734" ht="15.75" customHeight="1">
      <c r="A734" s="47"/>
      <c r="B734" s="47"/>
      <c r="C734" s="47"/>
    </row>
    <row r="735" ht="15.75" customHeight="1">
      <c r="A735" s="47"/>
      <c r="B735" s="47"/>
      <c r="C735" s="47"/>
    </row>
    <row r="736" ht="15.75" customHeight="1">
      <c r="A736" s="47"/>
      <c r="B736" s="47"/>
      <c r="C736" s="47"/>
    </row>
    <row r="737" ht="15.75" customHeight="1">
      <c r="A737" s="47"/>
      <c r="B737" s="47"/>
      <c r="C737" s="47"/>
    </row>
    <row r="738" ht="15.75" customHeight="1">
      <c r="A738" s="47"/>
      <c r="B738" s="47"/>
      <c r="C738" s="47"/>
    </row>
    <row r="739" ht="15.75" customHeight="1">
      <c r="A739" s="47"/>
      <c r="B739" s="47"/>
      <c r="C739" s="47"/>
    </row>
    <row r="740" ht="15.75" customHeight="1">
      <c r="A740" s="47"/>
      <c r="B740" s="47"/>
      <c r="C740" s="47"/>
    </row>
    <row r="741" ht="15.75" customHeight="1">
      <c r="A741" s="47"/>
      <c r="B741" s="47"/>
      <c r="C741" s="47"/>
    </row>
    <row r="742" ht="15.75" customHeight="1">
      <c r="A742" s="47"/>
      <c r="B742" s="47"/>
      <c r="C742" s="47"/>
    </row>
    <row r="743" ht="15.75" customHeight="1">
      <c r="A743" s="47"/>
      <c r="B743" s="47"/>
      <c r="C743" s="47"/>
    </row>
    <row r="744" ht="15.75" customHeight="1">
      <c r="A744" s="47"/>
      <c r="B744" s="47"/>
      <c r="C744" s="47"/>
    </row>
    <row r="745" ht="15.75" customHeight="1">
      <c r="A745" s="47"/>
      <c r="B745" s="47"/>
      <c r="C745" s="47"/>
    </row>
    <row r="746" ht="15.75" customHeight="1">
      <c r="A746" s="47"/>
      <c r="B746" s="47"/>
      <c r="C746" s="47"/>
    </row>
    <row r="747" ht="15.75" customHeight="1">
      <c r="A747" s="47"/>
      <c r="B747" s="47"/>
      <c r="C747" s="47"/>
    </row>
    <row r="748" ht="15.75" customHeight="1">
      <c r="A748" s="47"/>
      <c r="B748" s="47"/>
      <c r="C748" s="47"/>
    </row>
    <row r="749" ht="15.75" customHeight="1">
      <c r="A749" s="47"/>
      <c r="B749" s="47"/>
      <c r="C749" s="47"/>
    </row>
    <row r="750" ht="15.75" customHeight="1">
      <c r="A750" s="47"/>
      <c r="B750" s="47"/>
      <c r="C750" s="47"/>
    </row>
    <row r="751" ht="15.75" customHeight="1">
      <c r="A751" s="47"/>
      <c r="B751" s="47"/>
      <c r="C751" s="47"/>
    </row>
    <row r="752" ht="15.75" customHeight="1">
      <c r="A752" s="47"/>
      <c r="B752" s="47"/>
      <c r="C752" s="47"/>
    </row>
    <row r="753" ht="15.75" customHeight="1">
      <c r="A753" s="47"/>
      <c r="B753" s="47"/>
      <c r="C753" s="47"/>
    </row>
    <row r="754" ht="15.75" customHeight="1">
      <c r="A754" s="47"/>
      <c r="B754" s="47"/>
      <c r="C754" s="47"/>
    </row>
    <row r="755" ht="15.75" customHeight="1">
      <c r="A755" s="47"/>
      <c r="B755" s="47"/>
      <c r="C755" s="47"/>
    </row>
    <row r="756" ht="15.75" customHeight="1">
      <c r="A756" s="47"/>
      <c r="B756" s="47"/>
      <c r="C756" s="47"/>
    </row>
    <row r="757" ht="15.75" customHeight="1">
      <c r="A757" s="47"/>
      <c r="B757" s="47"/>
      <c r="C757" s="47"/>
    </row>
    <row r="758" ht="15.75" customHeight="1">
      <c r="A758" s="47"/>
      <c r="B758" s="47"/>
      <c r="C758" s="47"/>
    </row>
    <row r="759" ht="15.75" customHeight="1">
      <c r="A759" s="47"/>
      <c r="B759" s="47"/>
      <c r="C759" s="47"/>
    </row>
    <row r="760" ht="15.75" customHeight="1">
      <c r="A760" s="47"/>
      <c r="B760" s="47"/>
      <c r="C760" s="47"/>
    </row>
    <row r="761" ht="15.75" customHeight="1">
      <c r="A761" s="47"/>
      <c r="B761" s="47"/>
      <c r="C761" s="47"/>
    </row>
    <row r="762" ht="15.75" customHeight="1">
      <c r="A762" s="47"/>
      <c r="B762" s="47"/>
      <c r="C762" s="47"/>
    </row>
    <row r="763" ht="15.75" customHeight="1">
      <c r="A763" s="47"/>
      <c r="B763" s="47"/>
      <c r="C763" s="47"/>
    </row>
    <row r="764" ht="15.75" customHeight="1">
      <c r="A764" s="47"/>
      <c r="B764" s="47"/>
      <c r="C764" s="47"/>
    </row>
    <row r="765" ht="15.75" customHeight="1">
      <c r="A765" s="47"/>
      <c r="B765" s="47"/>
      <c r="C765" s="47"/>
    </row>
    <row r="766" ht="15.75" customHeight="1">
      <c r="A766" s="47"/>
      <c r="B766" s="47"/>
      <c r="C766" s="47"/>
    </row>
    <row r="767" ht="15.75" customHeight="1">
      <c r="A767" s="47"/>
      <c r="B767" s="47"/>
      <c r="C767" s="47"/>
    </row>
    <row r="768" ht="15.75" customHeight="1">
      <c r="A768" s="47"/>
      <c r="B768" s="47"/>
      <c r="C768" s="47"/>
    </row>
    <row r="769" ht="15.75" customHeight="1">
      <c r="A769" s="47"/>
      <c r="B769" s="47"/>
      <c r="C769" s="47"/>
    </row>
    <row r="770" ht="15.75" customHeight="1">
      <c r="A770" s="47"/>
      <c r="B770" s="47"/>
      <c r="C770" s="47"/>
    </row>
    <row r="771" ht="15.75" customHeight="1">
      <c r="A771" s="47"/>
      <c r="B771" s="47"/>
      <c r="C771" s="47"/>
    </row>
    <row r="772" ht="15.75" customHeight="1">
      <c r="A772" s="47"/>
      <c r="B772" s="47"/>
      <c r="C772" s="47"/>
    </row>
    <row r="773" ht="15.75" customHeight="1">
      <c r="A773" s="47"/>
      <c r="B773" s="47"/>
      <c r="C773" s="47"/>
    </row>
    <row r="774" ht="15.75" customHeight="1">
      <c r="A774" s="47"/>
      <c r="B774" s="47"/>
      <c r="C774" s="47"/>
    </row>
    <row r="775" ht="15.75" customHeight="1">
      <c r="A775" s="47"/>
      <c r="B775" s="47"/>
      <c r="C775" s="47"/>
    </row>
    <row r="776" ht="15.75" customHeight="1">
      <c r="A776" s="47"/>
      <c r="B776" s="47"/>
      <c r="C776" s="47"/>
    </row>
    <row r="777" ht="15.75" customHeight="1">
      <c r="A777" s="47"/>
      <c r="B777" s="47"/>
      <c r="C777" s="47"/>
    </row>
    <row r="778" ht="15.75" customHeight="1">
      <c r="A778" s="47"/>
      <c r="B778" s="47"/>
      <c r="C778" s="47"/>
    </row>
    <row r="779" ht="15.75" customHeight="1">
      <c r="A779" s="47"/>
      <c r="B779" s="47"/>
      <c r="C779" s="47"/>
    </row>
    <row r="780" ht="15.75" customHeight="1">
      <c r="A780" s="47"/>
      <c r="B780" s="47"/>
      <c r="C780" s="47"/>
    </row>
    <row r="781" ht="15.75" customHeight="1">
      <c r="A781" s="47"/>
      <c r="B781" s="47"/>
      <c r="C781" s="47"/>
    </row>
    <row r="782" ht="15.75" customHeight="1">
      <c r="A782" s="47"/>
      <c r="B782" s="47"/>
      <c r="C782" s="47"/>
    </row>
    <row r="783" ht="15.75" customHeight="1">
      <c r="A783" s="47"/>
      <c r="B783" s="47"/>
      <c r="C783" s="47"/>
    </row>
    <row r="784" ht="15.75" customHeight="1">
      <c r="A784" s="47"/>
      <c r="B784" s="47"/>
      <c r="C784" s="47"/>
    </row>
    <row r="785" ht="15.75" customHeight="1">
      <c r="A785" s="47"/>
      <c r="B785" s="47"/>
      <c r="C785" s="47"/>
    </row>
    <row r="786" ht="15.75" customHeight="1">
      <c r="A786" s="47"/>
      <c r="B786" s="47"/>
      <c r="C786" s="47"/>
    </row>
    <row r="787" ht="15.75" customHeight="1">
      <c r="A787" s="47"/>
      <c r="B787" s="47"/>
      <c r="C787" s="47"/>
    </row>
    <row r="788" ht="15.75" customHeight="1">
      <c r="A788" s="47"/>
      <c r="B788" s="47"/>
      <c r="C788" s="47"/>
    </row>
    <row r="789" ht="15.75" customHeight="1">
      <c r="A789" s="47"/>
      <c r="B789" s="47"/>
      <c r="C789" s="47"/>
    </row>
    <row r="790" ht="15.75" customHeight="1">
      <c r="A790" s="47"/>
      <c r="B790" s="47"/>
      <c r="C790" s="47"/>
    </row>
    <row r="791" ht="15.75" customHeight="1">
      <c r="A791" s="47"/>
      <c r="B791" s="47"/>
      <c r="C791" s="47"/>
    </row>
    <row r="792" ht="15.75" customHeight="1">
      <c r="A792" s="47"/>
      <c r="B792" s="47"/>
      <c r="C792" s="47"/>
    </row>
    <row r="793" ht="15.75" customHeight="1">
      <c r="A793" s="47"/>
      <c r="B793" s="47"/>
      <c r="C793" s="47"/>
    </row>
    <row r="794" ht="15.75" customHeight="1">
      <c r="A794" s="47"/>
      <c r="B794" s="47"/>
      <c r="C794" s="47"/>
    </row>
    <row r="795" ht="15.75" customHeight="1">
      <c r="A795" s="47"/>
      <c r="B795" s="47"/>
      <c r="C795" s="47"/>
    </row>
    <row r="796" ht="15.75" customHeight="1">
      <c r="A796" s="47"/>
      <c r="B796" s="47"/>
      <c r="C796" s="47"/>
    </row>
    <row r="797" ht="15.75" customHeight="1">
      <c r="A797" s="47"/>
      <c r="B797" s="47"/>
      <c r="C797" s="47"/>
    </row>
    <row r="798" ht="15.75" customHeight="1">
      <c r="A798" s="47"/>
      <c r="B798" s="47"/>
      <c r="C798" s="47"/>
    </row>
    <row r="799" ht="15.75" customHeight="1">
      <c r="A799" s="47"/>
      <c r="B799" s="47"/>
      <c r="C799" s="47"/>
    </row>
    <row r="800" ht="15.75" customHeight="1">
      <c r="A800" s="47"/>
      <c r="B800" s="47"/>
      <c r="C800" s="47"/>
    </row>
    <row r="801" ht="15.75" customHeight="1">
      <c r="A801" s="47"/>
      <c r="B801" s="47"/>
      <c r="C801" s="47"/>
    </row>
    <row r="802" ht="15.75" customHeight="1">
      <c r="A802" s="47"/>
      <c r="B802" s="47"/>
      <c r="C802" s="47"/>
    </row>
    <row r="803" ht="15.75" customHeight="1">
      <c r="A803" s="47"/>
      <c r="B803" s="47"/>
      <c r="C803" s="47"/>
    </row>
    <row r="804" ht="15.75" customHeight="1">
      <c r="A804" s="47"/>
      <c r="B804" s="47"/>
      <c r="C804" s="47"/>
    </row>
    <row r="805" ht="15.75" customHeight="1">
      <c r="A805" s="47"/>
      <c r="B805" s="47"/>
      <c r="C805" s="47"/>
    </row>
    <row r="806" ht="15.75" customHeight="1">
      <c r="A806" s="47"/>
      <c r="B806" s="47"/>
      <c r="C806" s="47"/>
    </row>
    <row r="807" ht="15.75" customHeight="1">
      <c r="A807" s="47"/>
      <c r="B807" s="47"/>
      <c r="C807" s="47"/>
    </row>
    <row r="808" ht="15.75" customHeight="1">
      <c r="A808" s="47"/>
      <c r="B808" s="47"/>
      <c r="C808" s="47"/>
    </row>
    <row r="809" ht="15.75" customHeight="1">
      <c r="A809" s="47"/>
      <c r="B809" s="47"/>
      <c r="C809" s="47"/>
    </row>
    <row r="810" ht="15.75" customHeight="1">
      <c r="A810" s="47"/>
      <c r="B810" s="47"/>
      <c r="C810" s="47"/>
    </row>
    <row r="811" ht="15.75" customHeight="1">
      <c r="A811" s="47"/>
      <c r="B811" s="47"/>
      <c r="C811" s="47"/>
    </row>
    <row r="812" ht="15.75" customHeight="1">
      <c r="A812" s="47"/>
      <c r="B812" s="47"/>
      <c r="C812" s="47"/>
    </row>
    <row r="813" ht="15.75" customHeight="1">
      <c r="A813" s="47"/>
      <c r="B813" s="47"/>
      <c r="C813" s="47"/>
    </row>
    <row r="814" ht="15.75" customHeight="1">
      <c r="A814" s="47"/>
      <c r="B814" s="47"/>
      <c r="C814" s="47"/>
    </row>
    <row r="815" ht="15.75" customHeight="1">
      <c r="A815" s="47"/>
      <c r="B815" s="47"/>
      <c r="C815" s="47"/>
    </row>
    <row r="816" ht="15.75" customHeight="1">
      <c r="A816" s="47"/>
      <c r="B816" s="47"/>
      <c r="C816" s="47"/>
    </row>
    <row r="817" ht="15.75" customHeight="1">
      <c r="A817" s="47"/>
      <c r="B817" s="47"/>
      <c r="C817" s="47"/>
    </row>
    <row r="818" ht="15.75" customHeight="1">
      <c r="A818" s="47"/>
      <c r="B818" s="47"/>
      <c r="C818" s="47"/>
    </row>
    <row r="819" ht="15.75" customHeight="1">
      <c r="A819" s="47"/>
      <c r="B819" s="47"/>
      <c r="C819" s="47"/>
    </row>
    <row r="820" ht="15.75" customHeight="1">
      <c r="A820" s="47"/>
      <c r="B820" s="47"/>
      <c r="C820" s="47"/>
    </row>
    <row r="821" ht="15.75" customHeight="1">
      <c r="A821" s="47"/>
      <c r="B821" s="47"/>
      <c r="C821" s="47"/>
    </row>
    <row r="822" ht="15.75" customHeight="1">
      <c r="A822" s="47"/>
      <c r="B822" s="47"/>
      <c r="C822" s="47"/>
    </row>
    <row r="823" ht="15.75" customHeight="1">
      <c r="A823" s="47"/>
      <c r="B823" s="47"/>
      <c r="C823" s="47"/>
    </row>
    <row r="824" ht="15.75" customHeight="1">
      <c r="A824" s="47"/>
      <c r="B824" s="47"/>
      <c r="C824" s="47"/>
    </row>
    <row r="825" ht="15.75" customHeight="1">
      <c r="A825" s="47"/>
      <c r="B825" s="47"/>
      <c r="C825" s="47"/>
    </row>
    <row r="826" ht="15.75" customHeight="1">
      <c r="A826" s="47"/>
      <c r="B826" s="47"/>
      <c r="C826" s="47"/>
    </row>
    <row r="827" ht="15.75" customHeight="1">
      <c r="A827" s="47"/>
      <c r="B827" s="47"/>
      <c r="C827" s="47"/>
    </row>
    <row r="828" ht="15.75" customHeight="1">
      <c r="A828" s="47"/>
      <c r="B828" s="47"/>
      <c r="C828" s="47"/>
    </row>
    <row r="829" ht="15.75" customHeight="1">
      <c r="A829" s="47"/>
      <c r="B829" s="47"/>
      <c r="C829" s="47"/>
    </row>
    <row r="830" ht="15.75" customHeight="1">
      <c r="A830" s="47"/>
      <c r="B830" s="47"/>
      <c r="C830" s="47"/>
    </row>
    <row r="831" ht="15.75" customHeight="1">
      <c r="A831" s="47"/>
      <c r="B831" s="47"/>
      <c r="C831" s="47"/>
    </row>
    <row r="832" ht="15.75" customHeight="1">
      <c r="A832" s="47"/>
      <c r="B832" s="47"/>
      <c r="C832" s="47"/>
    </row>
    <row r="833" ht="15.75" customHeight="1">
      <c r="A833" s="47"/>
      <c r="B833" s="47"/>
      <c r="C833" s="47"/>
    </row>
    <row r="834" ht="15.75" customHeight="1">
      <c r="A834" s="47"/>
      <c r="B834" s="47"/>
      <c r="C834" s="47"/>
    </row>
    <row r="835" ht="15.75" customHeight="1">
      <c r="A835" s="47"/>
      <c r="B835" s="47"/>
      <c r="C835" s="47"/>
    </row>
    <row r="836" ht="15.75" customHeight="1">
      <c r="A836" s="47"/>
      <c r="B836" s="47"/>
      <c r="C836" s="47"/>
    </row>
    <row r="837" ht="15.75" customHeight="1">
      <c r="A837" s="47"/>
      <c r="B837" s="47"/>
      <c r="C837" s="47"/>
    </row>
    <row r="838" ht="15.75" customHeight="1">
      <c r="A838" s="47"/>
      <c r="B838" s="47"/>
      <c r="C838" s="47"/>
    </row>
    <row r="839" ht="15.75" customHeight="1">
      <c r="A839" s="47"/>
      <c r="B839" s="47"/>
      <c r="C839" s="47"/>
    </row>
    <row r="840" ht="15.75" customHeight="1">
      <c r="A840" s="47"/>
      <c r="B840" s="47"/>
      <c r="C840" s="47"/>
    </row>
    <row r="841" ht="15.75" customHeight="1">
      <c r="A841" s="47"/>
      <c r="B841" s="47"/>
      <c r="C841" s="47"/>
    </row>
    <row r="842" ht="15.75" customHeight="1">
      <c r="A842" s="47"/>
      <c r="B842" s="47"/>
      <c r="C842" s="47"/>
    </row>
    <row r="843" ht="15.75" customHeight="1">
      <c r="A843" s="47"/>
      <c r="B843" s="47"/>
      <c r="C843" s="47"/>
    </row>
    <row r="844" ht="15.75" customHeight="1">
      <c r="A844" s="47"/>
      <c r="B844" s="47"/>
      <c r="C844" s="47"/>
    </row>
    <row r="845" ht="15.75" customHeight="1">
      <c r="A845" s="47"/>
      <c r="B845" s="47"/>
      <c r="C845" s="47"/>
    </row>
    <row r="846" ht="15.75" customHeight="1">
      <c r="A846" s="47"/>
      <c r="B846" s="47"/>
      <c r="C846" s="47"/>
    </row>
    <row r="847" ht="15.75" customHeight="1">
      <c r="A847" s="47"/>
      <c r="B847" s="47"/>
      <c r="C847" s="47"/>
    </row>
    <row r="848" ht="15.75" customHeight="1">
      <c r="A848" s="47"/>
      <c r="B848" s="47"/>
      <c r="C848" s="47"/>
    </row>
    <row r="849" ht="15.75" customHeight="1">
      <c r="A849" s="47"/>
      <c r="B849" s="47"/>
      <c r="C849" s="47"/>
    </row>
    <row r="850" ht="15.75" customHeight="1">
      <c r="A850" s="47"/>
      <c r="B850" s="47"/>
      <c r="C850" s="47"/>
    </row>
    <row r="851" ht="15.75" customHeight="1">
      <c r="A851" s="47"/>
      <c r="B851" s="47"/>
      <c r="C851" s="47"/>
    </row>
    <row r="852" ht="15.75" customHeight="1">
      <c r="A852" s="47"/>
      <c r="B852" s="47"/>
      <c r="C852" s="47"/>
    </row>
    <row r="853" ht="15.75" customHeight="1">
      <c r="A853" s="47"/>
      <c r="B853" s="47"/>
      <c r="C853" s="47"/>
    </row>
    <row r="854" ht="15.75" customHeight="1">
      <c r="A854" s="47"/>
      <c r="B854" s="47"/>
      <c r="C854" s="47"/>
    </row>
    <row r="855" ht="15.75" customHeight="1">
      <c r="A855" s="47"/>
      <c r="B855" s="47"/>
      <c r="C855" s="47"/>
    </row>
    <row r="856" ht="15.75" customHeight="1">
      <c r="A856" s="47"/>
      <c r="B856" s="47"/>
      <c r="C856" s="47"/>
    </row>
    <row r="857" ht="15.75" customHeight="1">
      <c r="A857" s="47"/>
      <c r="B857" s="47"/>
      <c r="C857" s="47"/>
    </row>
    <row r="858" ht="15.75" customHeight="1">
      <c r="A858" s="47"/>
      <c r="B858" s="47"/>
      <c r="C858" s="47"/>
    </row>
    <row r="859" ht="15.75" customHeight="1">
      <c r="A859" s="47"/>
      <c r="B859" s="47"/>
      <c r="C859" s="47"/>
    </row>
    <row r="860" ht="15.75" customHeight="1">
      <c r="A860" s="47"/>
      <c r="B860" s="47"/>
      <c r="C860" s="47"/>
    </row>
    <row r="861" ht="15.75" customHeight="1">
      <c r="A861" s="47"/>
      <c r="B861" s="47"/>
      <c r="C861" s="47"/>
    </row>
    <row r="862" ht="15.75" customHeight="1">
      <c r="A862" s="47"/>
      <c r="B862" s="47"/>
      <c r="C862" s="47"/>
    </row>
    <row r="863" ht="15.75" customHeight="1">
      <c r="A863" s="47"/>
      <c r="B863" s="47"/>
      <c r="C863" s="47"/>
    </row>
    <row r="864" ht="15.75" customHeight="1">
      <c r="A864" s="47"/>
      <c r="B864" s="47"/>
      <c r="C864" s="47"/>
    </row>
    <row r="865" ht="15.75" customHeight="1">
      <c r="A865" s="47"/>
      <c r="B865" s="47"/>
      <c r="C865" s="47"/>
    </row>
    <row r="866" ht="15.75" customHeight="1">
      <c r="A866" s="47"/>
      <c r="B866" s="47"/>
      <c r="C866" s="47"/>
    </row>
    <row r="867" ht="15.75" customHeight="1">
      <c r="A867" s="47"/>
      <c r="B867" s="47"/>
      <c r="C867" s="47"/>
    </row>
    <row r="868" ht="15.75" customHeight="1">
      <c r="A868" s="47"/>
      <c r="B868" s="47"/>
      <c r="C868" s="47"/>
    </row>
    <row r="869" ht="15.75" customHeight="1">
      <c r="A869" s="47"/>
      <c r="B869" s="47"/>
      <c r="C869" s="47"/>
    </row>
    <row r="870" ht="15.75" customHeight="1">
      <c r="A870" s="47"/>
      <c r="B870" s="47"/>
      <c r="C870" s="47"/>
    </row>
    <row r="871" ht="15.75" customHeight="1">
      <c r="A871" s="47"/>
      <c r="B871" s="47"/>
      <c r="C871" s="47"/>
    </row>
    <row r="872" ht="15.75" customHeight="1">
      <c r="A872" s="47"/>
      <c r="B872" s="47"/>
      <c r="C872" s="47"/>
    </row>
    <row r="873" ht="15.75" customHeight="1">
      <c r="A873" s="47"/>
      <c r="B873" s="47"/>
      <c r="C873" s="47"/>
    </row>
    <row r="874" ht="15.75" customHeight="1">
      <c r="A874" s="47"/>
      <c r="B874" s="47"/>
      <c r="C874" s="47"/>
    </row>
    <row r="875" ht="15.75" customHeight="1">
      <c r="A875" s="47"/>
      <c r="B875" s="47"/>
      <c r="C875" s="47"/>
    </row>
    <row r="876" ht="15.75" customHeight="1">
      <c r="A876" s="47"/>
      <c r="B876" s="47"/>
      <c r="C876" s="47"/>
    </row>
    <row r="877" ht="15.75" customHeight="1">
      <c r="A877" s="47"/>
      <c r="B877" s="47"/>
      <c r="C877" s="47"/>
    </row>
    <row r="878" ht="15.75" customHeight="1">
      <c r="A878" s="47"/>
      <c r="B878" s="47"/>
      <c r="C878" s="47"/>
    </row>
    <row r="879" ht="15.75" customHeight="1">
      <c r="A879" s="47"/>
      <c r="B879" s="47"/>
      <c r="C879" s="47"/>
    </row>
    <row r="880" ht="15.75" customHeight="1">
      <c r="A880" s="47"/>
      <c r="B880" s="47"/>
      <c r="C880" s="47"/>
    </row>
    <row r="881" ht="15.75" customHeight="1">
      <c r="A881" s="47"/>
      <c r="B881" s="47"/>
      <c r="C881" s="47"/>
    </row>
    <row r="882" ht="15.75" customHeight="1">
      <c r="A882" s="47"/>
      <c r="B882" s="47"/>
      <c r="C882" s="47"/>
    </row>
    <row r="883" ht="15.75" customHeight="1">
      <c r="A883" s="47"/>
      <c r="B883" s="47"/>
      <c r="C883" s="47"/>
    </row>
    <row r="884" ht="15.75" customHeight="1">
      <c r="A884" s="47"/>
      <c r="B884" s="47"/>
      <c r="C884" s="47"/>
    </row>
    <row r="885" ht="15.75" customHeight="1">
      <c r="A885" s="47"/>
      <c r="B885" s="47"/>
      <c r="C885" s="47"/>
    </row>
    <row r="886" ht="15.75" customHeight="1">
      <c r="A886" s="47"/>
      <c r="B886" s="47"/>
      <c r="C886" s="47"/>
    </row>
    <row r="887" ht="15.75" customHeight="1">
      <c r="A887" s="47"/>
      <c r="B887" s="47"/>
      <c r="C887" s="47"/>
    </row>
    <row r="888" ht="15.75" customHeight="1">
      <c r="A888" s="47"/>
      <c r="B888" s="47"/>
      <c r="C888" s="47"/>
    </row>
    <row r="889" ht="15.75" customHeight="1">
      <c r="A889" s="47"/>
      <c r="B889" s="47"/>
      <c r="C889" s="47"/>
    </row>
    <row r="890" ht="15.75" customHeight="1">
      <c r="A890" s="47"/>
      <c r="B890" s="47"/>
      <c r="C890" s="47"/>
    </row>
    <row r="891" ht="15.75" customHeight="1">
      <c r="A891" s="47"/>
      <c r="B891" s="47"/>
      <c r="C891" s="47"/>
    </row>
    <row r="892" ht="15.75" customHeight="1">
      <c r="A892" s="47"/>
      <c r="B892" s="47"/>
      <c r="C892" s="47"/>
    </row>
    <row r="893" ht="15.75" customHeight="1">
      <c r="A893" s="47"/>
      <c r="B893" s="47"/>
      <c r="C893" s="47"/>
    </row>
    <row r="894" ht="15.75" customHeight="1">
      <c r="A894" s="47"/>
      <c r="B894" s="47"/>
      <c r="C894" s="47"/>
    </row>
    <row r="895" ht="15.75" customHeight="1">
      <c r="A895" s="47"/>
      <c r="B895" s="47"/>
      <c r="C895" s="47"/>
    </row>
    <row r="896" ht="15.75" customHeight="1">
      <c r="A896" s="47"/>
      <c r="B896" s="47"/>
      <c r="C896" s="47"/>
    </row>
    <row r="897" ht="15.75" customHeight="1">
      <c r="A897" s="47"/>
      <c r="B897" s="47"/>
      <c r="C897" s="47"/>
    </row>
    <row r="898" ht="15.75" customHeight="1">
      <c r="A898" s="47"/>
      <c r="B898" s="47"/>
      <c r="C898" s="47"/>
    </row>
    <row r="899" ht="15.75" customHeight="1">
      <c r="A899" s="47"/>
      <c r="B899" s="47"/>
      <c r="C899" s="47"/>
    </row>
    <row r="900" ht="15.75" customHeight="1">
      <c r="A900" s="47"/>
      <c r="B900" s="47"/>
      <c r="C900" s="47"/>
    </row>
    <row r="901" ht="15.75" customHeight="1">
      <c r="A901" s="47"/>
      <c r="B901" s="47"/>
      <c r="C901" s="47"/>
    </row>
    <row r="902" ht="15.75" customHeight="1">
      <c r="A902" s="47"/>
      <c r="B902" s="47"/>
      <c r="C902" s="47"/>
    </row>
    <row r="903" ht="15.75" customHeight="1">
      <c r="A903" s="47"/>
      <c r="B903" s="47"/>
      <c r="C903" s="47"/>
    </row>
    <row r="904" ht="15.75" customHeight="1">
      <c r="A904" s="47"/>
      <c r="B904" s="47"/>
      <c r="C904" s="47"/>
    </row>
    <row r="905" ht="15.75" customHeight="1">
      <c r="A905" s="47"/>
      <c r="B905" s="47"/>
      <c r="C905" s="47"/>
    </row>
    <row r="906" ht="15.75" customHeight="1">
      <c r="A906" s="47"/>
      <c r="B906" s="47"/>
      <c r="C906" s="47"/>
    </row>
    <row r="907" ht="15.75" customHeight="1">
      <c r="A907" s="47"/>
      <c r="B907" s="47"/>
      <c r="C907" s="47"/>
    </row>
    <row r="908" ht="15.75" customHeight="1">
      <c r="A908" s="47"/>
      <c r="B908" s="47"/>
      <c r="C908" s="47"/>
    </row>
    <row r="909" ht="15.75" customHeight="1">
      <c r="A909" s="47"/>
      <c r="B909" s="47"/>
      <c r="C909" s="47"/>
    </row>
    <row r="910" ht="15.75" customHeight="1">
      <c r="A910" s="47"/>
      <c r="B910" s="47"/>
      <c r="C910" s="47"/>
    </row>
    <row r="911" ht="15.75" customHeight="1">
      <c r="A911" s="47"/>
      <c r="B911" s="47"/>
      <c r="C911" s="47"/>
    </row>
    <row r="912" ht="15.75" customHeight="1">
      <c r="A912" s="47"/>
      <c r="B912" s="47"/>
      <c r="C912" s="47"/>
    </row>
    <row r="913" ht="15.75" customHeight="1">
      <c r="A913" s="47"/>
      <c r="B913" s="47"/>
      <c r="C913" s="47"/>
    </row>
    <row r="914" ht="15.75" customHeight="1">
      <c r="A914" s="47"/>
      <c r="B914" s="47"/>
      <c r="C914" s="47"/>
    </row>
    <row r="915" ht="15.75" customHeight="1">
      <c r="A915" s="47"/>
      <c r="B915" s="47"/>
      <c r="C915" s="47"/>
    </row>
    <row r="916" ht="15.75" customHeight="1">
      <c r="A916" s="47"/>
      <c r="B916" s="47"/>
      <c r="C916" s="47"/>
    </row>
    <row r="917" ht="15.75" customHeight="1">
      <c r="A917" s="47"/>
      <c r="B917" s="47"/>
      <c r="C917" s="47"/>
    </row>
    <row r="918" ht="15.75" customHeight="1">
      <c r="A918" s="47"/>
      <c r="B918" s="47"/>
      <c r="C918" s="47"/>
    </row>
    <row r="919" ht="15.75" customHeight="1">
      <c r="A919" s="47"/>
      <c r="B919" s="47"/>
      <c r="C919" s="47"/>
    </row>
    <row r="920" ht="15.75" customHeight="1">
      <c r="A920" s="47"/>
      <c r="B920" s="47"/>
      <c r="C920" s="47"/>
    </row>
    <row r="921" ht="15.75" customHeight="1">
      <c r="A921" s="47"/>
      <c r="B921" s="47"/>
      <c r="C921" s="47"/>
    </row>
    <row r="922" ht="15.75" customHeight="1">
      <c r="A922" s="47"/>
      <c r="B922" s="47"/>
      <c r="C922" s="47"/>
    </row>
    <row r="923" ht="15.75" customHeight="1">
      <c r="A923" s="47"/>
      <c r="B923" s="47"/>
      <c r="C923" s="47"/>
    </row>
    <row r="924" ht="15.75" customHeight="1">
      <c r="A924" s="47"/>
      <c r="B924" s="47"/>
      <c r="C924" s="47"/>
    </row>
    <row r="925" ht="15.75" customHeight="1">
      <c r="A925" s="47"/>
      <c r="B925" s="47"/>
      <c r="C925" s="47"/>
    </row>
    <row r="926" ht="15.75" customHeight="1">
      <c r="A926" s="47"/>
      <c r="B926" s="47"/>
      <c r="C926" s="47"/>
    </row>
    <row r="927" ht="15.75" customHeight="1">
      <c r="A927" s="47"/>
      <c r="B927" s="47"/>
      <c r="C927" s="47"/>
    </row>
    <row r="928" ht="15.75" customHeight="1">
      <c r="A928" s="47"/>
      <c r="B928" s="47"/>
      <c r="C928" s="47"/>
    </row>
    <row r="929" ht="15.75" customHeight="1">
      <c r="A929" s="47"/>
      <c r="B929" s="47"/>
      <c r="C929" s="47"/>
    </row>
    <row r="930" ht="15.75" customHeight="1">
      <c r="A930" s="47"/>
      <c r="B930" s="47"/>
      <c r="C930" s="47"/>
    </row>
    <row r="931" ht="15.75" customHeight="1">
      <c r="A931" s="47"/>
      <c r="B931" s="47"/>
      <c r="C931" s="47"/>
    </row>
    <row r="932" ht="15.75" customHeight="1">
      <c r="A932" s="47"/>
      <c r="B932" s="47"/>
      <c r="C932" s="47"/>
    </row>
    <row r="933" ht="15.75" customHeight="1">
      <c r="A933" s="47"/>
      <c r="B933" s="47"/>
      <c r="C933" s="47"/>
    </row>
    <row r="934" ht="15.75" customHeight="1">
      <c r="A934" s="47"/>
      <c r="B934" s="47"/>
      <c r="C934" s="47"/>
    </row>
    <row r="935" ht="15.75" customHeight="1">
      <c r="A935" s="47"/>
      <c r="B935" s="47"/>
      <c r="C935" s="47"/>
    </row>
    <row r="936" ht="15.75" customHeight="1">
      <c r="A936" s="47"/>
      <c r="B936" s="47"/>
      <c r="C936" s="47"/>
    </row>
    <row r="937" ht="15.75" customHeight="1">
      <c r="A937" s="47"/>
      <c r="B937" s="47"/>
      <c r="C937" s="47"/>
    </row>
    <row r="938" ht="15.75" customHeight="1">
      <c r="A938" s="47"/>
      <c r="B938" s="47"/>
      <c r="C938" s="47"/>
    </row>
    <row r="939" ht="15.75" customHeight="1">
      <c r="A939" s="47"/>
      <c r="B939" s="47"/>
      <c r="C939" s="47"/>
    </row>
    <row r="940" ht="15.75" customHeight="1">
      <c r="A940" s="47"/>
      <c r="B940" s="47"/>
      <c r="C940" s="47"/>
    </row>
    <row r="941" ht="15.75" customHeight="1">
      <c r="A941" s="47"/>
      <c r="B941" s="47"/>
      <c r="C941" s="47"/>
    </row>
    <row r="942" ht="15.75" customHeight="1">
      <c r="A942" s="47"/>
      <c r="B942" s="47"/>
      <c r="C942" s="47"/>
    </row>
    <row r="943" ht="15.75" customHeight="1">
      <c r="A943" s="47"/>
      <c r="B943" s="47"/>
      <c r="C943" s="47"/>
    </row>
    <row r="944" ht="15.75" customHeight="1">
      <c r="A944" s="47"/>
      <c r="B944" s="47"/>
      <c r="C944" s="47"/>
    </row>
    <row r="945" ht="15.75" customHeight="1">
      <c r="A945" s="47"/>
      <c r="B945" s="47"/>
      <c r="C945" s="47"/>
    </row>
    <row r="946" ht="15.75" customHeight="1">
      <c r="A946" s="47"/>
      <c r="B946" s="47"/>
      <c r="C946" s="47"/>
    </row>
    <row r="947" ht="15.75" customHeight="1">
      <c r="A947" s="47"/>
      <c r="B947" s="47"/>
      <c r="C947" s="47"/>
    </row>
    <row r="948" ht="15.75" customHeight="1">
      <c r="A948" s="47"/>
      <c r="B948" s="47"/>
      <c r="C948" s="47"/>
    </row>
    <row r="949" ht="15.75" customHeight="1">
      <c r="A949" s="47"/>
      <c r="B949" s="47"/>
      <c r="C949" s="47"/>
    </row>
    <row r="950" ht="15.75" customHeight="1">
      <c r="A950" s="47"/>
      <c r="B950" s="47"/>
      <c r="C950" s="47"/>
    </row>
    <row r="951" ht="15.75" customHeight="1">
      <c r="A951" s="47"/>
      <c r="B951" s="47"/>
      <c r="C951" s="47"/>
    </row>
    <row r="952" ht="15.75" customHeight="1">
      <c r="A952" s="47"/>
      <c r="B952" s="47"/>
      <c r="C952" s="47"/>
    </row>
    <row r="953" ht="15.75" customHeight="1">
      <c r="A953" s="47"/>
      <c r="B953" s="47"/>
      <c r="C953" s="47"/>
    </row>
    <row r="954" ht="15.75" customHeight="1">
      <c r="A954" s="47"/>
      <c r="B954" s="47"/>
      <c r="C954" s="47"/>
    </row>
    <row r="955" ht="15.75" customHeight="1">
      <c r="A955" s="47"/>
      <c r="B955" s="47"/>
      <c r="C955" s="47"/>
    </row>
    <row r="956" ht="15.75" customHeight="1">
      <c r="A956" s="47"/>
      <c r="B956" s="47"/>
      <c r="C956" s="47"/>
    </row>
    <row r="957" ht="15.75" customHeight="1">
      <c r="A957" s="47"/>
      <c r="B957" s="47"/>
      <c r="C957" s="47"/>
    </row>
    <row r="958" ht="15.75" customHeight="1">
      <c r="A958" s="47"/>
      <c r="B958" s="47"/>
      <c r="C958" s="47"/>
    </row>
    <row r="959" ht="15.75" customHeight="1">
      <c r="A959" s="47"/>
      <c r="B959" s="47"/>
      <c r="C959" s="47"/>
    </row>
    <row r="960" ht="15.75" customHeight="1">
      <c r="A960" s="47"/>
      <c r="B960" s="47"/>
      <c r="C960" s="47"/>
    </row>
    <row r="961" ht="15.75" customHeight="1">
      <c r="A961" s="47"/>
      <c r="B961" s="47"/>
      <c r="C961" s="47"/>
    </row>
    <row r="962" ht="15.75" customHeight="1">
      <c r="A962" s="47"/>
      <c r="B962" s="47"/>
      <c r="C962" s="47"/>
    </row>
    <row r="963" ht="15.75" customHeight="1">
      <c r="A963" s="47"/>
      <c r="B963" s="47"/>
      <c r="C963" s="47"/>
    </row>
    <row r="964" ht="15.75" customHeight="1">
      <c r="A964" s="47"/>
      <c r="B964" s="47"/>
      <c r="C964" s="47"/>
    </row>
    <row r="965" ht="15.75" customHeight="1">
      <c r="A965" s="47"/>
      <c r="B965" s="47"/>
      <c r="C965" s="47"/>
    </row>
    <row r="966" ht="15.75" customHeight="1">
      <c r="A966" s="47"/>
      <c r="B966" s="47"/>
      <c r="C966" s="47"/>
    </row>
    <row r="967" ht="15.75" customHeight="1">
      <c r="A967" s="47"/>
      <c r="B967" s="47"/>
      <c r="C967" s="47"/>
    </row>
    <row r="968" ht="15.75" customHeight="1">
      <c r="A968" s="47"/>
      <c r="B968" s="47"/>
      <c r="C968" s="47"/>
    </row>
    <row r="969" ht="15.75" customHeight="1">
      <c r="A969" s="47"/>
      <c r="B969" s="47"/>
      <c r="C969" s="47"/>
    </row>
    <row r="970" ht="15.75" customHeight="1">
      <c r="A970" s="47"/>
      <c r="B970" s="47"/>
      <c r="C970" s="47"/>
    </row>
    <row r="971" ht="15.75" customHeight="1">
      <c r="A971" s="47"/>
      <c r="B971" s="47"/>
      <c r="C971" s="47"/>
    </row>
    <row r="972" ht="15.75" customHeight="1">
      <c r="A972" s="47"/>
      <c r="B972" s="47"/>
      <c r="C972" s="47"/>
    </row>
    <row r="973" ht="15.75" customHeight="1">
      <c r="A973" s="47"/>
      <c r="B973" s="47"/>
      <c r="C973" s="47"/>
    </row>
    <row r="974" ht="15.75" customHeight="1">
      <c r="A974" s="47"/>
      <c r="B974" s="47"/>
      <c r="C974" s="47"/>
    </row>
    <row r="975" ht="15.75" customHeight="1">
      <c r="A975" s="47"/>
      <c r="B975" s="47"/>
      <c r="C975" s="47"/>
    </row>
    <row r="976" ht="15.75" customHeight="1">
      <c r="A976" s="47"/>
      <c r="B976" s="47"/>
      <c r="C976" s="47"/>
    </row>
    <row r="977" ht="15.75" customHeight="1">
      <c r="A977" s="47"/>
      <c r="B977" s="47"/>
      <c r="C977" s="47"/>
    </row>
    <row r="978" ht="15.75" customHeight="1">
      <c r="A978" s="47"/>
      <c r="B978" s="47"/>
      <c r="C978" s="47"/>
    </row>
    <row r="979" ht="15.75" customHeight="1">
      <c r="A979" s="47"/>
      <c r="B979" s="47"/>
      <c r="C979" s="47"/>
    </row>
    <row r="980" ht="15.75" customHeight="1">
      <c r="A980" s="47"/>
      <c r="B980" s="47"/>
      <c r="C980" s="47"/>
    </row>
    <row r="981" ht="15.75" customHeight="1">
      <c r="A981" s="47"/>
      <c r="B981" s="47"/>
      <c r="C981" s="47"/>
    </row>
    <row r="982" ht="15.75" customHeight="1">
      <c r="A982" s="47"/>
      <c r="B982" s="47"/>
      <c r="C982" s="47"/>
    </row>
    <row r="983" ht="15.75" customHeight="1">
      <c r="A983" s="47"/>
      <c r="B983" s="47"/>
      <c r="C983" s="47"/>
    </row>
    <row r="984" ht="15.75" customHeight="1">
      <c r="A984" s="47"/>
      <c r="B984" s="47"/>
      <c r="C984" s="47"/>
    </row>
    <row r="985" ht="15.75" customHeight="1">
      <c r="A985" s="47"/>
      <c r="B985" s="47"/>
      <c r="C985" s="47"/>
    </row>
    <row r="986" ht="15.75" customHeight="1">
      <c r="A986" s="47"/>
      <c r="B986" s="47"/>
      <c r="C986" s="47"/>
    </row>
    <row r="987" ht="15.75" customHeight="1">
      <c r="A987" s="47"/>
      <c r="B987" s="47"/>
      <c r="C987" s="47"/>
    </row>
    <row r="988" ht="15.75" customHeight="1">
      <c r="A988" s="47"/>
      <c r="B988" s="47"/>
      <c r="C988" s="47"/>
    </row>
    <row r="989" ht="15.75" customHeight="1">
      <c r="A989" s="47"/>
      <c r="B989" s="47"/>
      <c r="C989" s="47"/>
    </row>
    <row r="990" ht="15.75" customHeight="1">
      <c r="A990" s="47"/>
      <c r="B990" s="47"/>
      <c r="C990" s="47"/>
    </row>
    <row r="991" ht="15.75" customHeight="1">
      <c r="A991" s="47"/>
      <c r="B991" s="47"/>
      <c r="C991" s="47"/>
    </row>
    <row r="992" ht="15.75" customHeight="1">
      <c r="A992" s="47"/>
      <c r="B992" s="47"/>
      <c r="C992" s="47"/>
    </row>
    <row r="993" ht="15.75" customHeight="1">
      <c r="A993" s="47"/>
      <c r="B993" s="47"/>
      <c r="C993" s="47"/>
    </row>
    <row r="994" ht="15.75" customHeight="1">
      <c r="A994" s="47"/>
      <c r="B994" s="47"/>
      <c r="C994" s="47"/>
    </row>
    <row r="995" ht="15.75" customHeight="1">
      <c r="A995" s="47"/>
      <c r="B995" s="47"/>
      <c r="C995" s="47"/>
    </row>
    <row r="996" ht="15.75" customHeight="1">
      <c r="A996" s="47"/>
      <c r="B996" s="47"/>
      <c r="C996" s="47"/>
    </row>
    <row r="997" ht="15.75" customHeight="1">
      <c r="A997" s="47"/>
      <c r="B997" s="47"/>
      <c r="C997" s="47"/>
    </row>
    <row r="998" ht="15.75" customHeight="1">
      <c r="A998" s="47"/>
      <c r="B998" s="47"/>
      <c r="C998" s="47"/>
    </row>
    <row r="999" ht="15.75" customHeight="1">
      <c r="A999" s="47"/>
      <c r="B999" s="47"/>
      <c r="C999" s="47"/>
    </row>
    <row r="1000" ht="15.75" customHeight="1">
      <c r="A1000" s="47"/>
      <c r="B1000" s="47"/>
      <c r="C1000" s="47"/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2.0"/>
    <col customWidth="1" min="2" max="2" width="23.0"/>
    <col customWidth="1" min="3" max="4" width="20.0"/>
    <col customWidth="1" min="5" max="5" width="24.0"/>
    <col customWidth="1" min="6" max="6" width="20.0"/>
    <col customWidth="1" min="7" max="7" width="12.0"/>
    <col customWidth="1" min="8" max="9" width="15.0"/>
    <col customWidth="1" min="10" max="10" width="16.0"/>
    <col customWidth="1" min="11" max="11" width="15.0"/>
    <col customWidth="1" min="12" max="12" width="12.0"/>
    <col customWidth="1" min="13" max="13" width="21.0"/>
    <col customWidth="1" min="14" max="15" width="32.0"/>
    <col customWidth="1" min="16" max="29" width="12.0"/>
  </cols>
  <sheetData>
    <row r="1" ht="27.75" customHeight="1">
      <c r="A1" s="357" t="s">
        <v>1962</v>
      </c>
      <c r="B1" s="68"/>
      <c r="C1" s="68"/>
      <c r="D1" s="68"/>
      <c r="E1" s="68"/>
      <c r="F1" s="69"/>
      <c r="G1" s="47"/>
      <c r="H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ht="15.0" customHeight="1">
      <c r="A2" s="252"/>
      <c r="B2" s="250"/>
      <c r="C2" s="252"/>
      <c r="D2" s="358"/>
      <c r="E2" s="251"/>
      <c r="F2" s="250"/>
      <c r="G2" s="252"/>
      <c r="H2" s="358"/>
      <c r="I2" s="359"/>
      <c r="J2" s="359"/>
      <c r="K2" s="359"/>
      <c r="L2" s="360"/>
      <c r="M2" s="361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</row>
    <row r="3" ht="15.0" customHeight="1">
      <c r="A3" s="72"/>
      <c r="B3" s="72"/>
      <c r="C3" s="72"/>
      <c r="D3" s="72"/>
      <c r="E3" s="72"/>
      <c r="F3" s="72"/>
      <c r="G3" s="72"/>
      <c r="H3" s="363"/>
      <c r="I3" s="72"/>
      <c r="J3" s="72"/>
      <c r="K3" s="72"/>
      <c r="L3" s="72"/>
      <c r="M3" s="72"/>
      <c r="N3" s="72"/>
      <c r="O3" s="72" t="s">
        <v>1963</v>
      </c>
      <c r="P3" s="72" t="s">
        <v>1964</v>
      </c>
      <c r="Q3" s="72" t="s">
        <v>161</v>
      </c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ht="22.5" customHeight="1">
      <c r="A4" s="191" t="s">
        <v>144</v>
      </c>
      <c r="B4" s="191" t="s">
        <v>1593</v>
      </c>
      <c r="C4" s="191" t="s">
        <v>1592</v>
      </c>
      <c r="D4" s="364" t="s">
        <v>148</v>
      </c>
      <c r="E4" s="191" t="s">
        <v>1768</v>
      </c>
      <c r="F4" s="191" t="s">
        <v>1965</v>
      </c>
      <c r="G4" s="191" t="s">
        <v>1853</v>
      </c>
      <c r="H4" s="364" t="s">
        <v>158</v>
      </c>
      <c r="I4" s="191"/>
      <c r="J4" s="191" t="s">
        <v>1966</v>
      </c>
      <c r="K4" s="364" t="s">
        <v>1589</v>
      </c>
      <c r="L4" s="365" t="s">
        <v>1967</v>
      </c>
      <c r="M4" s="366" t="s">
        <v>1968</v>
      </c>
      <c r="N4" s="191"/>
      <c r="O4" s="191"/>
      <c r="P4" s="191" t="s">
        <v>197</v>
      </c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</row>
    <row r="5" ht="22.5" customHeight="1">
      <c r="A5" s="76">
        <v>1.0</v>
      </c>
      <c r="B5" s="74" t="s">
        <v>191</v>
      </c>
      <c r="C5" s="76"/>
      <c r="D5" s="75"/>
      <c r="E5" s="367"/>
      <c r="F5" s="367"/>
      <c r="G5" s="76">
        <v>100.0</v>
      </c>
      <c r="H5" s="75" t="s">
        <v>196</v>
      </c>
      <c r="I5" s="76"/>
      <c r="J5" s="76"/>
      <c r="K5" s="368"/>
      <c r="L5" s="369"/>
      <c r="M5" s="370"/>
      <c r="N5" s="79"/>
      <c r="O5" s="79"/>
      <c r="P5" s="79" t="s">
        <v>216</v>
      </c>
      <c r="Q5" s="79"/>
      <c r="R5" s="362"/>
      <c r="S5" s="362"/>
      <c r="T5" s="362"/>
      <c r="U5" s="362"/>
      <c r="V5" s="362"/>
      <c r="W5" s="362"/>
      <c r="X5" s="362"/>
      <c r="Y5" s="362"/>
      <c r="Z5" s="362"/>
      <c r="AA5" s="362"/>
      <c r="AB5" s="362"/>
      <c r="AC5" s="362"/>
    </row>
    <row r="6" ht="22.5" customHeight="1">
      <c r="A6" s="82">
        <v>2.0</v>
      </c>
      <c r="B6" s="80" t="s">
        <v>201</v>
      </c>
      <c r="C6" s="82"/>
      <c r="D6" s="81"/>
      <c r="E6" s="371"/>
      <c r="F6" s="371"/>
      <c r="G6" s="82">
        <v>75.0</v>
      </c>
      <c r="H6" s="81" t="s">
        <v>203</v>
      </c>
      <c r="I6" s="82"/>
      <c r="J6" s="82"/>
      <c r="K6" s="372"/>
      <c r="L6" s="373"/>
      <c r="M6" s="374"/>
      <c r="N6" s="83"/>
      <c r="O6" s="83" t="s">
        <v>1969</v>
      </c>
      <c r="P6" s="83" t="s">
        <v>225</v>
      </c>
      <c r="Q6" s="83"/>
      <c r="R6" s="362"/>
      <c r="S6" s="362"/>
      <c r="T6" s="362"/>
      <c r="U6" s="362"/>
      <c r="V6" s="362"/>
      <c r="W6" s="362"/>
      <c r="X6" s="362"/>
      <c r="Y6" s="362"/>
      <c r="Z6" s="362"/>
      <c r="AA6" s="362"/>
      <c r="AB6" s="362"/>
      <c r="AC6" s="362"/>
    </row>
    <row r="7" ht="22.5" customHeight="1">
      <c r="A7" s="82">
        <v>3.0</v>
      </c>
      <c r="B7" s="80" t="s">
        <v>208</v>
      </c>
      <c r="C7" s="82" t="s">
        <v>207</v>
      </c>
      <c r="D7" s="81"/>
      <c r="E7" s="371"/>
      <c r="F7" s="375" t="s">
        <v>210</v>
      </c>
      <c r="G7" s="82">
        <v>30.0</v>
      </c>
      <c r="H7" s="81" t="s">
        <v>213</v>
      </c>
      <c r="I7" s="82"/>
      <c r="J7" s="82" t="s">
        <v>215</v>
      </c>
      <c r="K7" s="372" t="s">
        <v>214</v>
      </c>
      <c r="L7" s="373">
        <v>70.0</v>
      </c>
      <c r="M7" s="374">
        <v>46091.0</v>
      </c>
      <c r="N7" s="83"/>
      <c r="O7" s="83"/>
      <c r="P7" s="83" t="s">
        <v>913</v>
      </c>
      <c r="Q7" s="83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</row>
    <row r="8" ht="21.0" customHeight="1">
      <c r="A8" s="82">
        <v>4.0</v>
      </c>
      <c r="B8" s="80" t="s">
        <v>218</v>
      </c>
      <c r="C8" s="82" t="s">
        <v>217</v>
      </c>
      <c r="D8" s="81"/>
      <c r="E8" s="371" t="s">
        <v>266</v>
      </c>
      <c r="F8" s="376" t="s">
        <v>220</v>
      </c>
      <c r="G8" s="82">
        <v>20.0</v>
      </c>
      <c r="H8" s="81" t="s">
        <v>222</v>
      </c>
      <c r="I8" s="82"/>
      <c r="J8" s="82" t="s">
        <v>224</v>
      </c>
      <c r="K8" s="372" t="s">
        <v>223</v>
      </c>
      <c r="L8" s="373">
        <v>100.0</v>
      </c>
      <c r="M8" s="374">
        <v>46096.0</v>
      </c>
      <c r="N8" s="83"/>
      <c r="O8" s="83"/>
      <c r="P8" s="83" t="s">
        <v>725</v>
      </c>
      <c r="Q8" s="83"/>
      <c r="R8" s="362"/>
      <c r="S8" s="362"/>
      <c r="T8" s="362"/>
      <c r="U8" s="362"/>
      <c r="V8" s="362"/>
      <c r="W8" s="362"/>
      <c r="X8" s="362"/>
      <c r="Y8" s="362"/>
      <c r="Z8" s="362"/>
      <c r="AA8" s="362"/>
      <c r="AB8" s="362"/>
      <c r="AC8" s="362"/>
    </row>
    <row r="9" ht="22.5" customHeight="1">
      <c r="A9" s="76">
        <v>5.0</v>
      </c>
      <c r="B9" s="74" t="s">
        <v>227</v>
      </c>
      <c r="C9" s="76" t="s">
        <v>226</v>
      </c>
      <c r="D9" s="75"/>
      <c r="E9" s="367"/>
      <c r="F9" s="377" t="s">
        <v>228</v>
      </c>
      <c r="G9" s="76">
        <v>30.0</v>
      </c>
      <c r="H9" s="75" t="s">
        <v>1494</v>
      </c>
      <c r="I9" s="76"/>
      <c r="J9" s="76" t="s">
        <v>1599</v>
      </c>
      <c r="K9" s="368" t="s">
        <v>230</v>
      </c>
      <c r="L9" s="369">
        <v>50.0</v>
      </c>
      <c r="M9" s="370">
        <v>46096.0</v>
      </c>
      <c r="N9" s="79"/>
      <c r="O9" s="79"/>
      <c r="P9" s="79" t="s">
        <v>921</v>
      </c>
      <c r="Q9" s="79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</row>
    <row r="10" ht="22.5" customHeight="1">
      <c r="A10" s="82">
        <v>6.0</v>
      </c>
      <c r="B10" s="80" t="s">
        <v>234</v>
      </c>
      <c r="C10" s="82" t="s">
        <v>233</v>
      </c>
      <c r="D10" s="81"/>
      <c r="E10" s="371"/>
      <c r="F10" s="378" t="s">
        <v>235</v>
      </c>
      <c r="G10" s="82">
        <v>20.0</v>
      </c>
      <c r="H10" s="81" t="s">
        <v>236</v>
      </c>
      <c r="I10" s="82"/>
      <c r="J10" s="82" t="s">
        <v>238</v>
      </c>
      <c r="K10" s="372" t="s">
        <v>237</v>
      </c>
      <c r="L10" s="373">
        <v>50.0</v>
      </c>
      <c r="M10" s="374">
        <v>46096.0</v>
      </c>
      <c r="N10" s="83"/>
      <c r="O10" s="83"/>
      <c r="P10" s="83" t="s">
        <v>1244</v>
      </c>
      <c r="Q10" s="83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</row>
    <row r="11" ht="22.5" customHeight="1">
      <c r="A11" s="82">
        <v>7.0</v>
      </c>
      <c r="B11" s="80" t="s">
        <v>241</v>
      </c>
      <c r="C11" s="82" t="s">
        <v>240</v>
      </c>
      <c r="D11" s="81"/>
      <c r="E11" s="371" t="s">
        <v>211</v>
      </c>
      <c r="F11" s="376" t="s">
        <v>1970</v>
      </c>
      <c r="G11" s="82">
        <v>20.0</v>
      </c>
      <c r="H11" s="81" t="s">
        <v>242</v>
      </c>
      <c r="I11" s="82"/>
      <c r="J11" s="82" t="s">
        <v>244</v>
      </c>
      <c r="K11" s="372" t="s">
        <v>243</v>
      </c>
      <c r="L11" s="373">
        <v>30.0</v>
      </c>
      <c r="M11" s="374">
        <v>46096.0</v>
      </c>
      <c r="N11" s="83"/>
      <c r="O11" s="83"/>
      <c r="P11" s="83" t="s">
        <v>449</v>
      </c>
      <c r="Q11" s="83"/>
      <c r="R11" s="362"/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</row>
    <row r="12" ht="22.5" customHeight="1">
      <c r="A12" s="76">
        <v>8.0</v>
      </c>
      <c r="B12" s="74" t="s">
        <v>247</v>
      </c>
      <c r="C12" s="76" t="s">
        <v>246</v>
      </c>
      <c r="D12" s="75" t="s">
        <v>248</v>
      </c>
      <c r="E12" s="367" t="s">
        <v>462</v>
      </c>
      <c r="F12" s="377" t="s">
        <v>249</v>
      </c>
      <c r="G12" s="76">
        <v>20.0</v>
      </c>
      <c r="H12" s="75" t="s">
        <v>250</v>
      </c>
      <c r="I12" s="76"/>
      <c r="J12" s="76" t="s">
        <v>252</v>
      </c>
      <c r="K12" s="368" t="s">
        <v>251</v>
      </c>
      <c r="L12" s="369">
        <v>20.0</v>
      </c>
      <c r="M12" s="370">
        <v>46096.0</v>
      </c>
      <c r="N12" s="79"/>
      <c r="O12" s="79"/>
      <c r="P12" s="79" t="s">
        <v>591</v>
      </c>
      <c r="Q12" s="79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</row>
    <row r="13" ht="22.5" customHeight="1">
      <c r="A13" s="76">
        <v>9.0</v>
      </c>
      <c r="B13" s="74" t="s">
        <v>255</v>
      </c>
      <c r="C13" s="76" t="s">
        <v>254</v>
      </c>
      <c r="D13" s="75" t="s">
        <v>256</v>
      </c>
      <c r="E13" s="367" t="s">
        <v>462</v>
      </c>
      <c r="F13" s="377" t="s">
        <v>257</v>
      </c>
      <c r="G13" s="76">
        <v>20.0</v>
      </c>
      <c r="H13" s="75" t="s">
        <v>258</v>
      </c>
      <c r="I13" s="76"/>
      <c r="J13" s="76" t="s">
        <v>260</v>
      </c>
      <c r="K13" s="368" t="s">
        <v>259</v>
      </c>
      <c r="L13" s="369">
        <v>21.0</v>
      </c>
      <c r="M13" s="370">
        <v>46096.0</v>
      </c>
      <c r="N13" s="79"/>
      <c r="O13" s="79"/>
      <c r="P13" s="79" t="s">
        <v>371</v>
      </c>
      <c r="Q13" s="79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</row>
    <row r="14" ht="22.5" customHeight="1">
      <c r="A14" s="76">
        <v>10.0</v>
      </c>
      <c r="B14" s="74" t="s">
        <v>263</v>
      </c>
      <c r="C14" s="76" t="s">
        <v>262</v>
      </c>
      <c r="D14" s="75" t="s">
        <v>1971</v>
      </c>
      <c r="E14" s="367" t="s">
        <v>266</v>
      </c>
      <c r="F14" s="377" t="s">
        <v>265</v>
      </c>
      <c r="G14" s="76">
        <v>20.0</v>
      </c>
      <c r="H14" s="75" t="s">
        <v>267</v>
      </c>
      <c r="I14" s="76"/>
      <c r="J14" s="76" t="s">
        <v>269</v>
      </c>
      <c r="K14" s="368" t="s">
        <v>268</v>
      </c>
      <c r="L14" s="369">
        <v>20.0</v>
      </c>
      <c r="M14" s="370">
        <v>46096.0</v>
      </c>
      <c r="N14" s="79"/>
      <c r="O14" s="79"/>
      <c r="P14" s="79" t="s">
        <v>718</v>
      </c>
      <c r="Q14" s="79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</row>
    <row r="15" ht="22.5" customHeight="1">
      <c r="A15" s="82">
        <v>11.0</v>
      </c>
      <c r="B15" s="80" t="s">
        <v>272</v>
      </c>
      <c r="C15" s="82" t="s">
        <v>271</v>
      </c>
      <c r="D15" s="81"/>
      <c r="E15" s="371"/>
      <c r="F15" s="376" t="s">
        <v>273</v>
      </c>
      <c r="G15" s="82">
        <v>20.0</v>
      </c>
      <c r="H15" s="81" t="s">
        <v>274</v>
      </c>
      <c r="I15" s="82"/>
      <c r="J15" s="82" t="s">
        <v>276</v>
      </c>
      <c r="K15" s="372" t="s">
        <v>275</v>
      </c>
      <c r="L15" s="373">
        <v>140.0</v>
      </c>
      <c r="M15" s="374">
        <v>46096.0</v>
      </c>
      <c r="N15" s="83"/>
      <c r="O15" s="83"/>
      <c r="P15" s="83" t="s">
        <v>819</v>
      </c>
      <c r="Q15" s="83"/>
      <c r="R15" s="362"/>
      <c r="S15" s="362"/>
      <c r="T15" s="362"/>
      <c r="U15" s="362"/>
      <c r="V15" s="362"/>
      <c r="W15" s="362"/>
      <c r="X15" s="362"/>
      <c r="Y15" s="362"/>
      <c r="Z15" s="362"/>
      <c r="AA15" s="362"/>
      <c r="AB15" s="362"/>
      <c r="AC15" s="362"/>
    </row>
    <row r="16" ht="22.5" customHeight="1">
      <c r="A16" s="82">
        <v>12.0</v>
      </c>
      <c r="B16" s="80" t="s">
        <v>279</v>
      </c>
      <c r="C16" s="82" t="s">
        <v>278</v>
      </c>
      <c r="D16" s="81"/>
      <c r="E16" s="371" t="s">
        <v>266</v>
      </c>
      <c r="F16" s="376" t="s">
        <v>280</v>
      </c>
      <c r="G16" s="82">
        <v>20.0</v>
      </c>
      <c r="H16" s="81" t="s">
        <v>281</v>
      </c>
      <c r="I16" s="82"/>
      <c r="J16" s="82" t="s">
        <v>283</v>
      </c>
      <c r="K16" s="372" t="s">
        <v>282</v>
      </c>
      <c r="L16" s="373">
        <v>140.0</v>
      </c>
      <c r="M16" s="374">
        <v>46096.0</v>
      </c>
      <c r="N16" s="83"/>
      <c r="O16" s="83"/>
      <c r="P16" s="83" t="s">
        <v>741</v>
      </c>
      <c r="Q16" s="83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</row>
    <row r="17" ht="22.5" customHeight="1">
      <c r="A17" s="76">
        <v>13.0</v>
      </c>
      <c r="B17" s="74" t="s">
        <v>286</v>
      </c>
      <c r="C17" s="76" t="s">
        <v>285</v>
      </c>
      <c r="D17" s="75" t="s">
        <v>287</v>
      </c>
      <c r="E17" s="367" t="s">
        <v>266</v>
      </c>
      <c r="F17" s="377" t="s">
        <v>288</v>
      </c>
      <c r="G17" s="76">
        <v>20.0</v>
      </c>
      <c r="H17" s="75" t="s">
        <v>289</v>
      </c>
      <c r="I17" s="76"/>
      <c r="J17" s="76" t="s">
        <v>291</v>
      </c>
      <c r="K17" s="368" t="s">
        <v>290</v>
      </c>
      <c r="L17" s="369">
        <v>70.0</v>
      </c>
      <c r="M17" s="370">
        <v>46096.0</v>
      </c>
      <c r="N17" s="79"/>
      <c r="O17" s="79"/>
      <c r="P17" s="79" t="s">
        <v>733</v>
      </c>
      <c r="Q17" s="79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</row>
    <row r="18" ht="22.5" customHeight="1">
      <c r="A18" s="76">
        <v>14.0</v>
      </c>
      <c r="B18" s="74" t="s">
        <v>294</v>
      </c>
      <c r="C18" s="76" t="s">
        <v>293</v>
      </c>
      <c r="D18" s="75" t="s">
        <v>295</v>
      </c>
      <c r="E18" s="367" t="s">
        <v>1208</v>
      </c>
      <c r="F18" s="377" t="s">
        <v>296</v>
      </c>
      <c r="G18" s="76">
        <v>20.0</v>
      </c>
      <c r="H18" s="75" t="s">
        <v>297</v>
      </c>
      <c r="I18" s="76"/>
      <c r="J18" s="76" t="s">
        <v>299</v>
      </c>
      <c r="K18" s="368" t="s">
        <v>298</v>
      </c>
      <c r="L18" s="369">
        <v>100.0</v>
      </c>
      <c r="M18" s="370">
        <v>46096.0</v>
      </c>
      <c r="N18" s="79"/>
      <c r="O18" s="79"/>
      <c r="P18" s="79" t="s">
        <v>749</v>
      </c>
      <c r="Q18" s="79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362"/>
    </row>
    <row r="19" ht="22.5" customHeight="1">
      <c r="A19" s="76">
        <v>15.0</v>
      </c>
      <c r="B19" s="74" t="s">
        <v>302</v>
      </c>
      <c r="C19" s="76" t="s">
        <v>301</v>
      </c>
      <c r="D19" s="75"/>
      <c r="E19" s="367"/>
      <c r="F19" s="377" t="s">
        <v>304</v>
      </c>
      <c r="G19" s="76">
        <v>20.0</v>
      </c>
      <c r="H19" s="75" t="s">
        <v>305</v>
      </c>
      <c r="I19" s="76"/>
      <c r="J19" s="76" t="s">
        <v>1600</v>
      </c>
      <c r="K19" s="368" t="s">
        <v>306</v>
      </c>
      <c r="L19" s="369">
        <v>180.0</v>
      </c>
      <c r="M19" s="370">
        <v>46096.0</v>
      </c>
      <c r="N19" s="79"/>
      <c r="O19" s="79"/>
      <c r="P19" s="79" t="s">
        <v>796</v>
      </c>
      <c r="Q19" s="79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</row>
    <row r="20" ht="22.5" customHeight="1">
      <c r="A20" s="76">
        <v>16.0</v>
      </c>
      <c r="B20" s="74" t="s">
        <v>310</v>
      </c>
      <c r="C20" s="76" t="s">
        <v>309</v>
      </c>
      <c r="D20" s="75"/>
      <c r="E20" s="367" t="s">
        <v>211</v>
      </c>
      <c r="F20" s="377" t="s">
        <v>311</v>
      </c>
      <c r="G20" s="76">
        <v>20.0</v>
      </c>
      <c r="H20" s="75" t="s">
        <v>312</v>
      </c>
      <c r="I20" s="76"/>
      <c r="J20" s="76" t="s">
        <v>314</v>
      </c>
      <c r="K20" s="368" t="s">
        <v>313</v>
      </c>
      <c r="L20" s="369">
        <v>80.0</v>
      </c>
      <c r="M20" s="370">
        <v>46096.0</v>
      </c>
      <c r="N20" s="79"/>
      <c r="O20" s="79"/>
      <c r="P20" s="79" t="s">
        <v>636</v>
      </c>
      <c r="Q20" s="79"/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362"/>
    </row>
    <row r="21" ht="15.75" customHeight="1">
      <c r="A21" s="76">
        <v>17.0</v>
      </c>
      <c r="B21" s="74" t="s">
        <v>317</v>
      </c>
      <c r="C21" s="76" t="s">
        <v>316</v>
      </c>
      <c r="D21" s="75"/>
      <c r="E21" s="367" t="s">
        <v>211</v>
      </c>
      <c r="F21" s="377" t="s">
        <v>318</v>
      </c>
      <c r="G21" s="76">
        <v>20.0</v>
      </c>
      <c r="H21" s="75" t="s">
        <v>319</v>
      </c>
      <c r="I21" s="76"/>
      <c r="J21" s="76" t="s">
        <v>440</v>
      </c>
      <c r="K21" s="368" t="s">
        <v>320</v>
      </c>
      <c r="L21" s="369">
        <v>300.0</v>
      </c>
      <c r="M21" s="370">
        <v>46096.0</v>
      </c>
      <c r="N21" s="79"/>
      <c r="O21" s="79"/>
      <c r="P21" s="79" t="s">
        <v>545</v>
      </c>
      <c r="Q21" s="79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</row>
    <row r="22" ht="15.75" customHeight="1">
      <c r="A22" s="82">
        <v>18.0</v>
      </c>
      <c r="B22" s="80" t="s">
        <v>324</v>
      </c>
      <c r="C22" s="82" t="s">
        <v>323</v>
      </c>
      <c r="D22" s="81" t="s">
        <v>325</v>
      </c>
      <c r="E22" s="371" t="s">
        <v>327</v>
      </c>
      <c r="F22" s="376" t="s">
        <v>326</v>
      </c>
      <c r="G22" s="82">
        <v>20.0</v>
      </c>
      <c r="H22" s="81" t="s">
        <v>949</v>
      </c>
      <c r="I22" s="82"/>
      <c r="J22" s="82" t="s">
        <v>329</v>
      </c>
      <c r="K22" s="372" t="s">
        <v>328</v>
      </c>
      <c r="L22" s="373">
        <v>35.0</v>
      </c>
      <c r="M22" s="374">
        <v>46096.0</v>
      </c>
      <c r="N22" s="83"/>
      <c r="O22" s="83"/>
      <c r="P22" s="83" t="s">
        <v>772</v>
      </c>
      <c r="Q22" s="83"/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362"/>
    </row>
    <row r="23" ht="15.75" customHeight="1">
      <c r="A23" s="82">
        <v>19.0</v>
      </c>
      <c r="B23" s="80" t="s">
        <v>334</v>
      </c>
      <c r="C23" s="82" t="s">
        <v>333</v>
      </c>
      <c r="D23" s="81" t="s">
        <v>335</v>
      </c>
      <c r="E23" s="371"/>
      <c r="F23" s="376" t="s">
        <v>336</v>
      </c>
      <c r="G23" s="82">
        <v>20.0</v>
      </c>
      <c r="H23" s="81" t="s">
        <v>337</v>
      </c>
      <c r="I23" s="82"/>
      <c r="J23" s="82" t="s">
        <v>339</v>
      </c>
      <c r="K23" s="372" t="s">
        <v>338</v>
      </c>
      <c r="L23" s="373">
        <v>50.0</v>
      </c>
      <c r="M23" s="374">
        <v>46096.0</v>
      </c>
      <c r="N23" s="83"/>
      <c r="O23" s="83"/>
      <c r="P23" s="83" t="s">
        <v>757</v>
      </c>
      <c r="Q23" s="83"/>
      <c r="R23" s="362"/>
      <c r="S23" s="362"/>
      <c r="T23" s="362"/>
      <c r="U23" s="362"/>
      <c r="V23" s="362"/>
      <c r="W23" s="362"/>
      <c r="X23" s="362"/>
      <c r="Y23" s="362"/>
      <c r="Z23" s="362"/>
      <c r="AA23" s="362"/>
      <c r="AB23" s="362"/>
      <c r="AC23" s="362"/>
    </row>
    <row r="24" ht="22.5" customHeight="1">
      <c r="A24" s="82">
        <v>20.0</v>
      </c>
      <c r="B24" s="80" t="s">
        <v>342</v>
      </c>
      <c r="C24" s="82" t="s">
        <v>341</v>
      </c>
      <c r="D24" s="81" t="s">
        <v>343</v>
      </c>
      <c r="E24" s="371"/>
      <c r="F24" s="376" t="s">
        <v>344</v>
      </c>
      <c r="G24" s="82">
        <v>20.0</v>
      </c>
      <c r="H24" s="81" t="s">
        <v>345</v>
      </c>
      <c r="I24" s="82"/>
      <c r="J24" s="82" t="s">
        <v>347</v>
      </c>
      <c r="K24" s="372" t="s">
        <v>346</v>
      </c>
      <c r="L24" s="373">
        <v>20.0</v>
      </c>
      <c r="M24" s="374">
        <v>46096.0</v>
      </c>
      <c r="N24" s="83"/>
      <c r="O24" s="83"/>
      <c r="P24" s="83" t="s">
        <v>804</v>
      </c>
      <c r="Q24" s="83"/>
      <c r="R24" s="362"/>
      <c r="S24" s="362"/>
      <c r="T24" s="362"/>
      <c r="U24" s="362"/>
      <c r="V24" s="362"/>
      <c r="W24" s="362"/>
      <c r="X24" s="362"/>
      <c r="Y24" s="362"/>
      <c r="Z24" s="362"/>
      <c r="AA24" s="362"/>
      <c r="AB24" s="362"/>
      <c r="AC24" s="362"/>
    </row>
    <row r="25" ht="15.75" customHeight="1">
      <c r="A25" s="82">
        <v>21.0</v>
      </c>
      <c r="B25" s="80" t="s">
        <v>350</v>
      </c>
      <c r="C25" s="82" t="s">
        <v>349</v>
      </c>
      <c r="D25" s="81"/>
      <c r="E25" s="371"/>
      <c r="F25" s="376" t="s">
        <v>352</v>
      </c>
      <c r="G25" s="82">
        <v>50.0</v>
      </c>
      <c r="H25" s="81" t="s">
        <v>353</v>
      </c>
      <c r="I25" s="82"/>
      <c r="J25" s="82" t="s">
        <v>355</v>
      </c>
      <c r="K25" s="372" t="s">
        <v>354</v>
      </c>
      <c r="L25" s="373">
        <v>120.0</v>
      </c>
      <c r="M25" s="374">
        <v>46096.0</v>
      </c>
      <c r="N25" s="83"/>
      <c r="O25" s="83" t="s">
        <v>1969</v>
      </c>
      <c r="P25" s="83" t="s">
        <v>253</v>
      </c>
      <c r="Q25" s="83"/>
      <c r="R25" s="362"/>
      <c r="S25" s="362"/>
      <c r="T25" s="362"/>
      <c r="U25" s="362"/>
      <c r="V25" s="362"/>
      <c r="W25" s="362"/>
      <c r="X25" s="362"/>
      <c r="Y25" s="362"/>
      <c r="Z25" s="362"/>
      <c r="AA25" s="362"/>
      <c r="AB25" s="362"/>
      <c r="AC25" s="362"/>
    </row>
    <row r="26" ht="15.75" customHeight="1">
      <c r="A26" s="76">
        <v>22.0</v>
      </c>
      <c r="B26" s="74" t="s">
        <v>358</v>
      </c>
      <c r="C26" s="76" t="s">
        <v>357</v>
      </c>
      <c r="D26" s="75" t="s">
        <v>359</v>
      </c>
      <c r="E26" s="367" t="s">
        <v>327</v>
      </c>
      <c r="F26" s="377" t="s">
        <v>360</v>
      </c>
      <c r="G26" s="76">
        <v>20.0</v>
      </c>
      <c r="H26" s="75" t="s">
        <v>361</v>
      </c>
      <c r="I26" s="76"/>
      <c r="J26" s="76" t="s">
        <v>363</v>
      </c>
      <c r="K26" s="368" t="s">
        <v>362</v>
      </c>
      <c r="L26" s="369">
        <v>50.0</v>
      </c>
      <c r="M26" s="370">
        <v>46096.0</v>
      </c>
      <c r="N26" s="79"/>
      <c r="O26" s="79"/>
      <c r="P26" s="79" t="s">
        <v>780</v>
      </c>
      <c r="Q26" s="79"/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  <c r="AC26" s="362"/>
    </row>
    <row r="27" ht="15.75" customHeight="1">
      <c r="A27" s="76">
        <v>23.0</v>
      </c>
      <c r="B27" s="74" t="s">
        <v>366</v>
      </c>
      <c r="C27" s="76" t="s">
        <v>365</v>
      </c>
      <c r="D27" s="75"/>
      <c r="E27" s="367"/>
      <c r="F27" s="377" t="s">
        <v>367</v>
      </c>
      <c r="G27" s="76">
        <v>20.0</v>
      </c>
      <c r="H27" s="75" t="s">
        <v>368</v>
      </c>
      <c r="I27" s="76"/>
      <c r="J27" s="76" t="s">
        <v>370</v>
      </c>
      <c r="K27" s="368" t="s">
        <v>369</v>
      </c>
      <c r="L27" s="369">
        <v>175.0</v>
      </c>
      <c r="M27" s="370">
        <v>46096.0</v>
      </c>
      <c r="N27" s="79"/>
      <c r="O27" s="79"/>
      <c r="P27" s="79" t="s">
        <v>765</v>
      </c>
      <c r="Q27" s="79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  <c r="AC27" s="362"/>
    </row>
    <row r="28" ht="15.75" customHeight="1">
      <c r="A28" s="82">
        <v>24.0</v>
      </c>
      <c r="B28" s="80" t="s">
        <v>373</v>
      </c>
      <c r="C28" s="82" t="s">
        <v>372</v>
      </c>
      <c r="D28" s="81"/>
      <c r="E28" s="371"/>
      <c r="F28" s="376" t="s">
        <v>374</v>
      </c>
      <c r="G28" s="82">
        <v>20.0</v>
      </c>
      <c r="H28" s="81" t="s">
        <v>375</v>
      </c>
      <c r="I28" s="82"/>
      <c r="J28" s="82" t="s">
        <v>377</v>
      </c>
      <c r="K28" s="372" t="s">
        <v>376</v>
      </c>
      <c r="L28" s="373">
        <v>80.0</v>
      </c>
      <c r="M28" s="374">
        <v>46096.0</v>
      </c>
      <c r="N28" s="83"/>
      <c r="O28" s="83"/>
      <c r="P28" s="83" t="s">
        <v>834</v>
      </c>
      <c r="Q28" s="83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</row>
    <row r="29" ht="15.75" customHeight="1">
      <c r="A29" s="76">
        <v>25.0</v>
      </c>
      <c r="B29" s="74" t="s">
        <v>380</v>
      </c>
      <c r="C29" s="76" t="s">
        <v>379</v>
      </c>
      <c r="D29" s="75" t="s">
        <v>381</v>
      </c>
      <c r="E29" s="367"/>
      <c r="F29" s="377" t="s">
        <v>382</v>
      </c>
      <c r="G29" s="76">
        <v>20.0</v>
      </c>
      <c r="H29" s="75" t="s">
        <v>383</v>
      </c>
      <c r="I29" s="76"/>
      <c r="J29" s="76" t="s">
        <v>619</v>
      </c>
      <c r="K29" s="368" t="s">
        <v>384</v>
      </c>
      <c r="L29" s="369">
        <v>140.0</v>
      </c>
      <c r="M29" s="370">
        <v>46096.0</v>
      </c>
      <c r="N29" s="79"/>
      <c r="O29" s="79"/>
      <c r="P29" s="79" t="s">
        <v>812</v>
      </c>
      <c r="Q29" s="79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</row>
    <row r="30" ht="15.75" customHeight="1">
      <c r="A30" s="76">
        <v>26.0</v>
      </c>
      <c r="B30" s="74" t="s">
        <v>388</v>
      </c>
      <c r="C30" s="76" t="s">
        <v>387</v>
      </c>
      <c r="D30" s="75"/>
      <c r="E30" s="367"/>
      <c r="F30" s="377" t="s">
        <v>389</v>
      </c>
      <c r="G30" s="76">
        <v>20.0</v>
      </c>
      <c r="H30" s="75" t="s">
        <v>390</v>
      </c>
      <c r="I30" s="76"/>
      <c r="J30" s="76" t="s">
        <v>392</v>
      </c>
      <c r="K30" s="368" t="s">
        <v>391</v>
      </c>
      <c r="L30" s="369">
        <v>100.0</v>
      </c>
      <c r="M30" s="370">
        <v>46096.0</v>
      </c>
      <c r="N30" s="79"/>
      <c r="O30" s="79"/>
      <c r="P30" s="79" t="s">
        <v>826</v>
      </c>
      <c r="Q30" s="79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</row>
    <row r="31" ht="15.75" customHeight="1">
      <c r="A31" s="76">
        <v>27.0</v>
      </c>
      <c r="B31" s="74" t="s">
        <v>395</v>
      </c>
      <c r="C31" s="76" t="s">
        <v>394</v>
      </c>
      <c r="D31" s="75" t="s">
        <v>396</v>
      </c>
      <c r="E31" s="367" t="s">
        <v>211</v>
      </c>
      <c r="F31" s="377" t="s">
        <v>397</v>
      </c>
      <c r="G31" s="76">
        <v>30.0</v>
      </c>
      <c r="H31" s="75" t="s">
        <v>398</v>
      </c>
      <c r="I31" s="76"/>
      <c r="J31" s="76" t="s">
        <v>400</v>
      </c>
      <c r="K31" s="368" t="s">
        <v>399</v>
      </c>
      <c r="L31" s="369">
        <v>150.0</v>
      </c>
      <c r="M31" s="370">
        <v>46096.0</v>
      </c>
      <c r="N31" s="79"/>
      <c r="O31" s="79" t="s">
        <v>1969</v>
      </c>
      <c r="P31" s="79" t="s">
        <v>261</v>
      </c>
      <c r="Q31" s="79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</row>
    <row r="32" ht="15.75" customHeight="1">
      <c r="A32" s="82">
        <v>28.0</v>
      </c>
      <c r="B32" s="80" t="s">
        <v>403</v>
      </c>
      <c r="C32" s="82" t="s">
        <v>402</v>
      </c>
      <c r="D32" s="81" t="s">
        <v>404</v>
      </c>
      <c r="E32" s="371" t="s">
        <v>211</v>
      </c>
      <c r="F32" s="376" t="s">
        <v>405</v>
      </c>
      <c r="G32" s="82">
        <v>20.0</v>
      </c>
      <c r="H32" s="81" t="s">
        <v>406</v>
      </c>
      <c r="I32" s="82"/>
      <c r="J32" s="82" t="s">
        <v>408</v>
      </c>
      <c r="K32" s="372" t="s">
        <v>407</v>
      </c>
      <c r="L32" s="373">
        <v>50.0</v>
      </c>
      <c r="M32" s="374">
        <v>46096.0</v>
      </c>
      <c r="N32" s="83"/>
      <c r="O32" s="83"/>
      <c r="P32" s="83" t="s">
        <v>850</v>
      </c>
      <c r="Q32" s="83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</row>
    <row r="33" ht="15.75" customHeight="1">
      <c r="A33" s="76">
        <v>29.0</v>
      </c>
      <c r="B33" s="74" t="s">
        <v>410</v>
      </c>
      <c r="C33" s="76"/>
      <c r="D33" s="75"/>
      <c r="E33" s="367"/>
      <c r="F33" s="377" t="s">
        <v>411</v>
      </c>
      <c r="G33" s="76"/>
      <c r="H33" s="75"/>
      <c r="I33" s="76"/>
      <c r="J33" s="76"/>
      <c r="K33" s="368"/>
      <c r="L33" s="369"/>
      <c r="M33" s="370"/>
      <c r="N33" s="79"/>
      <c r="O33" s="79"/>
      <c r="P33" s="79"/>
      <c r="Q33" s="79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  <c r="AC33" s="362"/>
    </row>
    <row r="34" ht="15.75" customHeight="1">
      <c r="A34" s="76">
        <v>30.0</v>
      </c>
      <c r="B34" s="74" t="s">
        <v>413</v>
      </c>
      <c r="C34" s="76" t="s">
        <v>412</v>
      </c>
      <c r="D34" s="75" t="s">
        <v>414</v>
      </c>
      <c r="E34" s="367" t="s">
        <v>211</v>
      </c>
      <c r="F34" s="377" t="s">
        <v>415</v>
      </c>
      <c r="G34" s="76">
        <v>20.0</v>
      </c>
      <c r="H34" s="75" t="s">
        <v>416</v>
      </c>
      <c r="I34" s="76"/>
      <c r="J34" s="76" t="s">
        <v>418</v>
      </c>
      <c r="K34" s="368" t="s">
        <v>417</v>
      </c>
      <c r="L34" s="369">
        <v>200.0</v>
      </c>
      <c r="M34" s="370">
        <v>46111.0</v>
      </c>
      <c r="N34" s="79"/>
      <c r="O34" s="79"/>
      <c r="P34" s="79" t="s">
        <v>858</v>
      </c>
      <c r="Q34" s="79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</row>
    <row r="35" ht="15.75" customHeight="1">
      <c r="A35" s="82">
        <v>31.0</v>
      </c>
      <c r="B35" s="80" t="s">
        <v>421</v>
      </c>
      <c r="C35" s="82" t="s">
        <v>420</v>
      </c>
      <c r="D35" s="81" t="s">
        <v>422</v>
      </c>
      <c r="E35" s="371" t="s">
        <v>211</v>
      </c>
      <c r="F35" s="376" t="s">
        <v>423</v>
      </c>
      <c r="G35" s="82">
        <v>20.0</v>
      </c>
      <c r="H35" s="81" t="s">
        <v>424</v>
      </c>
      <c r="I35" s="82"/>
      <c r="J35" s="82" t="s">
        <v>426</v>
      </c>
      <c r="K35" s="372" t="s">
        <v>425</v>
      </c>
      <c r="L35" s="373">
        <v>250.0</v>
      </c>
      <c r="M35" s="374">
        <v>46111.0</v>
      </c>
      <c r="N35" s="83"/>
      <c r="O35" s="83"/>
      <c r="P35" s="83" t="s">
        <v>866</v>
      </c>
      <c r="Q35" s="83"/>
      <c r="R35" s="362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  <c r="AC35" s="362"/>
    </row>
    <row r="36" ht="15.75" customHeight="1">
      <c r="A36" s="82">
        <v>32.0</v>
      </c>
      <c r="B36" s="80" t="s">
        <v>429</v>
      </c>
      <c r="C36" s="82" t="s">
        <v>428</v>
      </c>
      <c r="D36" s="81"/>
      <c r="E36" s="371" t="s">
        <v>327</v>
      </c>
      <c r="F36" s="80"/>
      <c r="G36" s="82">
        <v>30.0</v>
      </c>
      <c r="H36" s="375" t="s">
        <v>430</v>
      </c>
      <c r="I36" s="82"/>
      <c r="J36" s="82" t="s">
        <v>205</v>
      </c>
      <c r="K36" s="372" t="s">
        <v>431</v>
      </c>
      <c r="L36" s="373">
        <v>200.0</v>
      </c>
      <c r="M36" s="374">
        <v>46112.0</v>
      </c>
      <c r="N36" s="83"/>
      <c r="O36" s="83"/>
      <c r="P36" s="83" t="s">
        <v>929</v>
      </c>
      <c r="Q36" s="83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</row>
    <row r="37" ht="15.75" customHeight="1">
      <c r="A37" s="82">
        <v>33.0</v>
      </c>
      <c r="B37" s="80" t="s">
        <v>435</v>
      </c>
      <c r="C37" s="82" t="s">
        <v>434</v>
      </c>
      <c r="D37" s="82" t="s">
        <v>436</v>
      </c>
      <c r="E37" s="371" t="s">
        <v>462</v>
      </c>
      <c r="F37" s="379" t="s">
        <v>437</v>
      </c>
      <c r="G37" s="82">
        <v>20.0</v>
      </c>
      <c r="H37" s="81" t="s">
        <v>438</v>
      </c>
      <c r="I37" s="82"/>
      <c r="J37" s="82" t="s">
        <v>440</v>
      </c>
      <c r="K37" s="372" t="s">
        <v>439</v>
      </c>
      <c r="L37" s="373">
        <v>80.0</v>
      </c>
      <c r="M37" s="374">
        <v>46207.0</v>
      </c>
      <c r="N37" s="83"/>
      <c r="O37" s="83"/>
      <c r="P37" s="83" t="s">
        <v>378</v>
      </c>
      <c r="Q37" s="83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</row>
    <row r="38" ht="15.75" customHeight="1">
      <c r="A38" s="76">
        <v>34.0</v>
      </c>
      <c r="B38" s="74" t="s">
        <v>443</v>
      </c>
      <c r="C38" s="76" t="s">
        <v>442</v>
      </c>
      <c r="D38" s="76" t="s">
        <v>444</v>
      </c>
      <c r="E38" s="74" t="s">
        <v>211</v>
      </c>
      <c r="F38" s="380" t="s">
        <v>445</v>
      </c>
      <c r="G38" s="76">
        <v>20.0</v>
      </c>
      <c r="H38" s="75" t="s">
        <v>446</v>
      </c>
      <c r="I38" s="76"/>
      <c r="J38" s="174" t="s">
        <v>448</v>
      </c>
      <c r="K38" s="368" t="s">
        <v>447</v>
      </c>
      <c r="L38" s="369">
        <v>200.0</v>
      </c>
      <c r="M38" s="370">
        <v>46120.0</v>
      </c>
      <c r="N38" s="79"/>
      <c r="O38" s="79"/>
      <c r="P38" s="79" t="s">
        <v>386</v>
      </c>
      <c r="Q38" s="79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  <c r="AC38" s="362"/>
    </row>
    <row r="39" ht="15.75" customHeight="1">
      <c r="A39" s="82">
        <v>35.0</v>
      </c>
      <c r="B39" s="80" t="s">
        <v>451</v>
      </c>
      <c r="C39" s="82" t="s">
        <v>450</v>
      </c>
      <c r="D39" s="82" t="s">
        <v>452</v>
      </c>
      <c r="E39" s="80" t="s">
        <v>211</v>
      </c>
      <c r="F39" s="379" t="s">
        <v>453</v>
      </c>
      <c r="G39" s="82">
        <v>20.0</v>
      </c>
      <c r="H39" s="81" t="s">
        <v>454</v>
      </c>
      <c r="I39" s="82"/>
      <c r="J39" s="82" t="s">
        <v>456</v>
      </c>
      <c r="K39" s="372" t="s">
        <v>455</v>
      </c>
      <c r="L39" s="373">
        <v>80.0</v>
      </c>
      <c r="M39" s="374">
        <v>46123.0</v>
      </c>
      <c r="N39" s="83"/>
      <c r="O39" s="83" t="s">
        <v>1969</v>
      </c>
      <c r="P39" s="83" t="s">
        <v>393</v>
      </c>
      <c r="Q39" s="83"/>
      <c r="R39" s="362"/>
      <c r="S39" s="362"/>
      <c r="T39" s="362"/>
      <c r="U39" s="362"/>
      <c r="V39" s="362"/>
      <c r="W39" s="362"/>
      <c r="X39" s="362"/>
      <c r="Y39" s="362"/>
      <c r="Z39" s="362"/>
      <c r="AA39" s="362"/>
      <c r="AB39" s="362"/>
      <c r="AC39" s="362"/>
    </row>
    <row r="40" ht="15.75" customHeight="1">
      <c r="A40" s="76">
        <v>36.0</v>
      </c>
      <c r="B40" s="74" t="s">
        <v>459</v>
      </c>
      <c r="C40" s="76" t="s">
        <v>458</v>
      </c>
      <c r="D40" s="76" t="s">
        <v>460</v>
      </c>
      <c r="E40" s="74" t="s">
        <v>462</v>
      </c>
      <c r="F40" s="380" t="s">
        <v>461</v>
      </c>
      <c r="G40" s="76">
        <v>20.0</v>
      </c>
      <c r="H40" s="75" t="s">
        <v>463</v>
      </c>
      <c r="I40" s="76"/>
      <c r="J40" s="76" t="s">
        <v>465</v>
      </c>
      <c r="K40" s="368" t="s">
        <v>464</v>
      </c>
      <c r="L40" s="369">
        <v>190.0</v>
      </c>
      <c r="M40" s="370" t="s">
        <v>475</v>
      </c>
      <c r="N40" s="79"/>
      <c r="O40" s="79"/>
      <c r="P40" s="79" t="s">
        <v>401</v>
      </c>
      <c r="Q40" s="79"/>
      <c r="R40" s="362"/>
      <c r="S40" s="362"/>
      <c r="T40" s="362"/>
      <c r="U40" s="362"/>
      <c r="V40" s="362"/>
      <c r="W40" s="362"/>
      <c r="X40" s="362"/>
      <c r="Y40" s="362"/>
      <c r="Z40" s="362"/>
      <c r="AA40" s="362"/>
      <c r="AB40" s="362"/>
      <c r="AC40" s="362"/>
    </row>
    <row r="41" ht="15.75" customHeight="1">
      <c r="A41" s="82">
        <v>37.0</v>
      </c>
      <c r="B41" s="80" t="s">
        <v>469</v>
      </c>
      <c r="C41" s="82" t="s">
        <v>468</v>
      </c>
      <c r="D41" s="82" t="s">
        <v>470</v>
      </c>
      <c r="E41" s="80" t="s">
        <v>462</v>
      </c>
      <c r="F41" s="379" t="s">
        <v>471</v>
      </c>
      <c r="G41" s="82">
        <v>20.0</v>
      </c>
      <c r="H41" s="81" t="s">
        <v>472</v>
      </c>
      <c r="I41" s="82"/>
      <c r="J41" s="82" t="s">
        <v>474</v>
      </c>
      <c r="K41" s="372" t="s">
        <v>473</v>
      </c>
      <c r="L41" s="373">
        <v>175.0</v>
      </c>
      <c r="M41" s="374" t="s">
        <v>475</v>
      </c>
      <c r="N41" s="83"/>
      <c r="O41" s="83"/>
      <c r="P41" s="83" t="s">
        <v>409</v>
      </c>
      <c r="Q41" s="83"/>
      <c r="R41" s="362"/>
      <c r="S41" s="362"/>
      <c r="T41" s="362"/>
      <c r="U41" s="362"/>
      <c r="V41" s="362"/>
      <c r="W41" s="362"/>
      <c r="X41" s="362"/>
      <c r="Y41" s="362"/>
      <c r="Z41" s="362"/>
      <c r="AA41" s="362"/>
      <c r="AB41" s="362"/>
      <c r="AC41" s="362"/>
    </row>
    <row r="42" ht="15.75" customHeight="1">
      <c r="A42" s="76">
        <v>38.0</v>
      </c>
      <c r="B42" s="74" t="s">
        <v>478</v>
      </c>
      <c r="C42" s="76" t="s">
        <v>477</v>
      </c>
      <c r="D42" s="76" t="s">
        <v>479</v>
      </c>
      <c r="E42" s="74" t="s">
        <v>211</v>
      </c>
      <c r="F42" s="380" t="s">
        <v>480</v>
      </c>
      <c r="G42" s="76">
        <v>20.0</v>
      </c>
      <c r="H42" s="75" t="s">
        <v>481</v>
      </c>
      <c r="I42" s="76"/>
      <c r="J42" s="76" t="s">
        <v>483</v>
      </c>
      <c r="K42" s="368" t="s">
        <v>482</v>
      </c>
      <c r="L42" s="369">
        <v>80.0</v>
      </c>
      <c r="M42" s="370" t="s">
        <v>484</v>
      </c>
      <c r="N42" s="79"/>
      <c r="O42" s="79"/>
      <c r="P42" s="79"/>
      <c r="Q42" s="79"/>
      <c r="R42" s="362"/>
      <c r="S42" s="362"/>
      <c r="T42" s="362"/>
      <c r="U42" s="362"/>
      <c r="V42" s="362"/>
      <c r="W42" s="362"/>
      <c r="X42" s="362"/>
      <c r="Y42" s="362"/>
      <c r="Z42" s="362"/>
      <c r="AA42" s="362"/>
      <c r="AB42" s="362"/>
      <c r="AC42" s="362"/>
    </row>
    <row r="43" ht="15.75" customHeight="1">
      <c r="A43" s="82">
        <v>39.0</v>
      </c>
      <c r="B43" s="80" t="s">
        <v>487</v>
      </c>
      <c r="C43" s="82" t="s">
        <v>486</v>
      </c>
      <c r="D43" s="82"/>
      <c r="E43" s="80" t="s">
        <v>211</v>
      </c>
      <c r="F43" s="80"/>
      <c r="G43" s="82">
        <v>20.0</v>
      </c>
      <c r="H43" s="81" t="s">
        <v>488</v>
      </c>
      <c r="I43" s="82"/>
      <c r="J43" s="82" t="s">
        <v>490</v>
      </c>
      <c r="K43" s="372" t="s">
        <v>489</v>
      </c>
      <c r="L43" s="373">
        <v>80.0</v>
      </c>
      <c r="M43" s="374" t="s">
        <v>491</v>
      </c>
      <c r="N43" s="83"/>
      <c r="O43" s="83"/>
      <c r="P43" s="83" t="s">
        <v>419</v>
      </c>
      <c r="Q43" s="83"/>
      <c r="R43" s="362"/>
      <c r="S43" s="362"/>
      <c r="T43" s="362"/>
      <c r="U43" s="362"/>
      <c r="V43" s="362"/>
      <c r="W43" s="362"/>
      <c r="X43" s="362"/>
      <c r="Y43" s="362"/>
      <c r="Z43" s="362"/>
      <c r="AA43" s="362"/>
      <c r="AB43" s="362"/>
      <c r="AC43" s="362"/>
    </row>
    <row r="44" ht="15.75" customHeight="1">
      <c r="A44" s="76">
        <v>40.0</v>
      </c>
      <c r="B44" s="74" t="s">
        <v>494</v>
      </c>
      <c r="C44" s="76" t="s">
        <v>493</v>
      </c>
      <c r="D44" s="76" t="s">
        <v>495</v>
      </c>
      <c r="E44" s="74" t="s">
        <v>211</v>
      </c>
      <c r="F44" s="380" t="s">
        <v>496</v>
      </c>
      <c r="G44" s="76">
        <v>20.0</v>
      </c>
      <c r="H44" s="75" t="s">
        <v>497</v>
      </c>
      <c r="I44" s="76"/>
      <c r="J44" s="76" t="s">
        <v>499</v>
      </c>
      <c r="K44" s="368" t="s">
        <v>498</v>
      </c>
      <c r="L44" s="369">
        <v>170.0</v>
      </c>
      <c r="M44" s="370" t="s">
        <v>500</v>
      </c>
      <c r="N44" s="79"/>
      <c r="O44" s="79"/>
      <c r="P44" s="79" t="s">
        <v>427</v>
      </c>
      <c r="Q44" s="79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  <c r="AC44" s="362"/>
    </row>
    <row r="45" ht="15.75" customHeight="1">
      <c r="A45" s="76">
        <v>41.0</v>
      </c>
      <c r="B45" s="74" t="s">
        <v>503</v>
      </c>
      <c r="C45" s="76" t="s">
        <v>502</v>
      </c>
      <c r="D45" s="76" t="s">
        <v>504</v>
      </c>
      <c r="E45" s="74" t="s">
        <v>211</v>
      </c>
      <c r="F45" s="85" t="s">
        <v>505</v>
      </c>
      <c r="G45" s="76">
        <v>20.0</v>
      </c>
      <c r="H45" s="75" t="s">
        <v>506</v>
      </c>
      <c r="I45" s="76"/>
      <c r="J45" s="76" t="s">
        <v>508</v>
      </c>
      <c r="K45" s="368" t="s">
        <v>507</v>
      </c>
      <c r="L45" s="369">
        <v>185.0</v>
      </c>
      <c r="M45" s="370"/>
      <c r="N45" s="79"/>
      <c r="O45" s="79"/>
      <c r="P45" s="79" t="s">
        <v>528</v>
      </c>
      <c r="Q45" s="79"/>
      <c r="R45" s="362"/>
      <c r="S45" s="362"/>
      <c r="T45" s="362"/>
      <c r="U45" s="362"/>
      <c r="V45" s="362"/>
      <c r="W45" s="362"/>
      <c r="X45" s="362"/>
      <c r="Y45" s="362"/>
      <c r="Z45" s="362"/>
      <c r="AA45" s="362"/>
      <c r="AB45" s="362"/>
      <c r="AC45" s="362"/>
    </row>
    <row r="46" ht="15.75" customHeight="1">
      <c r="A46" s="82">
        <v>42.0</v>
      </c>
      <c r="B46" s="80" t="s">
        <v>511</v>
      </c>
      <c r="C46" s="82" t="s">
        <v>510</v>
      </c>
      <c r="D46" s="82" t="s">
        <v>512</v>
      </c>
      <c r="E46" s="80" t="s">
        <v>211</v>
      </c>
      <c r="F46" s="379" t="s">
        <v>513</v>
      </c>
      <c r="G46" s="82">
        <v>20.0</v>
      </c>
      <c r="H46" s="81" t="s">
        <v>514</v>
      </c>
      <c r="I46" s="82"/>
      <c r="J46" s="82" t="s">
        <v>516</v>
      </c>
      <c r="K46" s="372" t="s">
        <v>515</v>
      </c>
      <c r="L46" s="373">
        <v>150.0</v>
      </c>
      <c r="M46" s="374" t="s">
        <v>1972</v>
      </c>
      <c r="N46" s="83"/>
      <c r="O46" s="83"/>
      <c r="P46" s="83" t="s">
        <v>433</v>
      </c>
      <c r="Q46" s="83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  <c r="AC46" s="362"/>
    </row>
    <row r="47" ht="15.75" customHeight="1">
      <c r="A47" s="76">
        <v>43.0</v>
      </c>
      <c r="B47" s="74" t="s">
        <v>520</v>
      </c>
      <c r="C47" s="76" t="s">
        <v>519</v>
      </c>
      <c r="D47" s="76"/>
      <c r="E47" s="74" t="s">
        <v>523</v>
      </c>
      <c r="F47" s="380" t="s">
        <v>522</v>
      </c>
      <c r="G47" s="76">
        <v>20.0</v>
      </c>
      <c r="H47" s="75" t="s">
        <v>524</v>
      </c>
      <c r="I47" s="76"/>
      <c r="J47" s="76" t="s">
        <v>526</v>
      </c>
      <c r="K47" s="368" t="s">
        <v>525</v>
      </c>
      <c r="L47" s="369">
        <v>80.0</v>
      </c>
      <c r="M47" s="370" t="s">
        <v>1973</v>
      </c>
      <c r="N47" s="79"/>
      <c r="O47" s="79"/>
      <c r="P47" s="79" t="s">
        <v>441</v>
      </c>
      <c r="Q47" s="79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  <c r="AC47" s="362"/>
    </row>
    <row r="48" ht="15.75" customHeight="1">
      <c r="A48" s="76">
        <v>44.0</v>
      </c>
      <c r="B48" s="74" t="s">
        <v>530</v>
      </c>
      <c r="C48" s="76" t="s">
        <v>529</v>
      </c>
      <c r="D48" s="76" t="s">
        <v>531</v>
      </c>
      <c r="E48" s="74" t="s">
        <v>523</v>
      </c>
      <c r="F48" s="380" t="s">
        <v>532</v>
      </c>
      <c r="G48" s="76">
        <v>20.0</v>
      </c>
      <c r="H48" s="75" t="s">
        <v>533</v>
      </c>
      <c r="I48" s="76"/>
      <c r="J48" s="76" t="s">
        <v>535</v>
      </c>
      <c r="K48" s="368" t="s">
        <v>534</v>
      </c>
      <c r="L48" s="369">
        <v>70.0</v>
      </c>
      <c r="M48" s="370" t="s">
        <v>1973</v>
      </c>
      <c r="N48" s="79"/>
      <c r="O48" s="79"/>
      <c r="P48" s="79" t="s">
        <v>457</v>
      </c>
      <c r="Q48" s="79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  <c r="AC48" s="362"/>
    </row>
    <row r="49" ht="15.75" customHeight="1">
      <c r="A49" s="82">
        <v>45.0</v>
      </c>
      <c r="B49" s="80" t="s">
        <v>538</v>
      </c>
      <c r="C49" s="82" t="s">
        <v>537</v>
      </c>
      <c r="D49" s="82" t="s">
        <v>539</v>
      </c>
      <c r="E49" s="80" t="s">
        <v>541</v>
      </c>
      <c r="F49" s="379" t="s">
        <v>540</v>
      </c>
      <c r="G49" s="82">
        <v>20.0</v>
      </c>
      <c r="H49" s="81" t="s">
        <v>542</v>
      </c>
      <c r="I49" s="82"/>
      <c r="J49" s="82" t="s">
        <v>544</v>
      </c>
      <c r="K49" s="372" t="s">
        <v>543</v>
      </c>
      <c r="L49" s="373">
        <v>120.0</v>
      </c>
      <c r="M49" s="374">
        <v>46058.0</v>
      </c>
      <c r="N49" s="83"/>
      <c r="O49" s="83"/>
      <c r="P49" s="83" t="s">
        <v>467</v>
      </c>
      <c r="Q49" s="83"/>
      <c r="R49" s="362"/>
      <c r="S49" s="362"/>
      <c r="T49" s="362"/>
      <c r="U49" s="362"/>
      <c r="V49" s="362"/>
      <c r="W49" s="362"/>
      <c r="X49" s="362"/>
      <c r="Y49" s="362"/>
      <c r="Z49" s="362"/>
      <c r="AA49" s="362"/>
      <c r="AB49" s="362"/>
      <c r="AC49" s="362"/>
    </row>
    <row r="50" ht="15.75" customHeight="1">
      <c r="A50" s="82">
        <v>46.0</v>
      </c>
      <c r="B50" s="80" t="s">
        <v>547</v>
      </c>
      <c r="C50" s="82" t="s">
        <v>546</v>
      </c>
      <c r="D50" s="82" t="s">
        <v>548</v>
      </c>
      <c r="E50" s="80" t="s">
        <v>327</v>
      </c>
      <c r="F50" s="379" t="s">
        <v>549</v>
      </c>
      <c r="G50" s="82">
        <v>30.0</v>
      </c>
      <c r="H50" s="81" t="s">
        <v>550</v>
      </c>
      <c r="I50" s="82"/>
      <c r="J50" s="82" t="s">
        <v>1601</v>
      </c>
      <c r="K50" s="372" t="s">
        <v>551</v>
      </c>
      <c r="L50" s="373">
        <v>170.0</v>
      </c>
      <c r="M50" s="374">
        <v>46086.0</v>
      </c>
      <c r="N50" s="83"/>
      <c r="O50" s="83" t="s">
        <v>1969</v>
      </c>
      <c r="P50" s="83" t="s">
        <v>270</v>
      </c>
      <c r="Q50" s="83"/>
      <c r="R50" s="362"/>
      <c r="S50" s="362"/>
      <c r="T50" s="362"/>
      <c r="U50" s="362"/>
      <c r="V50" s="362"/>
      <c r="W50" s="362"/>
      <c r="X50" s="362"/>
      <c r="Y50" s="362"/>
      <c r="Z50" s="362"/>
      <c r="AA50" s="362"/>
      <c r="AB50" s="362"/>
      <c r="AC50" s="362"/>
    </row>
    <row r="51" ht="15.75" customHeight="1">
      <c r="A51" s="76">
        <v>47.0</v>
      </c>
      <c r="B51" s="74" t="s">
        <v>554</v>
      </c>
      <c r="C51" s="76" t="s">
        <v>553</v>
      </c>
      <c r="D51" s="76" t="s">
        <v>555</v>
      </c>
      <c r="E51" s="74" t="s">
        <v>327</v>
      </c>
      <c r="F51" s="380" t="s">
        <v>556</v>
      </c>
      <c r="G51" s="76">
        <v>20.0</v>
      </c>
      <c r="H51" s="75" t="s">
        <v>557</v>
      </c>
      <c r="I51" s="76"/>
      <c r="J51" s="76" t="s">
        <v>559</v>
      </c>
      <c r="K51" s="368" t="s">
        <v>558</v>
      </c>
      <c r="L51" s="369">
        <v>80.0</v>
      </c>
      <c r="M51" s="370">
        <v>46117.0</v>
      </c>
      <c r="N51" s="79"/>
      <c r="O51" s="79"/>
      <c r="P51" s="79" t="s">
        <v>476</v>
      </c>
      <c r="Q51" s="79"/>
      <c r="R51" s="362"/>
      <c r="S51" s="362"/>
      <c r="T51" s="362"/>
      <c r="U51" s="362"/>
      <c r="V51" s="362"/>
      <c r="W51" s="362"/>
      <c r="X51" s="362"/>
      <c r="Y51" s="362"/>
      <c r="Z51" s="362"/>
      <c r="AA51" s="362"/>
      <c r="AB51" s="362"/>
      <c r="AC51" s="362"/>
    </row>
    <row r="52" ht="15.75" customHeight="1">
      <c r="A52" s="82">
        <v>48.0</v>
      </c>
      <c r="B52" s="80" t="s">
        <v>562</v>
      </c>
      <c r="C52" s="82" t="s">
        <v>561</v>
      </c>
      <c r="D52" s="82" t="s">
        <v>563</v>
      </c>
      <c r="E52" s="80" t="s">
        <v>327</v>
      </c>
      <c r="F52" s="379" t="s">
        <v>564</v>
      </c>
      <c r="G52" s="82">
        <v>20.0</v>
      </c>
      <c r="H52" s="81" t="s">
        <v>565</v>
      </c>
      <c r="I52" s="82"/>
      <c r="J52" s="82" t="s">
        <v>1974</v>
      </c>
      <c r="K52" s="372" t="s">
        <v>566</v>
      </c>
      <c r="L52" s="373">
        <v>250.0</v>
      </c>
      <c r="M52" s="374">
        <v>46208.0</v>
      </c>
      <c r="N52" s="83"/>
      <c r="O52" s="83"/>
      <c r="P52" s="83" t="s">
        <v>518</v>
      </c>
      <c r="Q52" s="83"/>
      <c r="R52" s="362"/>
      <c r="S52" s="362"/>
      <c r="T52" s="362"/>
      <c r="U52" s="362"/>
      <c r="V52" s="362"/>
      <c r="W52" s="362"/>
      <c r="X52" s="362"/>
      <c r="Y52" s="362"/>
      <c r="Z52" s="362"/>
      <c r="AA52" s="362"/>
      <c r="AB52" s="362"/>
      <c r="AC52" s="362"/>
    </row>
    <row r="53" ht="15.75" customHeight="1">
      <c r="A53" s="82">
        <v>49.0</v>
      </c>
      <c r="B53" s="80" t="s">
        <v>570</v>
      </c>
      <c r="C53" s="82" t="s">
        <v>569</v>
      </c>
      <c r="D53" s="82" t="s">
        <v>571</v>
      </c>
      <c r="E53" s="80" t="s">
        <v>327</v>
      </c>
      <c r="F53" s="379" t="s">
        <v>572</v>
      </c>
      <c r="G53" s="82">
        <v>20.0</v>
      </c>
      <c r="H53" s="81" t="s">
        <v>573</v>
      </c>
      <c r="I53" s="82"/>
      <c r="J53" s="82" t="s">
        <v>575</v>
      </c>
      <c r="K53" s="372" t="s">
        <v>574</v>
      </c>
      <c r="L53" s="373">
        <v>120.0</v>
      </c>
      <c r="M53" s="374">
        <v>46208.0</v>
      </c>
      <c r="N53" s="83"/>
      <c r="O53" s="83"/>
      <c r="P53" s="83" t="s">
        <v>501</v>
      </c>
      <c r="Q53" s="83"/>
      <c r="R53" s="362"/>
      <c r="S53" s="362"/>
      <c r="T53" s="362"/>
      <c r="U53" s="362"/>
      <c r="V53" s="362"/>
      <c r="W53" s="362"/>
      <c r="X53" s="362"/>
      <c r="Y53" s="362"/>
      <c r="Z53" s="362"/>
      <c r="AA53" s="362"/>
      <c r="AB53" s="362"/>
      <c r="AC53" s="362"/>
    </row>
    <row r="54" ht="15.75" customHeight="1">
      <c r="A54" s="76">
        <v>50.0</v>
      </c>
      <c r="B54" s="74" t="s">
        <v>578</v>
      </c>
      <c r="C54" s="76" t="s">
        <v>577</v>
      </c>
      <c r="D54" s="76" t="s">
        <v>579</v>
      </c>
      <c r="E54" s="74" t="s">
        <v>327</v>
      </c>
      <c r="F54" s="74"/>
      <c r="G54" s="76">
        <v>20.0</v>
      </c>
      <c r="H54" s="75" t="s">
        <v>580</v>
      </c>
      <c r="I54" s="76"/>
      <c r="J54" s="76" t="s">
        <v>582</v>
      </c>
      <c r="K54" s="368" t="s">
        <v>581</v>
      </c>
      <c r="L54" s="369">
        <v>100.0</v>
      </c>
      <c r="M54" s="370">
        <v>46208.0</v>
      </c>
      <c r="N54" s="79"/>
      <c r="O54" s="79"/>
      <c r="P54" s="79" t="s">
        <v>509</v>
      </c>
      <c r="Q54" s="79"/>
      <c r="R54" s="362"/>
      <c r="S54" s="362"/>
      <c r="T54" s="362"/>
      <c r="U54" s="362"/>
      <c r="V54" s="362"/>
      <c r="W54" s="362"/>
      <c r="X54" s="362"/>
      <c r="Y54" s="362"/>
      <c r="Z54" s="362"/>
      <c r="AA54" s="362"/>
      <c r="AB54" s="362"/>
      <c r="AC54" s="362"/>
    </row>
    <row r="55" ht="15.75" customHeight="1">
      <c r="A55" s="82">
        <v>51.0</v>
      </c>
      <c r="B55" s="80" t="s">
        <v>585</v>
      </c>
      <c r="C55" s="82" t="s">
        <v>584</v>
      </c>
      <c r="D55" s="82" t="s">
        <v>586</v>
      </c>
      <c r="E55" s="80" t="s">
        <v>327</v>
      </c>
      <c r="F55" s="378" t="s">
        <v>587</v>
      </c>
      <c r="G55" s="82">
        <v>20.0</v>
      </c>
      <c r="H55" s="81" t="s">
        <v>588</v>
      </c>
      <c r="I55" s="82"/>
      <c r="J55" s="82" t="s">
        <v>590</v>
      </c>
      <c r="K55" s="372" t="s">
        <v>589</v>
      </c>
      <c r="L55" s="373">
        <v>60.0</v>
      </c>
      <c r="M55" s="374">
        <v>46208.0</v>
      </c>
      <c r="N55" s="83"/>
      <c r="O55" s="83"/>
      <c r="P55" s="83" t="s">
        <v>485</v>
      </c>
      <c r="Q55" s="83"/>
      <c r="R55" s="362"/>
      <c r="S55" s="362"/>
      <c r="T55" s="362"/>
      <c r="U55" s="362"/>
      <c r="V55" s="362"/>
      <c r="W55" s="362"/>
      <c r="X55" s="362"/>
      <c r="Y55" s="362"/>
      <c r="Z55" s="362"/>
      <c r="AA55" s="362"/>
      <c r="AB55" s="362"/>
      <c r="AC55" s="362"/>
    </row>
    <row r="56" ht="15.75" customHeight="1">
      <c r="A56" s="76">
        <v>52.0</v>
      </c>
      <c r="B56" s="74" t="s">
        <v>593</v>
      </c>
      <c r="C56" s="76" t="s">
        <v>592</v>
      </c>
      <c r="D56" s="76"/>
      <c r="E56" s="74" t="s">
        <v>327</v>
      </c>
      <c r="F56" s="85" t="s">
        <v>594</v>
      </c>
      <c r="G56" s="76">
        <v>20.0</v>
      </c>
      <c r="H56" s="75" t="s">
        <v>595</v>
      </c>
      <c r="I56" s="76"/>
      <c r="J56" s="76" t="s">
        <v>597</v>
      </c>
      <c r="K56" s="368" t="s">
        <v>596</v>
      </c>
      <c r="L56" s="369">
        <v>75.0</v>
      </c>
      <c r="M56" s="370">
        <v>46208.0</v>
      </c>
      <c r="N56" s="79"/>
      <c r="O56" s="79"/>
      <c r="P56" s="79" t="s">
        <v>492</v>
      </c>
      <c r="Q56" s="79"/>
      <c r="R56" s="362"/>
      <c r="S56" s="362"/>
      <c r="T56" s="362"/>
      <c r="U56" s="362"/>
      <c r="V56" s="362"/>
      <c r="W56" s="362"/>
      <c r="X56" s="362"/>
      <c r="Y56" s="362"/>
      <c r="Z56" s="362"/>
      <c r="AA56" s="362"/>
      <c r="AB56" s="362"/>
      <c r="AC56" s="362"/>
    </row>
    <row r="57" ht="15.75" customHeight="1">
      <c r="A57" s="76">
        <v>53.0</v>
      </c>
      <c r="B57" s="74" t="s">
        <v>600</v>
      </c>
      <c r="C57" s="76" t="s">
        <v>599</v>
      </c>
      <c r="D57" s="76" t="s">
        <v>601</v>
      </c>
      <c r="E57" s="74" t="s">
        <v>327</v>
      </c>
      <c r="F57" s="85" t="s">
        <v>602</v>
      </c>
      <c r="G57" s="76">
        <v>20.0</v>
      </c>
      <c r="H57" s="75" t="s">
        <v>603</v>
      </c>
      <c r="I57" s="76"/>
      <c r="J57" s="76"/>
      <c r="K57" s="368" t="s">
        <v>604</v>
      </c>
      <c r="L57" s="369"/>
      <c r="M57" s="370">
        <v>46331.0</v>
      </c>
      <c r="N57" s="79"/>
      <c r="O57" s="79"/>
      <c r="P57" s="79"/>
      <c r="Q57" s="79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  <c r="AC57" s="362"/>
    </row>
    <row r="58" ht="15.75" customHeight="1">
      <c r="A58" s="82">
        <v>54.0</v>
      </c>
      <c r="B58" s="80" t="s">
        <v>608</v>
      </c>
      <c r="C58" s="82" t="s">
        <v>607</v>
      </c>
      <c r="D58" s="381">
        <v>3.3021551110002E13</v>
      </c>
      <c r="E58" s="80" t="s">
        <v>327</v>
      </c>
      <c r="F58" s="378" t="s">
        <v>609</v>
      </c>
      <c r="G58" s="82">
        <v>20.0</v>
      </c>
      <c r="H58" s="81" t="s">
        <v>610</v>
      </c>
      <c r="I58" s="82"/>
      <c r="J58" s="82"/>
      <c r="K58" s="372" t="s">
        <v>611</v>
      </c>
      <c r="L58" s="373"/>
      <c r="M58" s="374">
        <v>46331.0</v>
      </c>
      <c r="N58" s="83"/>
      <c r="O58" s="83"/>
      <c r="P58" s="83" t="s">
        <v>536</v>
      </c>
      <c r="Q58" s="83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2"/>
    </row>
    <row r="59" ht="15.75" customHeight="1">
      <c r="A59" s="82">
        <v>55.0</v>
      </c>
      <c r="B59" s="80" t="s">
        <v>615</v>
      </c>
      <c r="C59" s="82" t="s">
        <v>614</v>
      </c>
      <c r="D59" s="82"/>
      <c r="E59" s="80" t="s">
        <v>327</v>
      </c>
      <c r="F59" s="378" t="s">
        <v>616</v>
      </c>
      <c r="G59" s="82">
        <v>20.0</v>
      </c>
      <c r="H59" s="81" t="s">
        <v>617</v>
      </c>
      <c r="I59" s="82"/>
      <c r="J59" s="82"/>
      <c r="K59" s="372" t="s">
        <v>618</v>
      </c>
      <c r="L59" s="373">
        <v>50.0</v>
      </c>
      <c r="M59" s="374">
        <v>46361.0</v>
      </c>
      <c r="N59" s="83"/>
      <c r="O59" s="83"/>
      <c r="P59" s="83" t="s">
        <v>1528</v>
      </c>
      <c r="Q59" s="83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</row>
    <row r="60" ht="15.75" customHeight="1">
      <c r="A60" s="76">
        <v>56.0</v>
      </c>
      <c r="B60" s="74" t="s">
        <v>622</v>
      </c>
      <c r="C60" s="76" t="s">
        <v>621</v>
      </c>
      <c r="D60" s="76" t="s">
        <v>623</v>
      </c>
      <c r="E60" s="74" t="s">
        <v>327</v>
      </c>
      <c r="F60" s="380" t="s">
        <v>624</v>
      </c>
      <c r="G60" s="76">
        <v>20.0</v>
      </c>
      <c r="H60" s="75" t="s">
        <v>625</v>
      </c>
      <c r="I60" s="76"/>
      <c r="J60" s="76" t="s">
        <v>627</v>
      </c>
      <c r="K60" s="368" t="s">
        <v>626</v>
      </c>
      <c r="L60" s="369">
        <v>70.0</v>
      </c>
      <c r="M60" s="370">
        <v>46361.0</v>
      </c>
      <c r="N60" s="79"/>
      <c r="O60" s="79"/>
      <c r="P60" s="79" t="s">
        <v>560</v>
      </c>
      <c r="Q60" s="79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  <c r="AC60" s="362"/>
    </row>
    <row r="61" ht="15.75" customHeight="1">
      <c r="A61" s="82">
        <v>57.0</v>
      </c>
      <c r="B61" s="80" t="s">
        <v>630</v>
      </c>
      <c r="C61" s="82" t="s">
        <v>629</v>
      </c>
      <c r="D61" s="82" t="s">
        <v>631</v>
      </c>
      <c r="E61" s="80" t="s">
        <v>327</v>
      </c>
      <c r="F61" s="379" t="s">
        <v>632</v>
      </c>
      <c r="G61" s="82">
        <v>20.0</v>
      </c>
      <c r="H61" s="81" t="s">
        <v>633</v>
      </c>
      <c r="I61" s="82"/>
      <c r="J61" s="82" t="s">
        <v>635</v>
      </c>
      <c r="K61" s="372" t="s">
        <v>634</v>
      </c>
      <c r="L61" s="373">
        <v>50.0</v>
      </c>
      <c r="M61" s="374">
        <v>46154.0</v>
      </c>
      <c r="N61" s="83"/>
      <c r="O61" s="83"/>
      <c r="P61" s="83" t="s">
        <v>568</v>
      </c>
      <c r="Q61" s="83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2"/>
    </row>
    <row r="62" ht="15.75" customHeight="1">
      <c r="A62" s="76">
        <v>58.0</v>
      </c>
      <c r="B62" s="74" t="s">
        <v>638</v>
      </c>
      <c r="C62" s="76" t="s">
        <v>637</v>
      </c>
      <c r="D62" s="76" t="s">
        <v>639</v>
      </c>
      <c r="E62" s="74" t="s">
        <v>327</v>
      </c>
      <c r="F62" s="85" t="s">
        <v>640</v>
      </c>
      <c r="G62" s="76">
        <v>30.0</v>
      </c>
      <c r="H62" s="75" t="s">
        <v>641</v>
      </c>
      <c r="I62" s="76"/>
      <c r="J62" s="76" t="s">
        <v>643</v>
      </c>
      <c r="K62" s="368" t="s">
        <v>642</v>
      </c>
      <c r="L62" s="369">
        <v>70.0</v>
      </c>
      <c r="M62" s="370" t="s">
        <v>644</v>
      </c>
      <c r="N62" s="79"/>
      <c r="O62" s="79" t="s">
        <v>1969</v>
      </c>
      <c r="P62" s="79" t="s">
        <v>277</v>
      </c>
      <c r="Q62" s="79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</row>
    <row r="63" ht="15.75" customHeight="1">
      <c r="A63" s="76">
        <v>59.0</v>
      </c>
      <c r="B63" s="74" t="s">
        <v>647</v>
      </c>
      <c r="C63" s="76" t="s">
        <v>646</v>
      </c>
      <c r="D63" s="382" t="s">
        <v>648</v>
      </c>
      <c r="E63" s="74" t="s">
        <v>327</v>
      </c>
      <c r="F63" s="380" t="s">
        <v>1975</v>
      </c>
      <c r="G63" s="76">
        <v>50.0</v>
      </c>
      <c r="H63" s="75" t="s">
        <v>650</v>
      </c>
      <c r="I63" s="76"/>
      <c r="J63" s="76" t="s">
        <v>1976</v>
      </c>
      <c r="K63" s="368" t="s">
        <v>651</v>
      </c>
      <c r="L63" s="369">
        <v>75.0</v>
      </c>
      <c r="M63" s="370" t="s">
        <v>644</v>
      </c>
      <c r="N63" s="79"/>
      <c r="O63" s="79" t="s">
        <v>1969</v>
      </c>
      <c r="P63" s="79" t="s">
        <v>232</v>
      </c>
      <c r="Q63" s="79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  <c r="AC63" s="362"/>
    </row>
    <row r="64" ht="15.75" customHeight="1">
      <c r="A64" s="76">
        <v>60.0</v>
      </c>
      <c r="B64" s="74" t="s">
        <v>1977</v>
      </c>
      <c r="C64" s="76" t="s">
        <v>654</v>
      </c>
      <c r="D64" s="382" t="s">
        <v>656</v>
      </c>
      <c r="E64" s="74" t="s">
        <v>327</v>
      </c>
      <c r="F64" s="380" t="s">
        <v>657</v>
      </c>
      <c r="G64" s="76">
        <v>20.0</v>
      </c>
      <c r="H64" s="75" t="s">
        <v>658</v>
      </c>
      <c r="I64" s="76"/>
      <c r="J64" s="76" t="s">
        <v>660</v>
      </c>
      <c r="K64" s="368" t="s">
        <v>659</v>
      </c>
      <c r="L64" s="369">
        <v>50.0</v>
      </c>
      <c r="M64" s="370"/>
      <c r="N64" s="79"/>
      <c r="O64" s="79"/>
      <c r="P64" s="383" t="s">
        <v>576</v>
      </c>
      <c r="Q64" s="79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  <c r="AC64" s="362"/>
    </row>
    <row r="65" ht="15.75" customHeight="1">
      <c r="A65" s="82">
        <v>61.0</v>
      </c>
      <c r="B65" s="80" t="s">
        <v>663</v>
      </c>
      <c r="C65" s="82" t="s">
        <v>662</v>
      </c>
      <c r="D65" s="381" t="s">
        <v>664</v>
      </c>
      <c r="E65" s="80" t="s">
        <v>327</v>
      </c>
      <c r="F65" s="378" t="s">
        <v>665</v>
      </c>
      <c r="G65" s="82">
        <v>20.0</v>
      </c>
      <c r="H65" s="81" t="s">
        <v>666</v>
      </c>
      <c r="I65" s="82"/>
      <c r="J65" s="82" t="s">
        <v>668</v>
      </c>
      <c r="K65" s="372" t="s">
        <v>667</v>
      </c>
      <c r="L65" s="373"/>
      <c r="M65" s="374"/>
      <c r="N65" s="83"/>
      <c r="O65" s="83"/>
      <c r="P65" s="83" t="s">
        <v>583</v>
      </c>
      <c r="Q65" s="83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362"/>
    </row>
    <row r="66" ht="15.75" customHeight="1">
      <c r="A66" s="82">
        <v>62.0</v>
      </c>
      <c r="B66" s="80" t="s">
        <v>671</v>
      </c>
      <c r="C66" s="82" t="s">
        <v>670</v>
      </c>
      <c r="D66" s="381" t="s">
        <v>672</v>
      </c>
      <c r="E66" s="80" t="s">
        <v>327</v>
      </c>
      <c r="F66" s="379" t="s">
        <v>673</v>
      </c>
      <c r="G66" s="82">
        <v>30.0</v>
      </c>
      <c r="H66" s="81" t="s">
        <v>674</v>
      </c>
      <c r="I66" s="82"/>
      <c r="J66" s="82" t="s">
        <v>1978</v>
      </c>
      <c r="K66" s="372" t="s">
        <v>675</v>
      </c>
      <c r="L66" s="373">
        <v>30.0</v>
      </c>
      <c r="M66" s="374">
        <v>46157.0</v>
      </c>
      <c r="N66" s="83"/>
      <c r="O66" s="83"/>
      <c r="P66" s="83" t="s">
        <v>330</v>
      </c>
      <c r="Q66" s="83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</row>
    <row r="67" ht="15.75" customHeight="1">
      <c r="A67" s="384">
        <v>63.0</v>
      </c>
      <c r="B67" s="385" t="s">
        <v>679</v>
      </c>
      <c r="C67" s="384" t="s">
        <v>678</v>
      </c>
      <c r="D67" s="386" t="s">
        <v>680</v>
      </c>
      <c r="E67" s="385" t="s">
        <v>327</v>
      </c>
      <c r="F67" s="387" t="s">
        <v>681</v>
      </c>
      <c r="G67" s="384">
        <v>20.0</v>
      </c>
      <c r="H67" s="388" t="s">
        <v>682</v>
      </c>
      <c r="I67" s="384"/>
      <c r="J67" s="384" t="s">
        <v>684</v>
      </c>
      <c r="K67" s="389" t="s">
        <v>683</v>
      </c>
      <c r="L67" s="390">
        <v>100.0</v>
      </c>
      <c r="M67" s="391" t="s">
        <v>685</v>
      </c>
      <c r="N67" s="392"/>
      <c r="O67" s="392"/>
      <c r="P67" s="392" t="s">
        <v>613</v>
      </c>
      <c r="Q67" s="39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  <c r="AC67" s="362"/>
    </row>
    <row r="68" ht="15.75" customHeight="1">
      <c r="A68" s="82">
        <v>64.0</v>
      </c>
      <c r="B68" s="80" t="s">
        <v>688</v>
      </c>
      <c r="C68" s="82" t="s">
        <v>687</v>
      </c>
      <c r="D68" s="82"/>
      <c r="E68" s="80" t="s">
        <v>327</v>
      </c>
      <c r="F68" s="379" t="s">
        <v>689</v>
      </c>
      <c r="G68" s="82">
        <v>30.0</v>
      </c>
      <c r="H68" s="81" t="s">
        <v>690</v>
      </c>
      <c r="I68" s="82"/>
      <c r="J68" s="82" t="s">
        <v>692</v>
      </c>
      <c r="K68" s="372" t="s">
        <v>691</v>
      </c>
      <c r="L68" s="373">
        <v>100.0</v>
      </c>
      <c r="M68" s="374" t="s">
        <v>693</v>
      </c>
      <c r="N68" s="83"/>
      <c r="O68" s="83"/>
      <c r="P68" s="83" t="s">
        <v>206</v>
      </c>
      <c r="Q68" s="83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362"/>
    </row>
    <row r="69" ht="15.75" customHeight="1">
      <c r="A69" s="82">
        <v>65.0</v>
      </c>
      <c r="B69" s="83" t="s">
        <v>696</v>
      </c>
      <c r="C69" s="82" t="s">
        <v>695</v>
      </c>
      <c r="D69" s="73" t="s">
        <v>697</v>
      </c>
      <c r="E69" s="381" t="s">
        <v>327</v>
      </c>
      <c r="F69" s="378" t="s">
        <v>698</v>
      </c>
      <c r="G69" s="73">
        <v>30.0</v>
      </c>
      <c r="H69" s="378" t="s">
        <v>699</v>
      </c>
      <c r="I69" s="73"/>
      <c r="J69" s="73" t="s">
        <v>701</v>
      </c>
      <c r="K69" s="372" t="s">
        <v>700</v>
      </c>
      <c r="L69" s="393"/>
      <c r="M69" s="374" t="s">
        <v>693</v>
      </c>
      <c r="N69" s="83"/>
      <c r="O69" s="83" t="s">
        <v>1969</v>
      </c>
      <c r="P69" s="83" t="s">
        <v>284</v>
      </c>
      <c r="Q69" s="83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  <c r="AC69" s="362"/>
    </row>
    <row r="70" ht="15.75" customHeight="1">
      <c r="A70" s="76">
        <v>66.0</v>
      </c>
      <c r="B70" s="79" t="s">
        <v>704</v>
      </c>
      <c r="C70" s="119" t="s">
        <v>703</v>
      </c>
      <c r="D70" s="119" t="s">
        <v>705</v>
      </c>
      <c r="E70" s="382" t="s">
        <v>327</v>
      </c>
      <c r="F70" s="383" t="s">
        <v>706</v>
      </c>
      <c r="G70" s="119">
        <v>30.0</v>
      </c>
      <c r="H70" s="85" t="s">
        <v>707</v>
      </c>
      <c r="I70" s="119"/>
      <c r="J70" s="119" t="s">
        <v>1979</v>
      </c>
      <c r="K70" s="79" t="s">
        <v>708</v>
      </c>
      <c r="L70" s="394">
        <v>80.0</v>
      </c>
      <c r="M70" s="120" t="s">
        <v>685</v>
      </c>
      <c r="N70" s="79"/>
      <c r="O70" s="79" t="s">
        <v>1969</v>
      </c>
      <c r="P70" s="79" t="s">
        <v>292</v>
      </c>
      <c r="Q70" s="79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  <c r="AC70" s="362"/>
    </row>
    <row r="71" ht="15.75" customHeight="1">
      <c r="A71" s="82">
        <v>67.0</v>
      </c>
      <c r="B71" s="83" t="s">
        <v>712</v>
      </c>
      <c r="C71" s="73" t="s">
        <v>711</v>
      </c>
      <c r="D71" s="73"/>
      <c r="E71" s="381" t="s">
        <v>327</v>
      </c>
      <c r="F71" s="378" t="s">
        <v>713</v>
      </c>
      <c r="G71" s="73">
        <v>20.0</v>
      </c>
      <c r="H71" s="378" t="s">
        <v>714</v>
      </c>
      <c r="I71" s="73"/>
      <c r="J71" s="73" t="s">
        <v>716</v>
      </c>
      <c r="K71" s="83" t="s">
        <v>715</v>
      </c>
      <c r="L71" s="393">
        <v>50.0</v>
      </c>
      <c r="M71" s="124" t="s">
        <v>717</v>
      </c>
      <c r="N71" s="83"/>
      <c r="O71" s="83"/>
      <c r="P71" s="83" t="s">
        <v>628</v>
      </c>
      <c r="Q71" s="83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  <c r="AC71" s="362"/>
    </row>
    <row r="72" ht="15.75" customHeight="1">
      <c r="A72" s="76">
        <v>68.0</v>
      </c>
      <c r="B72" s="79" t="s">
        <v>720</v>
      </c>
      <c r="C72" s="119" t="s">
        <v>719</v>
      </c>
      <c r="D72" s="119"/>
      <c r="E72" s="382" t="s">
        <v>327</v>
      </c>
      <c r="F72" s="85" t="s">
        <v>721</v>
      </c>
      <c r="G72" s="119">
        <v>20.0</v>
      </c>
      <c r="H72" s="85" t="s">
        <v>722</v>
      </c>
      <c r="I72" s="119"/>
      <c r="J72" s="119" t="s">
        <v>724</v>
      </c>
      <c r="K72" s="79" t="s">
        <v>723</v>
      </c>
      <c r="L72" s="394">
        <v>100.0</v>
      </c>
      <c r="M72" s="120" t="s">
        <v>717</v>
      </c>
      <c r="N72" s="79"/>
      <c r="O72" s="79"/>
      <c r="P72" s="79" t="s">
        <v>620</v>
      </c>
      <c r="Q72" s="79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  <c r="AC72" s="362"/>
    </row>
    <row r="73" ht="15.75" customHeight="1">
      <c r="A73" s="76">
        <v>69.0</v>
      </c>
      <c r="B73" s="79" t="s">
        <v>727</v>
      </c>
      <c r="C73" s="119" t="s">
        <v>1980</v>
      </c>
      <c r="D73" s="119"/>
      <c r="E73" s="382" t="s">
        <v>327</v>
      </c>
      <c r="F73" s="85" t="s">
        <v>729</v>
      </c>
      <c r="G73" s="119">
        <v>20.0</v>
      </c>
      <c r="H73" s="85" t="s">
        <v>730</v>
      </c>
      <c r="I73" s="119"/>
      <c r="J73" s="119" t="s">
        <v>732</v>
      </c>
      <c r="K73" s="79" t="s">
        <v>731</v>
      </c>
      <c r="L73" s="394">
        <v>70.0</v>
      </c>
      <c r="M73" s="120" t="s">
        <v>717</v>
      </c>
      <c r="N73" s="79"/>
      <c r="O73" s="79"/>
      <c r="P73" s="79" t="s">
        <v>890</v>
      </c>
      <c r="Q73" s="79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  <c r="AC73" s="362"/>
    </row>
    <row r="74" ht="15.75" customHeight="1">
      <c r="A74" s="82">
        <v>70.0</v>
      </c>
      <c r="B74" s="83" t="s">
        <v>735</v>
      </c>
      <c r="C74" s="73" t="s">
        <v>734</v>
      </c>
      <c r="D74" s="381" t="s">
        <v>736</v>
      </c>
      <c r="E74" s="381" t="s">
        <v>327</v>
      </c>
      <c r="F74" s="378" t="s">
        <v>737</v>
      </c>
      <c r="G74" s="73">
        <v>20.0</v>
      </c>
      <c r="H74" s="378" t="s">
        <v>738</v>
      </c>
      <c r="I74" s="73"/>
      <c r="J74" s="73" t="s">
        <v>740</v>
      </c>
      <c r="K74" s="83" t="s">
        <v>739</v>
      </c>
      <c r="L74" s="393">
        <v>70.0</v>
      </c>
      <c r="M74" s="124" t="s">
        <v>717</v>
      </c>
      <c r="N74" s="83"/>
      <c r="O74" s="83"/>
      <c r="P74" s="83" t="s">
        <v>645</v>
      </c>
      <c r="Q74" s="83"/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  <c r="AC74" s="362"/>
    </row>
    <row r="75" ht="15.75" customHeight="1">
      <c r="A75" s="76">
        <v>71.0</v>
      </c>
      <c r="B75" s="79" t="s">
        <v>743</v>
      </c>
      <c r="C75" s="119" t="s">
        <v>742</v>
      </c>
      <c r="D75" s="119"/>
      <c r="E75" s="382" t="s">
        <v>462</v>
      </c>
      <c r="F75" s="383" t="s">
        <v>745</v>
      </c>
      <c r="G75" s="119">
        <v>20.0</v>
      </c>
      <c r="H75" s="85" t="s">
        <v>746</v>
      </c>
      <c r="I75" s="119"/>
      <c r="J75" s="119" t="s">
        <v>748</v>
      </c>
      <c r="K75" s="79" t="s">
        <v>747</v>
      </c>
      <c r="L75" s="394">
        <v>70.0</v>
      </c>
      <c r="M75" s="120" t="s">
        <v>717</v>
      </c>
      <c r="N75" s="79"/>
      <c r="O75" s="79"/>
      <c r="P75" s="79" t="s">
        <v>653</v>
      </c>
      <c r="Q75" s="79"/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  <c r="AC75" s="362"/>
    </row>
    <row r="76" ht="15.75" customHeight="1">
      <c r="A76" s="82">
        <v>72.0</v>
      </c>
      <c r="B76" s="83" t="s">
        <v>751</v>
      </c>
      <c r="C76" s="73" t="s">
        <v>750</v>
      </c>
      <c r="D76" s="73"/>
      <c r="E76" s="381" t="s">
        <v>327</v>
      </c>
      <c r="F76" s="395" t="s">
        <v>753</v>
      </c>
      <c r="G76" s="73">
        <v>20.0</v>
      </c>
      <c r="H76" s="378" t="s">
        <v>754</v>
      </c>
      <c r="I76" s="73"/>
      <c r="J76" s="73" t="s">
        <v>756</v>
      </c>
      <c r="K76" s="83" t="s">
        <v>755</v>
      </c>
      <c r="L76" s="393">
        <v>150.0</v>
      </c>
      <c r="M76" s="124">
        <v>46159.0</v>
      </c>
      <c r="N76" s="83"/>
      <c r="O76" s="83"/>
      <c r="P76" s="83" t="s">
        <v>661</v>
      </c>
      <c r="Q76" s="83"/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  <c r="AC76" s="362"/>
    </row>
    <row r="77" ht="15.75" customHeight="1">
      <c r="A77" s="82">
        <v>73.0</v>
      </c>
      <c r="B77" s="83" t="s">
        <v>759</v>
      </c>
      <c r="C77" s="73" t="s">
        <v>758</v>
      </c>
      <c r="D77" s="381" t="s">
        <v>648</v>
      </c>
      <c r="E77" s="381" t="s">
        <v>327</v>
      </c>
      <c r="F77" s="378" t="s">
        <v>761</v>
      </c>
      <c r="G77" s="73">
        <v>30.0</v>
      </c>
      <c r="H77" s="378" t="s">
        <v>762</v>
      </c>
      <c r="I77" s="73"/>
      <c r="J77" s="73" t="s">
        <v>764</v>
      </c>
      <c r="K77" s="83" t="s">
        <v>763</v>
      </c>
      <c r="L77" s="393">
        <v>60.0</v>
      </c>
      <c r="M77" s="124">
        <v>46162.0</v>
      </c>
      <c r="N77" s="83"/>
      <c r="O77" s="83" t="s">
        <v>1969</v>
      </c>
      <c r="P77" s="83" t="s">
        <v>300</v>
      </c>
      <c r="Q77" s="83"/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  <c r="AC77" s="362"/>
    </row>
    <row r="78" ht="15.75" customHeight="1">
      <c r="A78" s="76">
        <v>74.0</v>
      </c>
      <c r="B78" s="79" t="s">
        <v>767</v>
      </c>
      <c r="C78" s="119" t="s">
        <v>766</v>
      </c>
      <c r="D78" s="119"/>
      <c r="E78" s="382" t="s">
        <v>327</v>
      </c>
      <c r="F78" s="85" t="s">
        <v>768</v>
      </c>
      <c r="G78" s="119">
        <v>30.0</v>
      </c>
      <c r="H78" s="85" t="s">
        <v>769</v>
      </c>
      <c r="I78" s="119"/>
      <c r="J78" s="119" t="s">
        <v>1981</v>
      </c>
      <c r="K78" s="79" t="s">
        <v>770</v>
      </c>
      <c r="L78" s="394">
        <v>100.0</v>
      </c>
      <c r="M78" s="120">
        <v>46164.0</v>
      </c>
      <c r="N78" s="79"/>
      <c r="O78" s="79" t="s">
        <v>1969</v>
      </c>
      <c r="P78" s="79" t="s">
        <v>308</v>
      </c>
      <c r="Q78" s="79"/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  <c r="AC78" s="362"/>
    </row>
    <row r="79" ht="15.75" customHeight="1">
      <c r="A79" s="76">
        <v>75.0</v>
      </c>
      <c r="B79" s="79" t="s">
        <v>774</v>
      </c>
      <c r="C79" s="119" t="s">
        <v>773</v>
      </c>
      <c r="D79" s="382" t="s">
        <v>775</v>
      </c>
      <c r="E79" s="382" t="s">
        <v>327</v>
      </c>
      <c r="F79" s="85" t="s">
        <v>776</v>
      </c>
      <c r="G79" s="119">
        <v>20.0</v>
      </c>
      <c r="H79" s="85" t="s">
        <v>777</v>
      </c>
      <c r="I79" s="119"/>
      <c r="J79" s="119" t="s">
        <v>779</v>
      </c>
      <c r="K79" s="79" t="s">
        <v>778</v>
      </c>
      <c r="L79" s="394">
        <v>7.0</v>
      </c>
      <c r="M79" s="120">
        <v>46164.0</v>
      </c>
      <c r="N79" s="79"/>
      <c r="O79" s="79"/>
      <c r="P79" s="79" t="s">
        <v>669</v>
      </c>
      <c r="Q79" s="79"/>
      <c r="R79" s="362"/>
      <c r="S79" s="362"/>
      <c r="T79" s="362"/>
      <c r="U79" s="362"/>
      <c r="V79" s="362"/>
      <c r="W79" s="362"/>
      <c r="X79" s="362"/>
      <c r="Y79" s="362"/>
      <c r="Z79" s="362"/>
      <c r="AA79" s="362"/>
      <c r="AB79" s="362"/>
      <c r="AC79" s="362"/>
    </row>
    <row r="80" ht="15.75" customHeight="1">
      <c r="A80" s="82">
        <v>76.0</v>
      </c>
      <c r="B80" s="83" t="s">
        <v>782</v>
      </c>
      <c r="C80" s="73" t="s">
        <v>781</v>
      </c>
      <c r="D80" s="73"/>
      <c r="E80" s="381" t="s">
        <v>523</v>
      </c>
      <c r="F80" s="395" t="s">
        <v>784</v>
      </c>
      <c r="G80" s="73">
        <v>30.0</v>
      </c>
      <c r="H80" s="378" t="s">
        <v>785</v>
      </c>
      <c r="I80" s="73"/>
      <c r="J80" s="73" t="s">
        <v>787</v>
      </c>
      <c r="K80" s="83" t="s">
        <v>786</v>
      </c>
      <c r="L80" s="393">
        <v>50.0</v>
      </c>
      <c r="M80" s="124">
        <v>46165.0</v>
      </c>
      <c r="N80" s="83"/>
      <c r="O80" s="83" t="s">
        <v>1969</v>
      </c>
      <c r="P80" s="83" t="s">
        <v>315</v>
      </c>
      <c r="Q80" s="83"/>
      <c r="R80" s="362"/>
      <c r="S80" s="362"/>
      <c r="T80" s="362"/>
      <c r="U80" s="362"/>
      <c r="V80" s="362"/>
      <c r="W80" s="362"/>
      <c r="X80" s="362"/>
      <c r="Y80" s="362"/>
      <c r="Z80" s="362"/>
      <c r="AA80" s="362"/>
      <c r="AB80" s="362"/>
      <c r="AC80" s="362"/>
    </row>
    <row r="81" ht="15.75" customHeight="1">
      <c r="A81" s="76">
        <v>77.0</v>
      </c>
      <c r="B81" s="79" t="s">
        <v>790</v>
      </c>
      <c r="C81" s="119" t="s">
        <v>789</v>
      </c>
      <c r="D81" s="119"/>
      <c r="E81" s="382" t="s">
        <v>327</v>
      </c>
      <c r="F81" s="383" t="s">
        <v>792</v>
      </c>
      <c r="G81" s="119">
        <v>30.0</v>
      </c>
      <c r="H81" s="85" t="s">
        <v>793</v>
      </c>
      <c r="I81" s="119"/>
      <c r="J81" s="119" t="s">
        <v>1603</v>
      </c>
      <c r="K81" s="79" t="s">
        <v>794</v>
      </c>
      <c r="L81" s="394">
        <v>100.0</v>
      </c>
      <c r="M81" s="120">
        <v>46165.0</v>
      </c>
      <c r="N81" s="79"/>
      <c r="O81" s="79" t="s">
        <v>1969</v>
      </c>
      <c r="P81" s="79" t="s">
        <v>322</v>
      </c>
      <c r="Q81" s="79"/>
      <c r="R81" s="362"/>
      <c r="S81" s="362"/>
      <c r="T81" s="362"/>
      <c r="U81" s="362"/>
      <c r="V81" s="362"/>
      <c r="W81" s="362"/>
      <c r="X81" s="362"/>
      <c r="Y81" s="362"/>
      <c r="Z81" s="362"/>
      <c r="AA81" s="362"/>
      <c r="AB81" s="362"/>
      <c r="AC81" s="362"/>
    </row>
    <row r="82" ht="15.75" customHeight="1">
      <c r="A82" s="82">
        <v>78.0</v>
      </c>
      <c r="B82" s="83" t="s">
        <v>798</v>
      </c>
      <c r="C82" s="73" t="s">
        <v>797</v>
      </c>
      <c r="D82" s="381" t="s">
        <v>799</v>
      </c>
      <c r="E82" s="381" t="s">
        <v>462</v>
      </c>
      <c r="F82" s="395" t="s">
        <v>808</v>
      </c>
      <c r="G82" s="73">
        <v>20.0</v>
      </c>
      <c r="H82" s="378" t="s">
        <v>801</v>
      </c>
      <c r="I82" s="73"/>
      <c r="J82" s="73" t="s">
        <v>803</v>
      </c>
      <c r="K82" s="83" t="s">
        <v>802</v>
      </c>
      <c r="L82" s="393">
        <v>260.0</v>
      </c>
      <c r="M82" s="124">
        <v>46165.0</v>
      </c>
      <c r="N82" s="83"/>
      <c r="O82" s="83"/>
      <c r="P82" s="83" t="s">
        <v>694</v>
      </c>
      <c r="Q82" s="83"/>
      <c r="R82" s="362"/>
      <c r="S82" s="362"/>
      <c r="T82" s="362"/>
      <c r="U82" s="362"/>
      <c r="V82" s="362"/>
      <c r="W82" s="362"/>
      <c r="X82" s="362"/>
      <c r="Y82" s="362"/>
      <c r="Z82" s="362"/>
      <c r="AA82" s="362"/>
      <c r="AB82" s="362"/>
      <c r="AC82" s="362"/>
    </row>
    <row r="83" ht="15.75" customHeight="1">
      <c r="A83" s="76">
        <v>79.0</v>
      </c>
      <c r="B83" s="79" t="s">
        <v>806</v>
      </c>
      <c r="C83" s="119" t="s">
        <v>805</v>
      </c>
      <c r="D83" s="119"/>
      <c r="E83" s="382" t="s">
        <v>462</v>
      </c>
      <c r="F83" s="383" t="s">
        <v>808</v>
      </c>
      <c r="G83" s="119">
        <v>20.0</v>
      </c>
      <c r="H83" s="85" t="s">
        <v>809</v>
      </c>
      <c r="I83" s="119"/>
      <c r="J83" s="119" t="s">
        <v>811</v>
      </c>
      <c r="K83" s="79" t="s">
        <v>810</v>
      </c>
      <c r="L83" s="394">
        <v>280.0</v>
      </c>
      <c r="M83" s="120">
        <v>46165.0</v>
      </c>
      <c r="N83" s="79"/>
      <c r="O83" s="79"/>
      <c r="P83" s="79" t="s">
        <v>686</v>
      </c>
      <c r="Q83" s="79"/>
      <c r="R83" s="362"/>
      <c r="S83" s="362"/>
      <c r="T83" s="362"/>
      <c r="U83" s="362"/>
      <c r="V83" s="362"/>
      <c r="W83" s="362"/>
      <c r="X83" s="362"/>
      <c r="Y83" s="362"/>
      <c r="Z83" s="362"/>
      <c r="AA83" s="362"/>
      <c r="AB83" s="362"/>
      <c r="AC83" s="362"/>
    </row>
    <row r="84" ht="15.75" customHeight="1">
      <c r="A84" s="82">
        <v>80.0</v>
      </c>
      <c r="B84" s="83" t="s">
        <v>814</v>
      </c>
      <c r="C84" s="73" t="s">
        <v>813</v>
      </c>
      <c r="D84" s="381">
        <v>3.30215270870005E14</v>
      </c>
      <c r="E84" s="381" t="s">
        <v>327</v>
      </c>
      <c r="F84" s="395" t="s">
        <v>815</v>
      </c>
      <c r="G84" s="73">
        <v>20.0</v>
      </c>
      <c r="H84" s="378" t="s">
        <v>816</v>
      </c>
      <c r="I84" s="73"/>
      <c r="J84" s="73" t="s">
        <v>818</v>
      </c>
      <c r="K84" s="83" t="s">
        <v>817</v>
      </c>
      <c r="L84" s="393">
        <v>60.0</v>
      </c>
      <c r="M84" s="124">
        <v>46166.0</v>
      </c>
      <c r="N84" s="83"/>
      <c r="O84" s="83"/>
      <c r="P84" s="83" t="s">
        <v>710</v>
      </c>
      <c r="Q84" s="83"/>
      <c r="R84" s="362"/>
      <c r="S84" s="362"/>
      <c r="T84" s="362"/>
      <c r="U84" s="362"/>
      <c r="V84" s="362"/>
      <c r="W84" s="362"/>
      <c r="X84" s="362"/>
      <c r="Y84" s="362"/>
      <c r="Z84" s="362"/>
      <c r="AA84" s="362"/>
      <c r="AB84" s="362"/>
      <c r="AC84" s="362"/>
    </row>
    <row r="85" ht="15.75" customHeight="1">
      <c r="A85" s="76">
        <v>81.0</v>
      </c>
      <c r="B85" s="79" t="s">
        <v>1982</v>
      </c>
      <c r="C85" s="119" t="s">
        <v>820</v>
      </c>
      <c r="D85" s="382">
        <v>3.30215500381002E14</v>
      </c>
      <c r="E85" s="382" t="s">
        <v>327</v>
      </c>
      <c r="F85" s="383" t="s">
        <v>822</v>
      </c>
      <c r="G85" s="119">
        <v>20.0</v>
      </c>
      <c r="H85" s="85" t="s">
        <v>823</v>
      </c>
      <c r="I85" s="119"/>
      <c r="J85" s="119" t="s">
        <v>825</v>
      </c>
      <c r="K85" s="79" t="s">
        <v>824</v>
      </c>
      <c r="L85" s="394">
        <v>50.0</v>
      </c>
      <c r="M85" s="120">
        <v>46166.0</v>
      </c>
      <c r="N85" s="79"/>
      <c r="O85" s="79"/>
      <c r="P85" s="79" t="s">
        <v>702</v>
      </c>
      <c r="Q85" s="79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  <c r="AC85" s="362"/>
    </row>
    <row r="86" ht="15.75" customHeight="1">
      <c r="A86" s="76">
        <v>82.0</v>
      </c>
      <c r="B86" s="79" t="s">
        <v>828</v>
      </c>
      <c r="C86" s="119" t="s">
        <v>827</v>
      </c>
      <c r="D86" s="119" t="s">
        <v>829</v>
      </c>
      <c r="E86" s="382" t="s">
        <v>327</v>
      </c>
      <c r="F86" s="383" t="s">
        <v>830</v>
      </c>
      <c r="G86" s="119">
        <v>50.0</v>
      </c>
      <c r="H86" s="85" t="s">
        <v>831</v>
      </c>
      <c r="I86" s="119"/>
      <c r="J86" s="119" t="s">
        <v>833</v>
      </c>
      <c r="K86" s="79" t="s">
        <v>832</v>
      </c>
      <c r="L86" s="394">
        <v>240.0</v>
      </c>
      <c r="M86" s="120">
        <v>46166.0</v>
      </c>
      <c r="N86" s="79"/>
      <c r="O86" s="79" t="s">
        <v>1969</v>
      </c>
      <c r="P86" s="79" t="s">
        <v>245</v>
      </c>
      <c r="Q86" s="79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  <c r="AC86" s="362"/>
    </row>
    <row r="87" ht="15.75" customHeight="1">
      <c r="A87" s="82">
        <v>83.0</v>
      </c>
      <c r="B87" s="83" t="s">
        <v>1983</v>
      </c>
      <c r="C87" s="73" t="s">
        <v>835</v>
      </c>
      <c r="D87" s="381" t="s">
        <v>837</v>
      </c>
      <c r="E87" s="381" t="s">
        <v>327</v>
      </c>
      <c r="F87" s="395" t="s">
        <v>838</v>
      </c>
      <c r="G87" s="73">
        <v>20.0</v>
      </c>
      <c r="H87" s="378" t="s">
        <v>839</v>
      </c>
      <c r="I87" s="73"/>
      <c r="J87" s="73" t="s">
        <v>841</v>
      </c>
      <c r="K87" s="73" t="s">
        <v>840</v>
      </c>
      <c r="L87" s="393">
        <v>50.0</v>
      </c>
      <c r="M87" s="124">
        <v>46167.0</v>
      </c>
      <c r="N87" s="83"/>
      <c r="O87" s="83"/>
      <c r="P87" s="83" t="s">
        <v>598</v>
      </c>
      <c r="Q87" s="83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  <c r="AC87" s="362"/>
    </row>
    <row r="88" ht="15.75" customHeight="1">
      <c r="A88" s="82">
        <v>84.0</v>
      </c>
      <c r="B88" s="83" t="s">
        <v>844</v>
      </c>
      <c r="C88" s="73" t="s">
        <v>843</v>
      </c>
      <c r="D88" s="378"/>
      <c r="E88" s="381" t="s">
        <v>327</v>
      </c>
      <c r="F88" s="395" t="s">
        <v>845</v>
      </c>
      <c r="G88" s="73">
        <v>50.0</v>
      </c>
      <c r="H88" s="378" t="s">
        <v>847</v>
      </c>
      <c r="I88" s="73"/>
      <c r="J88" s="73" t="s">
        <v>849</v>
      </c>
      <c r="K88" s="73" t="s">
        <v>848</v>
      </c>
      <c r="L88" s="393">
        <v>60.0</v>
      </c>
      <c r="M88" s="124">
        <v>46167.0</v>
      </c>
      <c r="N88" s="83"/>
      <c r="O88" s="83" t="s">
        <v>1969</v>
      </c>
      <c r="P88" s="83" t="s">
        <v>239</v>
      </c>
      <c r="Q88" s="83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  <c r="AC88" s="362"/>
    </row>
    <row r="89" ht="15.75" customHeight="1">
      <c r="A89" s="82">
        <v>85.0</v>
      </c>
      <c r="B89" s="83" t="s">
        <v>852</v>
      </c>
      <c r="C89" s="73" t="s">
        <v>851</v>
      </c>
      <c r="D89" s="378" t="s">
        <v>853</v>
      </c>
      <c r="E89" s="381" t="s">
        <v>327</v>
      </c>
      <c r="F89" s="395" t="s">
        <v>854</v>
      </c>
      <c r="G89" s="73">
        <v>20.0</v>
      </c>
      <c r="H89" s="378" t="s">
        <v>855</v>
      </c>
      <c r="I89" s="73"/>
      <c r="J89" s="73" t="s">
        <v>857</v>
      </c>
      <c r="K89" s="73" t="s">
        <v>856</v>
      </c>
      <c r="L89" s="393">
        <v>50.0</v>
      </c>
      <c r="M89" s="124">
        <v>46167.0</v>
      </c>
      <c r="N89" s="83"/>
      <c r="O89" s="83"/>
      <c r="P89" s="83" t="s">
        <v>677</v>
      </c>
      <c r="Q89" s="83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  <c r="AC89" s="362"/>
    </row>
    <row r="90" ht="15.75" customHeight="1">
      <c r="A90" s="76">
        <v>86.0</v>
      </c>
      <c r="B90" s="79" t="s">
        <v>860</v>
      </c>
      <c r="C90" s="119" t="s">
        <v>859</v>
      </c>
      <c r="D90" s="85" t="s">
        <v>861</v>
      </c>
      <c r="E90" s="382" t="s">
        <v>541</v>
      </c>
      <c r="F90" s="383" t="s">
        <v>862</v>
      </c>
      <c r="G90" s="119">
        <v>30.0</v>
      </c>
      <c r="H90" s="85" t="s">
        <v>863</v>
      </c>
      <c r="I90" s="119"/>
      <c r="J90" s="119" t="s">
        <v>865</v>
      </c>
      <c r="K90" s="119" t="s">
        <v>864</v>
      </c>
      <c r="L90" s="394">
        <v>120.0</v>
      </c>
      <c r="M90" s="120">
        <v>46171.0</v>
      </c>
      <c r="N90" s="79"/>
      <c r="O90" s="79" t="s">
        <v>1969</v>
      </c>
      <c r="P90" s="79" t="s">
        <v>356</v>
      </c>
      <c r="Q90" s="79"/>
      <c r="R90" s="362"/>
      <c r="S90" s="362"/>
      <c r="T90" s="362"/>
      <c r="U90" s="362"/>
      <c r="V90" s="362"/>
      <c r="W90" s="362"/>
      <c r="X90" s="362"/>
      <c r="Y90" s="362"/>
      <c r="Z90" s="362"/>
      <c r="AA90" s="362"/>
      <c r="AB90" s="362"/>
      <c r="AC90" s="362"/>
    </row>
    <row r="91" ht="15.75" customHeight="1">
      <c r="A91" s="76">
        <v>87.0</v>
      </c>
      <c r="B91" s="79" t="s">
        <v>868</v>
      </c>
      <c r="C91" s="119" t="s">
        <v>867</v>
      </c>
      <c r="D91" s="85" t="s">
        <v>869</v>
      </c>
      <c r="E91" s="382" t="s">
        <v>327</v>
      </c>
      <c r="F91" s="383" t="s">
        <v>870</v>
      </c>
      <c r="G91" s="119">
        <v>20.0</v>
      </c>
      <c r="H91" s="85" t="s">
        <v>871</v>
      </c>
      <c r="I91" s="119"/>
      <c r="J91" s="119" t="s">
        <v>873</v>
      </c>
      <c r="K91" s="119" t="s">
        <v>872</v>
      </c>
      <c r="L91" s="394">
        <v>100.0</v>
      </c>
      <c r="M91" s="120">
        <v>46172.0</v>
      </c>
      <c r="N91" s="79"/>
      <c r="O91" s="79"/>
      <c r="P91" s="79" t="s">
        <v>874</v>
      </c>
      <c r="Q91" s="79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</row>
    <row r="92" ht="15.75" customHeight="1">
      <c r="A92" s="82">
        <v>88.0</v>
      </c>
      <c r="B92" s="83" t="s">
        <v>876</v>
      </c>
      <c r="C92" s="73" t="s">
        <v>1984</v>
      </c>
      <c r="D92" s="378" t="s">
        <v>877</v>
      </c>
      <c r="E92" s="381" t="s">
        <v>327</v>
      </c>
      <c r="F92" s="395" t="s">
        <v>878</v>
      </c>
      <c r="G92" s="73">
        <v>20.0</v>
      </c>
      <c r="H92" s="378" t="s">
        <v>879</v>
      </c>
      <c r="I92" s="73"/>
      <c r="J92" s="73" t="s">
        <v>881</v>
      </c>
      <c r="K92" s="73" t="s">
        <v>880</v>
      </c>
      <c r="L92" s="393">
        <v>30.0</v>
      </c>
      <c r="M92" s="124">
        <v>46172.0</v>
      </c>
      <c r="N92" s="83"/>
      <c r="O92" s="83"/>
      <c r="P92" s="83" t="s">
        <v>936</v>
      </c>
      <c r="Q92" s="83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</row>
    <row r="93" ht="15.75" customHeight="1">
      <c r="A93" s="82">
        <v>89.0</v>
      </c>
      <c r="B93" s="83" t="s">
        <v>884</v>
      </c>
      <c r="C93" s="73" t="s">
        <v>1985</v>
      </c>
      <c r="D93" s="378" t="s">
        <v>885</v>
      </c>
      <c r="E93" s="381" t="s">
        <v>327</v>
      </c>
      <c r="F93" s="395" t="s">
        <v>886</v>
      </c>
      <c r="G93" s="73">
        <v>20.0</v>
      </c>
      <c r="H93" s="378" t="s">
        <v>887</v>
      </c>
      <c r="I93" s="73"/>
      <c r="J93" s="73" t="s">
        <v>889</v>
      </c>
      <c r="K93" s="73" t="s">
        <v>888</v>
      </c>
      <c r="L93" s="393">
        <v>180.0</v>
      </c>
      <c r="M93" s="124">
        <v>46173.0</v>
      </c>
      <c r="N93" s="83"/>
      <c r="O93" s="83"/>
      <c r="P93" s="83" t="s">
        <v>882</v>
      </c>
      <c r="Q93" s="83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  <c r="AC93" s="362"/>
    </row>
    <row r="94" ht="15.75" customHeight="1">
      <c r="A94" s="82">
        <v>90.0</v>
      </c>
      <c r="B94" s="83" t="s">
        <v>892</v>
      </c>
      <c r="C94" s="73" t="s">
        <v>1986</v>
      </c>
      <c r="D94" s="378" t="s">
        <v>893</v>
      </c>
      <c r="E94" s="381" t="s">
        <v>327</v>
      </c>
      <c r="F94" s="395" t="s">
        <v>886</v>
      </c>
      <c r="G94" s="73">
        <v>20.0</v>
      </c>
      <c r="H94" s="378" t="s">
        <v>894</v>
      </c>
      <c r="I94" s="73"/>
      <c r="J94" s="73" t="s">
        <v>896</v>
      </c>
      <c r="K94" s="73" t="s">
        <v>895</v>
      </c>
      <c r="L94" s="393">
        <v>100.0</v>
      </c>
      <c r="M94" s="124">
        <v>46174.0</v>
      </c>
      <c r="N94" s="83"/>
      <c r="O94" s="83"/>
      <c r="P94" s="83" t="s">
        <v>897</v>
      </c>
      <c r="Q94" s="83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  <c r="AC94" s="362"/>
    </row>
    <row r="95" ht="15.75" customHeight="1">
      <c r="A95" s="76">
        <v>91.0</v>
      </c>
      <c r="B95" s="79" t="s">
        <v>899</v>
      </c>
      <c r="C95" s="119" t="s">
        <v>898</v>
      </c>
      <c r="D95" s="85" t="s">
        <v>900</v>
      </c>
      <c r="E95" s="382" t="s">
        <v>327</v>
      </c>
      <c r="F95" s="383" t="s">
        <v>901</v>
      </c>
      <c r="G95" s="119">
        <v>30.0</v>
      </c>
      <c r="H95" s="85" t="s">
        <v>902</v>
      </c>
      <c r="I95" s="119"/>
      <c r="J95" s="119" t="s">
        <v>904</v>
      </c>
      <c r="K95" s="119" t="s">
        <v>903</v>
      </c>
      <c r="L95" s="394">
        <v>70.0</v>
      </c>
      <c r="M95" s="120">
        <v>46175.0</v>
      </c>
      <c r="N95" s="79"/>
      <c r="O95" s="79"/>
      <c r="P95" s="79" t="s">
        <v>340</v>
      </c>
      <c r="Q95" s="79"/>
      <c r="R95" s="362"/>
      <c r="S95" s="362"/>
      <c r="T95" s="362"/>
      <c r="U95" s="362"/>
      <c r="V95" s="362"/>
      <c r="W95" s="362"/>
      <c r="X95" s="362"/>
      <c r="Y95" s="362"/>
      <c r="Z95" s="362"/>
      <c r="AA95" s="362"/>
      <c r="AB95" s="362"/>
      <c r="AC95" s="362"/>
    </row>
    <row r="96" ht="15.75" customHeight="1">
      <c r="A96" s="82">
        <v>92.0</v>
      </c>
      <c r="B96" s="83" t="s">
        <v>907</v>
      </c>
      <c r="C96" s="73" t="s">
        <v>906</v>
      </c>
      <c r="D96" s="378" t="s">
        <v>908</v>
      </c>
      <c r="E96" s="381" t="s">
        <v>327</v>
      </c>
      <c r="F96" s="395" t="s">
        <v>909</v>
      </c>
      <c r="G96" s="73">
        <v>30.0</v>
      </c>
      <c r="H96" s="378" t="s">
        <v>910</v>
      </c>
      <c r="I96" s="73"/>
      <c r="J96" s="73" t="s">
        <v>912</v>
      </c>
      <c r="K96" s="73" t="s">
        <v>911</v>
      </c>
      <c r="L96" s="393">
        <v>30.0</v>
      </c>
      <c r="M96" s="124">
        <v>46175.0</v>
      </c>
      <c r="N96" s="83"/>
      <c r="O96" s="83"/>
      <c r="P96" s="83" t="s">
        <v>348</v>
      </c>
      <c r="Q96" s="83"/>
      <c r="R96" s="362"/>
      <c r="S96" s="362"/>
      <c r="T96" s="362"/>
      <c r="U96" s="362"/>
      <c r="V96" s="362"/>
      <c r="W96" s="362"/>
      <c r="X96" s="362"/>
      <c r="Y96" s="362"/>
      <c r="Z96" s="362"/>
      <c r="AA96" s="362"/>
      <c r="AB96" s="362"/>
      <c r="AC96" s="362"/>
    </row>
    <row r="97" ht="15.75" customHeight="1">
      <c r="A97" s="82">
        <v>93.0</v>
      </c>
      <c r="B97" s="83" t="s">
        <v>915</v>
      </c>
      <c r="C97" s="73" t="s">
        <v>914</v>
      </c>
      <c r="D97" s="378" t="s">
        <v>916</v>
      </c>
      <c r="E97" s="381" t="s">
        <v>327</v>
      </c>
      <c r="F97" s="395" t="s">
        <v>917</v>
      </c>
      <c r="G97" s="73">
        <v>30.0</v>
      </c>
      <c r="H97" s="378" t="s">
        <v>918</v>
      </c>
      <c r="I97" s="73"/>
      <c r="J97" s="73" t="s">
        <v>920</v>
      </c>
      <c r="K97" s="73" t="s">
        <v>919</v>
      </c>
      <c r="L97" s="393">
        <v>30.0</v>
      </c>
      <c r="M97" s="124">
        <v>46177.0</v>
      </c>
      <c r="N97" s="83"/>
      <c r="O97" s="83" t="s">
        <v>1969</v>
      </c>
      <c r="P97" s="83" t="s">
        <v>364</v>
      </c>
      <c r="Q97" s="83"/>
      <c r="R97" s="362"/>
      <c r="S97" s="362"/>
      <c r="T97" s="362"/>
      <c r="U97" s="362"/>
      <c r="V97" s="362"/>
      <c r="W97" s="362"/>
      <c r="X97" s="362"/>
      <c r="Y97" s="362"/>
      <c r="Z97" s="362"/>
      <c r="AA97" s="362"/>
      <c r="AB97" s="362"/>
      <c r="AC97" s="362"/>
    </row>
    <row r="98" ht="15.75" customHeight="1">
      <c r="A98" s="76">
        <v>94.0</v>
      </c>
      <c r="B98" s="79" t="s">
        <v>923</v>
      </c>
      <c r="C98" s="119" t="s">
        <v>922</v>
      </c>
      <c r="D98" s="85" t="s">
        <v>924</v>
      </c>
      <c r="E98" s="382" t="s">
        <v>327</v>
      </c>
      <c r="F98" s="383" t="s">
        <v>925</v>
      </c>
      <c r="G98" s="119">
        <v>20.0</v>
      </c>
      <c r="H98" s="85" t="s">
        <v>926</v>
      </c>
      <c r="I98" s="119"/>
      <c r="J98" s="119" t="s">
        <v>928</v>
      </c>
      <c r="K98" s="119" t="s">
        <v>927</v>
      </c>
      <c r="L98" s="394">
        <v>80.0</v>
      </c>
      <c r="M98" s="120">
        <v>46179.0</v>
      </c>
      <c r="N98" s="79"/>
      <c r="O98" s="79"/>
      <c r="P98" s="79" t="s">
        <v>905</v>
      </c>
      <c r="Q98" s="79"/>
      <c r="R98" s="362"/>
      <c r="S98" s="362"/>
      <c r="T98" s="362"/>
      <c r="U98" s="362"/>
      <c r="V98" s="362"/>
      <c r="W98" s="362"/>
      <c r="X98" s="362"/>
      <c r="Y98" s="362"/>
      <c r="Z98" s="362"/>
      <c r="AA98" s="362"/>
      <c r="AB98" s="362"/>
      <c r="AC98" s="362"/>
    </row>
    <row r="99" ht="15.75" customHeight="1">
      <c r="A99" s="76">
        <v>95.0</v>
      </c>
      <c r="B99" s="79" t="s">
        <v>1987</v>
      </c>
      <c r="C99" s="119" t="s">
        <v>1988</v>
      </c>
      <c r="D99" s="85"/>
      <c r="E99" s="382" t="s">
        <v>327</v>
      </c>
      <c r="F99" s="383" t="s">
        <v>838</v>
      </c>
      <c r="G99" s="119">
        <v>20.0</v>
      </c>
      <c r="H99" s="85" t="s">
        <v>839</v>
      </c>
      <c r="I99" s="119"/>
      <c r="J99" s="119" t="s">
        <v>1989</v>
      </c>
      <c r="K99" s="119" t="s">
        <v>1604</v>
      </c>
      <c r="L99" s="394"/>
      <c r="M99" s="120"/>
      <c r="N99" s="79"/>
      <c r="O99" s="79"/>
      <c r="P99" s="79" t="s">
        <v>606</v>
      </c>
      <c r="Q99" s="79"/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  <c r="AC99" s="362"/>
    </row>
    <row r="100" ht="15.75" customHeight="1">
      <c r="A100" s="76">
        <v>96.0</v>
      </c>
      <c r="B100" s="79" t="s">
        <v>931</v>
      </c>
      <c r="C100" s="119" t="s">
        <v>930</v>
      </c>
      <c r="D100" s="85" t="s">
        <v>932</v>
      </c>
      <c r="E100" s="382" t="s">
        <v>327</v>
      </c>
      <c r="F100" s="383" t="s">
        <v>925</v>
      </c>
      <c r="G100" s="119">
        <v>20.0</v>
      </c>
      <c r="H100" s="85" t="s">
        <v>933</v>
      </c>
      <c r="I100" s="119"/>
      <c r="J100" s="119" t="s">
        <v>935</v>
      </c>
      <c r="K100" s="119" t="s">
        <v>934</v>
      </c>
      <c r="L100" s="394">
        <v>90.0</v>
      </c>
      <c r="M100" s="120">
        <v>46180.0</v>
      </c>
      <c r="N100" s="79"/>
      <c r="O100" s="79"/>
      <c r="P100" s="79" t="s">
        <v>842</v>
      </c>
      <c r="Q100" s="79"/>
      <c r="R100" s="362"/>
      <c r="S100" s="362"/>
      <c r="T100" s="362"/>
      <c r="U100" s="362"/>
      <c r="V100" s="362"/>
      <c r="W100" s="362"/>
      <c r="X100" s="362"/>
      <c r="Y100" s="362"/>
      <c r="Z100" s="362"/>
      <c r="AA100" s="362"/>
      <c r="AB100" s="362"/>
      <c r="AC100" s="362"/>
    </row>
    <row r="101" ht="15.75" customHeight="1">
      <c r="A101" s="82">
        <v>97.0</v>
      </c>
      <c r="B101" s="83" t="s">
        <v>938</v>
      </c>
      <c r="C101" s="73" t="s">
        <v>937</v>
      </c>
      <c r="D101" s="378" t="s">
        <v>939</v>
      </c>
      <c r="E101" s="381" t="s">
        <v>327</v>
      </c>
      <c r="F101" s="395" t="s">
        <v>940</v>
      </c>
      <c r="G101" s="73">
        <v>20.0</v>
      </c>
      <c r="H101" s="378" t="s">
        <v>941</v>
      </c>
      <c r="I101" s="73"/>
      <c r="J101" s="73" t="s">
        <v>943</v>
      </c>
      <c r="K101" s="73" t="s">
        <v>942</v>
      </c>
      <c r="L101" s="393">
        <v>50.0</v>
      </c>
      <c r="M101" s="124">
        <v>46180.0</v>
      </c>
      <c r="N101" s="83"/>
      <c r="O101" s="83"/>
      <c r="P101" s="83"/>
      <c r="Q101" s="83"/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  <c r="AC101" s="362"/>
    </row>
    <row r="102" ht="15.75" customHeight="1">
      <c r="A102" s="76">
        <v>98.0</v>
      </c>
      <c r="B102" s="79" t="s">
        <v>946</v>
      </c>
      <c r="C102" s="119" t="s">
        <v>945</v>
      </c>
      <c r="D102" s="85" t="s">
        <v>947</v>
      </c>
      <c r="E102" s="382" t="s">
        <v>211</v>
      </c>
      <c r="F102" s="383" t="s">
        <v>948</v>
      </c>
      <c r="G102" s="119">
        <v>20.0</v>
      </c>
      <c r="H102" s="85" t="s">
        <v>949</v>
      </c>
      <c r="I102" s="119"/>
      <c r="J102" s="119" t="s">
        <v>951</v>
      </c>
      <c r="K102" s="119" t="s">
        <v>950</v>
      </c>
      <c r="L102" s="394">
        <v>170.0</v>
      </c>
      <c r="M102" s="120">
        <v>46181.0</v>
      </c>
      <c r="N102" s="79"/>
      <c r="O102" s="79"/>
      <c r="P102" s="79" t="s">
        <v>959</v>
      </c>
      <c r="Q102" s="79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2"/>
      <c r="AC102" s="362"/>
    </row>
    <row r="103" ht="15.75" customHeight="1">
      <c r="A103" s="82">
        <v>99.0</v>
      </c>
      <c r="B103" s="83" t="s">
        <v>954</v>
      </c>
      <c r="C103" s="73" t="s">
        <v>953</v>
      </c>
      <c r="D103" s="378" t="s">
        <v>955</v>
      </c>
      <c r="E103" s="381" t="s">
        <v>327</v>
      </c>
      <c r="F103" s="395" t="s">
        <v>956</v>
      </c>
      <c r="G103" s="73">
        <v>50.0</v>
      </c>
      <c r="H103" s="378" t="s">
        <v>633</v>
      </c>
      <c r="I103" s="73"/>
      <c r="J103" s="73" t="s">
        <v>958</v>
      </c>
      <c r="K103" s="73" t="s">
        <v>957</v>
      </c>
      <c r="L103" s="393">
        <v>50.0</v>
      </c>
      <c r="M103" s="124">
        <v>46181.0</v>
      </c>
      <c r="N103" s="83"/>
      <c r="O103" s="83"/>
      <c r="P103" s="83"/>
      <c r="Q103" s="83"/>
      <c r="R103" s="362"/>
      <c r="S103" s="362"/>
      <c r="T103" s="362"/>
      <c r="U103" s="362"/>
      <c r="V103" s="362"/>
      <c r="W103" s="362"/>
      <c r="X103" s="362"/>
      <c r="Y103" s="362"/>
      <c r="Z103" s="362"/>
      <c r="AA103" s="362"/>
      <c r="AB103" s="362"/>
      <c r="AC103" s="362"/>
    </row>
    <row r="104" ht="15.75" customHeight="1">
      <c r="A104" s="76">
        <v>100.0</v>
      </c>
      <c r="B104" s="79" t="s">
        <v>961</v>
      </c>
      <c r="C104" s="119" t="s">
        <v>960</v>
      </c>
      <c r="D104" s="85" t="s">
        <v>962</v>
      </c>
      <c r="E104" s="382" t="s">
        <v>327</v>
      </c>
      <c r="F104" s="383" t="s">
        <v>963</v>
      </c>
      <c r="G104" s="119">
        <v>75.0</v>
      </c>
      <c r="H104" s="85" t="s">
        <v>964</v>
      </c>
      <c r="I104" s="119"/>
      <c r="J104" s="119" t="s">
        <v>966</v>
      </c>
      <c r="K104" s="119" t="s">
        <v>965</v>
      </c>
      <c r="L104" s="394">
        <v>50.0</v>
      </c>
      <c r="M104" s="120">
        <v>46183.0</v>
      </c>
      <c r="N104" s="79"/>
      <c r="O104" s="79"/>
      <c r="P104" s="79"/>
      <c r="Q104" s="79"/>
      <c r="R104" s="362"/>
      <c r="S104" s="362"/>
      <c r="T104" s="362"/>
      <c r="U104" s="362"/>
      <c r="V104" s="362"/>
      <c r="W104" s="362"/>
      <c r="X104" s="362"/>
      <c r="Y104" s="362"/>
      <c r="Z104" s="362"/>
      <c r="AA104" s="362"/>
      <c r="AB104" s="362"/>
      <c r="AC104" s="362"/>
    </row>
    <row r="105" ht="15.75" customHeight="1">
      <c r="A105" s="73">
        <v>101.0</v>
      </c>
      <c r="B105" s="83" t="s">
        <v>1990</v>
      </c>
      <c r="C105" s="80" t="s">
        <v>968</v>
      </c>
      <c r="D105" s="378" t="s">
        <v>970</v>
      </c>
      <c r="E105" s="381" t="s">
        <v>327</v>
      </c>
      <c r="F105" s="395" t="s">
        <v>971</v>
      </c>
      <c r="G105" s="73">
        <v>20.0</v>
      </c>
      <c r="H105" s="378" t="s">
        <v>972</v>
      </c>
      <c r="I105" s="73"/>
      <c r="J105" s="73" t="s">
        <v>974</v>
      </c>
      <c r="K105" s="73" t="s">
        <v>973</v>
      </c>
      <c r="L105" s="393">
        <v>50.0</v>
      </c>
      <c r="M105" s="124">
        <v>46186.0</v>
      </c>
      <c r="N105" s="83"/>
      <c r="O105" s="83"/>
      <c r="P105" s="83"/>
      <c r="Q105" s="83"/>
      <c r="R105" s="362"/>
      <c r="S105" s="362"/>
      <c r="T105" s="362"/>
      <c r="U105" s="362"/>
      <c r="V105" s="362"/>
      <c r="W105" s="362"/>
      <c r="X105" s="362"/>
      <c r="Y105" s="362"/>
      <c r="Z105" s="362"/>
      <c r="AA105" s="362"/>
      <c r="AB105" s="362"/>
      <c r="AC105" s="362"/>
    </row>
    <row r="106" ht="15.75" customHeight="1">
      <c r="A106" s="119">
        <v>102.0</v>
      </c>
      <c r="B106" s="79" t="s">
        <v>977</v>
      </c>
      <c r="C106" s="74" t="s">
        <v>976</v>
      </c>
      <c r="D106" s="85" t="s">
        <v>978</v>
      </c>
      <c r="E106" s="382" t="s">
        <v>327</v>
      </c>
      <c r="F106" s="383" t="s">
        <v>979</v>
      </c>
      <c r="G106" s="119">
        <v>20.0</v>
      </c>
      <c r="H106" s="85" t="s">
        <v>980</v>
      </c>
      <c r="I106" s="119"/>
      <c r="J106" s="119" t="s">
        <v>982</v>
      </c>
      <c r="K106" s="119" t="s">
        <v>981</v>
      </c>
      <c r="L106" s="394">
        <v>100.0</v>
      </c>
      <c r="M106" s="120">
        <v>46187.0</v>
      </c>
      <c r="N106" s="79"/>
      <c r="O106" s="79"/>
      <c r="P106" s="79"/>
      <c r="Q106" s="79"/>
      <c r="R106" s="362"/>
      <c r="S106" s="362"/>
      <c r="T106" s="362"/>
      <c r="U106" s="362"/>
      <c r="V106" s="362"/>
      <c r="W106" s="362"/>
      <c r="X106" s="362"/>
      <c r="Y106" s="362"/>
      <c r="Z106" s="362"/>
      <c r="AA106" s="362"/>
      <c r="AB106" s="362"/>
      <c r="AC106" s="362"/>
    </row>
    <row r="107" ht="15.75" customHeight="1">
      <c r="A107" s="73">
        <v>103.0</v>
      </c>
      <c r="B107" s="83" t="s">
        <v>985</v>
      </c>
      <c r="C107" s="80" t="s">
        <v>984</v>
      </c>
      <c r="D107" s="378"/>
      <c r="E107" s="381" t="s">
        <v>523</v>
      </c>
      <c r="F107" s="395" t="s">
        <v>987</v>
      </c>
      <c r="G107" s="73">
        <v>20.0</v>
      </c>
      <c r="H107" s="378" t="s">
        <v>988</v>
      </c>
      <c r="I107" s="73"/>
      <c r="J107" s="73" t="s">
        <v>990</v>
      </c>
      <c r="K107" s="73" t="s">
        <v>989</v>
      </c>
      <c r="L107" s="393">
        <v>120.0</v>
      </c>
      <c r="M107" s="124">
        <v>46187.0</v>
      </c>
      <c r="N107" s="83"/>
      <c r="O107" s="83"/>
      <c r="P107" s="83" t="s">
        <v>999</v>
      </c>
      <c r="Q107" s="83"/>
      <c r="R107" s="362"/>
      <c r="S107" s="362"/>
      <c r="T107" s="362"/>
      <c r="U107" s="362"/>
      <c r="V107" s="362"/>
      <c r="W107" s="362"/>
      <c r="X107" s="362"/>
      <c r="Y107" s="362"/>
      <c r="Z107" s="362"/>
      <c r="AA107" s="362"/>
      <c r="AB107" s="362"/>
      <c r="AC107" s="362"/>
    </row>
    <row r="108" ht="15.75" customHeight="1">
      <c r="A108" s="119">
        <v>104.0</v>
      </c>
      <c r="B108" s="79" t="s">
        <v>993</v>
      </c>
      <c r="C108" s="74" t="s">
        <v>992</v>
      </c>
      <c r="D108" s="85" t="s">
        <v>994</v>
      </c>
      <c r="E108" s="382" t="s">
        <v>327</v>
      </c>
      <c r="F108" s="383" t="s">
        <v>995</v>
      </c>
      <c r="G108" s="119">
        <v>20.0</v>
      </c>
      <c r="H108" s="85" t="s">
        <v>996</v>
      </c>
      <c r="I108" s="119"/>
      <c r="J108" s="119" t="s">
        <v>998</v>
      </c>
      <c r="K108" s="119" t="s">
        <v>997</v>
      </c>
      <c r="L108" s="394">
        <v>120.0</v>
      </c>
      <c r="M108" s="120">
        <v>46188.0</v>
      </c>
      <c r="N108" s="79"/>
      <c r="O108" s="79"/>
      <c r="P108" s="79" t="s">
        <v>1007</v>
      </c>
      <c r="Q108" s="79"/>
      <c r="R108" s="362"/>
      <c r="S108" s="362"/>
      <c r="T108" s="362"/>
      <c r="U108" s="362"/>
      <c r="V108" s="362"/>
      <c r="W108" s="362"/>
      <c r="X108" s="362"/>
      <c r="Y108" s="362"/>
      <c r="Z108" s="362"/>
      <c r="AA108" s="362"/>
      <c r="AB108" s="362"/>
      <c r="AC108" s="362"/>
    </row>
    <row r="109" ht="15.75" customHeight="1">
      <c r="A109" s="73">
        <v>105.0</v>
      </c>
      <c r="B109" s="83" t="s">
        <v>1001</v>
      </c>
      <c r="C109" s="80" t="s">
        <v>1000</v>
      </c>
      <c r="D109" s="378" t="s">
        <v>1002</v>
      </c>
      <c r="E109" s="381" t="s">
        <v>327</v>
      </c>
      <c r="F109" s="395" t="s">
        <v>1003</v>
      </c>
      <c r="G109" s="73">
        <v>20.0</v>
      </c>
      <c r="H109" s="378" t="s">
        <v>1004</v>
      </c>
      <c r="I109" s="73"/>
      <c r="J109" s="73" t="s">
        <v>1006</v>
      </c>
      <c r="K109" s="73" t="s">
        <v>1005</v>
      </c>
      <c r="L109" s="393">
        <v>150.0</v>
      </c>
      <c r="M109" s="124">
        <v>46188.0</v>
      </c>
      <c r="N109" s="83"/>
      <c r="O109" s="83"/>
      <c r="P109" s="83" t="s">
        <v>1015</v>
      </c>
      <c r="Q109" s="83"/>
      <c r="R109" s="362"/>
      <c r="S109" s="362"/>
      <c r="T109" s="362"/>
      <c r="U109" s="362"/>
      <c r="V109" s="362"/>
      <c r="W109" s="362"/>
      <c r="X109" s="362"/>
      <c r="Y109" s="362"/>
      <c r="Z109" s="362"/>
      <c r="AA109" s="362"/>
      <c r="AB109" s="362"/>
      <c r="AC109" s="362"/>
    </row>
    <row r="110" ht="15.75" customHeight="1">
      <c r="A110" s="119">
        <v>106.0</v>
      </c>
      <c r="B110" s="79" t="s">
        <v>1009</v>
      </c>
      <c r="C110" s="74" t="s">
        <v>1008</v>
      </c>
      <c r="D110" s="85" t="s">
        <v>1010</v>
      </c>
      <c r="E110" s="382" t="s">
        <v>327</v>
      </c>
      <c r="F110" s="383" t="s">
        <v>1011</v>
      </c>
      <c r="G110" s="119">
        <v>20.0</v>
      </c>
      <c r="H110" s="85" t="s">
        <v>1012</v>
      </c>
      <c r="I110" s="119"/>
      <c r="J110" s="119" t="s">
        <v>1014</v>
      </c>
      <c r="K110" s="119" t="s">
        <v>1013</v>
      </c>
      <c r="L110" s="394">
        <v>170.0</v>
      </c>
      <c r="M110" s="120">
        <v>46188.0</v>
      </c>
      <c r="N110" s="79"/>
      <c r="O110" s="79"/>
      <c r="P110" s="79" t="s">
        <v>1023</v>
      </c>
      <c r="Q110" s="79"/>
      <c r="R110" s="362"/>
      <c r="S110" s="362"/>
      <c r="T110" s="362"/>
      <c r="U110" s="362"/>
      <c r="V110" s="362"/>
      <c r="W110" s="362"/>
      <c r="X110" s="362"/>
      <c r="Y110" s="362"/>
      <c r="Z110" s="362"/>
      <c r="AA110" s="362"/>
      <c r="AB110" s="362"/>
      <c r="AC110" s="362"/>
    </row>
    <row r="111" ht="15.75" customHeight="1">
      <c r="A111" s="73">
        <v>107.0</v>
      </c>
      <c r="B111" s="83" t="s">
        <v>1017</v>
      </c>
      <c r="C111" s="73" t="s">
        <v>1016</v>
      </c>
      <c r="D111" s="378" t="s">
        <v>1018</v>
      </c>
      <c r="E111" s="381" t="s">
        <v>327</v>
      </c>
      <c r="F111" s="395" t="s">
        <v>1019</v>
      </c>
      <c r="G111" s="73">
        <v>50.0</v>
      </c>
      <c r="H111" s="378" t="s">
        <v>1020</v>
      </c>
      <c r="I111" s="73"/>
      <c r="J111" s="73" t="s">
        <v>1022</v>
      </c>
      <c r="K111" s="73" t="s">
        <v>1021</v>
      </c>
      <c r="L111" s="393">
        <v>100.0</v>
      </c>
      <c r="M111" s="124">
        <v>46188.0</v>
      </c>
      <c r="N111" s="83"/>
      <c r="O111" s="83"/>
      <c r="P111" s="83"/>
      <c r="Q111" s="83"/>
      <c r="R111" s="362"/>
      <c r="S111" s="362"/>
      <c r="T111" s="362"/>
      <c r="U111" s="362"/>
      <c r="V111" s="362"/>
      <c r="W111" s="362"/>
      <c r="X111" s="362"/>
      <c r="Y111" s="362"/>
      <c r="Z111" s="362"/>
      <c r="AA111" s="362"/>
      <c r="AB111" s="362"/>
      <c r="AC111" s="362"/>
    </row>
    <row r="112" ht="15.75" customHeight="1">
      <c r="A112" s="119">
        <v>108.0</v>
      </c>
      <c r="B112" s="79" t="s">
        <v>1991</v>
      </c>
      <c r="C112" s="119" t="s">
        <v>1024</v>
      </c>
      <c r="D112" s="85" t="s">
        <v>1026</v>
      </c>
      <c r="E112" s="382" t="s">
        <v>327</v>
      </c>
      <c r="F112" s="383" t="s">
        <v>1027</v>
      </c>
      <c r="G112" s="119">
        <v>20.0</v>
      </c>
      <c r="H112" s="85" t="s">
        <v>1028</v>
      </c>
      <c r="I112" s="119"/>
      <c r="J112" s="119" t="s">
        <v>1030</v>
      </c>
      <c r="K112" s="119" t="s">
        <v>1029</v>
      </c>
      <c r="L112" s="394">
        <v>60.0</v>
      </c>
      <c r="M112" s="120">
        <v>46188.0</v>
      </c>
      <c r="N112" s="79"/>
      <c r="O112" s="79"/>
      <c r="P112" s="79"/>
      <c r="Q112" s="79"/>
      <c r="R112" s="362"/>
      <c r="S112" s="362"/>
      <c r="T112" s="362"/>
      <c r="U112" s="362"/>
      <c r="V112" s="362"/>
      <c r="W112" s="362"/>
      <c r="X112" s="362"/>
      <c r="Y112" s="362"/>
      <c r="Z112" s="362"/>
      <c r="AA112" s="362"/>
      <c r="AB112" s="362"/>
      <c r="AC112" s="362"/>
    </row>
    <row r="113" ht="15.75" customHeight="1">
      <c r="A113" s="73">
        <v>109.0</v>
      </c>
      <c r="B113" s="83" t="s">
        <v>1033</v>
      </c>
      <c r="C113" s="73" t="s">
        <v>1032</v>
      </c>
      <c r="D113" s="378" t="s">
        <v>1034</v>
      </c>
      <c r="E113" s="381" t="s">
        <v>327</v>
      </c>
      <c r="F113" s="395" t="s">
        <v>1035</v>
      </c>
      <c r="G113" s="73">
        <v>20.0</v>
      </c>
      <c r="H113" s="378" t="s">
        <v>1036</v>
      </c>
      <c r="I113" s="73"/>
      <c r="J113" s="73" t="s">
        <v>1038</v>
      </c>
      <c r="K113" s="73" t="s">
        <v>1037</v>
      </c>
      <c r="L113" s="393">
        <v>50.0</v>
      </c>
      <c r="M113" s="124">
        <v>46189.0</v>
      </c>
      <c r="N113" s="83"/>
      <c r="O113" s="83"/>
      <c r="P113" s="83"/>
      <c r="Q113" s="83"/>
      <c r="R113" s="362"/>
      <c r="S113" s="362"/>
      <c r="T113" s="362"/>
      <c r="U113" s="362"/>
      <c r="V113" s="362"/>
      <c r="W113" s="362"/>
      <c r="X113" s="362"/>
      <c r="Y113" s="362"/>
      <c r="Z113" s="362"/>
      <c r="AA113" s="362"/>
      <c r="AB113" s="362"/>
      <c r="AC113" s="362"/>
    </row>
    <row r="114" ht="15.75" customHeight="1">
      <c r="A114" s="119">
        <v>110.0</v>
      </c>
      <c r="B114" s="79" t="s">
        <v>1041</v>
      </c>
      <c r="C114" s="119" t="s">
        <v>1040</v>
      </c>
      <c r="D114" s="85" t="s">
        <v>1042</v>
      </c>
      <c r="E114" s="382" t="s">
        <v>327</v>
      </c>
      <c r="F114" s="383" t="s">
        <v>1043</v>
      </c>
      <c r="G114" s="119">
        <v>20.0</v>
      </c>
      <c r="H114" s="85" t="s">
        <v>1044</v>
      </c>
      <c r="I114" s="119"/>
      <c r="J114" s="119" t="s">
        <v>1046</v>
      </c>
      <c r="K114" s="119" t="s">
        <v>1045</v>
      </c>
      <c r="L114" s="394">
        <v>50.0</v>
      </c>
      <c r="M114" s="120">
        <v>46189.0</v>
      </c>
      <c r="N114" s="79"/>
      <c r="O114" s="79"/>
      <c r="P114" s="79" t="s">
        <v>1992</v>
      </c>
      <c r="Q114" s="79"/>
      <c r="R114" s="362"/>
      <c r="S114" s="362"/>
      <c r="T114" s="362"/>
      <c r="U114" s="362"/>
      <c r="V114" s="362"/>
      <c r="W114" s="362"/>
      <c r="X114" s="362"/>
      <c r="Y114" s="362"/>
      <c r="Z114" s="362"/>
      <c r="AA114" s="362"/>
      <c r="AB114" s="362"/>
      <c r="AC114" s="362"/>
    </row>
    <row r="115" ht="15.75" customHeight="1">
      <c r="A115" s="73">
        <v>111.0</v>
      </c>
      <c r="B115" s="83" t="s">
        <v>234</v>
      </c>
      <c r="C115" s="73" t="s">
        <v>1048</v>
      </c>
      <c r="D115" s="378"/>
      <c r="E115" s="381" t="s">
        <v>327</v>
      </c>
      <c r="F115" s="395" t="s">
        <v>235</v>
      </c>
      <c r="G115" s="73">
        <v>20.0</v>
      </c>
      <c r="H115" s="378" t="s">
        <v>1050</v>
      </c>
      <c r="I115" s="73"/>
      <c r="J115" s="73" t="s">
        <v>1052</v>
      </c>
      <c r="K115" s="73" t="s">
        <v>1051</v>
      </c>
      <c r="L115" s="393">
        <v>80.0</v>
      </c>
      <c r="M115" s="124">
        <v>46189.0</v>
      </c>
      <c r="N115" s="83"/>
      <c r="O115" s="83"/>
      <c r="P115" s="83"/>
      <c r="Q115" s="83"/>
      <c r="R115" s="362"/>
      <c r="S115" s="362"/>
      <c r="T115" s="362"/>
      <c r="U115" s="362"/>
      <c r="V115" s="362"/>
      <c r="W115" s="362"/>
      <c r="X115" s="362"/>
      <c r="Y115" s="362"/>
      <c r="Z115" s="362"/>
      <c r="AA115" s="362"/>
      <c r="AB115" s="362"/>
      <c r="AC115" s="362"/>
    </row>
    <row r="116" ht="15.75" customHeight="1">
      <c r="A116" s="119">
        <v>112.0</v>
      </c>
      <c r="B116" s="79" t="s">
        <v>1054</v>
      </c>
      <c r="C116" s="119" t="s">
        <v>1053</v>
      </c>
      <c r="D116" s="85" t="s">
        <v>1055</v>
      </c>
      <c r="E116" s="382" t="s">
        <v>327</v>
      </c>
      <c r="F116" s="383" t="s">
        <v>1056</v>
      </c>
      <c r="G116" s="119">
        <v>30.0</v>
      </c>
      <c r="H116" s="85" t="s">
        <v>1057</v>
      </c>
      <c r="I116" s="119"/>
      <c r="J116" s="119" t="s">
        <v>1059</v>
      </c>
      <c r="K116" s="119" t="s">
        <v>1058</v>
      </c>
      <c r="L116" s="394">
        <v>100.0</v>
      </c>
      <c r="M116" s="120">
        <v>46189.0</v>
      </c>
      <c r="N116" s="79"/>
      <c r="O116" s="79"/>
      <c r="P116" s="79"/>
      <c r="Q116" s="79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  <c r="AC116" s="362"/>
    </row>
    <row r="117" ht="15.75" customHeight="1">
      <c r="A117" s="73">
        <v>113.0</v>
      </c>
      <c r="B117" s="83" t="s">
        <v>1993</v>
      </c>
      <c r="C117" s="73" t="s">
        <v>1061</v>
      </c>
      <c r="D117" s="375" t="s">
        <v>1063</v>
      </c>
      <c r="E117" s="381" t="s">
        <v>327</v>
      </c>
      <c r="F117" s="395" t="s">
        <v>1064</v>
      </c>
      <c r="G117" s="73">
        <v>20.0</v>
      </c>
      <c r="H117" s="378" t="s">
        <v>1065</v>
      </c>
      <c r="I117" s="73"/>
      <c r="J117" s="73" t="s">
        <v>1067</v>
      </c>
      <c r="K117" s="73" t="s">
        <v>1066</v>
      </c>
      <c r="L117" s="393">
        <v>70.0</v>
      </c>
      <c r="M117" s="124">
        <v>46189.0</v>
      </c>
      <c r="N117" s="83"/>
      <c r="O117" s="83"/>
      <c r="P117" s="83"/>
      <c r="Q117" s="83"/>
      <c r="R117" s="362"/>
      <c r="S117" s="362"/>
      <c r="T117" s="362"/>
      <c r="U117" s="362"/>
      <c r="V117" s="362"/>
      <c r="W117" s="362"/>
      <c r="X117" s="362"/>
      <c r="Y117" s="362"/>
      <c r="Z117" s="362"/>
      <c r="AA117" s="362"/>
      <c r="AB117" s="362"/>
      <c r="AC117" s="362"/>
    </row>
    <row r="118" ht="15.75" customHeight="1">
      <c r="A118" s="119">
        <v>114.0</v>
      </c>
      <c r="B118" s="79" t="s">
        <v>1070</v>
      </c>
      <c r="C118" s="119" t="s">
        <v>1069</v>
      </c>
      <c r="D118" s="396" t="s">
        <v>1071</v>
      </c>
      <c r="E118" s="382" t="s">
        <v>327</v>
      </c>
      <c r="F118" s="383" t="s">
        <v>1072</v>
      </c>
      <c r="G118" s="119">
        <v>20.0</v>
      </c>
      <c r="H118" s="85" t="s">
        <v>1073</v>
      </c>
      <c r="I118" s="119"/>
      <c r="J118" s="119" t="s">
        <v>1075</v>
      </c>
      <c r="K118" s="119" t="s">
        <v>1074</v>
      </c>
      <c r="L118" s="394">
        <v>50.0</v>
      </c>
      <c r="M118" s="120">
        <v>46189.0</v>
      </c>
      <c r="N118" s="79"/>
      <c r="O118" s="79"/>
      <c r="P118" s="79"/>
      <c r="Q118" s="79"/>
      <c r="R118" s="362"/>
      <c r="S118" s="362"/>
      <c r="T118" s="362"/>
      <c r="U118" s="362"/>
      <c r="V118" s="362"/>
      <c r="W118" s="362"/>
      <c r="X118" s="362"/>
      <c r="Y118" s="362"/>
      <c r="Z118" s="362"/>
      <c r="AA118" s="362"/>
      <c r="AB118" s="362"/>
      <c r="AC118" s="362"/>
    </row>
    <row r="119" ht="15.75" customHeight="1">
      <c r="A119" s="73">
        <v>115.0</v>
      </c>
      <c r="B119" s="83" t="s">
        <v>1077</v>
      </c>
      <c r="C119" s="73" t="s">
        <v>1076</v>
      </c>
      <c r="D119" s="397" t="s">
        <v>1078</v>
      </c>
      <c r="E119" s="381" t="s">
        <v>327</v>
      </c>
      <c r="F119" s="395" t="s">
        <v>1079</v>
      </c>
      <c r="G119" s="73">
        <v>20.0</v>
      </c>
      <c r="H119" s="378" t="s">
        <v>1080</v>
      </c>
      <c r="I119" s="73"/>
      <c r="J119" s="73" t="s">
        <v>1082</v>
      </c>
      <c r="K119" s="73" t="s">
        <v>1081</v>
      </c>
      <c r="L119" s="393">
        <v>50.0</v>
      </c>
      <c r="M119" s="124">
        <v>46189.0</v>
      </c>
      <c r="N119" s="83"/>
      <c r="O119" s="83"/>
      <c r="P119" s="83"/>
      <c r="Q119" s="83"/>
      <c r="R119" s="362"/>
      <c r="S119" s="362"/>
      <c r="T119" s="362"/>
      <c r="U119" s="362"/>
      <c r="V119" s="362"/>
      <c r="W119" s="362"/>
      <c r="X119" s="362"/>
      <c r="Y119" s="362"/>
      <c r="Z119" s="362"/>
      <c r="AA119" s="362"/>
      <c r="AB119" s="362"/>
      <c r="AC119" s="362"/>
    </row>
    <row r="120" ht="15.75" customHeight="1">
      <c r="A120" s="119">
        <v>116.0</v>
      </c>
      <c r="B120" s="79" t="s">
        <v>1085</v>
      </c>
      <c r="C120" s="119" t="s">
        <v>1084</v>
      </c>
      <c r="D120" s="85"/>
      <c r="E120" s="382" t="s">
        <v>327</v>
      </c>
      <c r="F120" s="383" t="s">
        <v>1087</v>
      </c>
      <c r="G120" s="119">
        <v>20.0</v>
      </c>
      <c r="H120" s="85" t="s">
        <v>1088</v>
      </c>
      <c r="I120" s="119"/>
      <c r="J120" s="119" t="s">
        <v>1090</v>
      </c>
      <c r="K120" s="119" t="s">
        <v>1089</v>
      </c>
      <c r="L120" s="394">
        <v>50.0</v>
      </c>
      <c r="M120" s="120">
        <v>46190.0</v>
      </c>
      <c r="N120" s="79"/>
      <c r="O120" s="79"/>
      <c r="P120" s="79"/>
      <c r="Q120" s="79"/>
      <c r="R120" s="362"/>
      <c r="S120" s="362"/>
      <c r="T120" s="362"/>
      <c r="U120" s="362"/>
      <c r="V120" s="362"/>
      <c r="W120" s="362"/>
      <c r="X120" s="362"/>
      <c r="Y120" s="362"/>
      <c r="Z120" s="362"/>
      <c r="AA120" s="362"/>
      <c r="AB120" s="362"/>
      <c r="AC120" s="362"/>
    </row>
    <row r="121" ht="15.75" customHeight="1">
      <c r="A121" s="73">
        <v>117.0</v>
      </c>
      <c r="B121" s="83" t="s">
        <v>1093</v>
      </c>
      <c r="C121" s="73" t="s">
        <v>1092</v>
      </c>
      <c r="D121" s="375" t="s">
        <v>1094</v>
      </c>
      <c r="E121" s="381" t="s">
        <v>327</v>
      </c>
      <c r="F121" s="395" t="s">
        <v>1095</v>
      </c>
      <c r="G121" s="73">
        <v>20.0</v>
      </c>
      <c r="H121" s="378" t="s">
        <v>1096</v>
      </c>
      <c r="I121" s="73"/>
      <c r="J121" s="73" t="s">
        <v>1098</v>
      </c>
      <c r="K121" s="73" t="s">
        <v>1097</v>
      </c>
      <c r="L121" s="393">
        <v>50.0</v>
      </c>
      <c r="M121" s="124">
        <v>46190.0</v>
      </c>
      <c r="N121" s="83"/>
      <c r="O121" s="83"/>
      <c r="P121" s="83"/>
      <c r="Q121" s="83"/>
      <c r="R121" s="362"/>
      <c r="S121" s="362"/>
      <c r="T121" s="362"/>
      <c r="U121" s="362"/>
      <c r="V121" s="362"/>
      <c r="W121" s="362"/>
      <c r="X121" s="362"/>
      <c r="Y121" s="362"/>
      <c r="Z121" s="362"/>
      <c r="AA121" s="362"/>
      <c r="AB121" s="362"/>
      <c r="AC121" s="362"/>
    </row>
    <row r="122" ht="15.75" customHeight="1">
      <c r="A122" s="119">
        <v>118.0</v>
      </c>
      <c r="B122" s="79" t="s">
        <v>1101</v>
      </c>
      <c r="C122" s="119" t="s">
        <v>1100</v>
      </c>
      <c r="D122" s="396" t="s">
        <v>1102</v>
      </c>
      <c r="E122" s="382" t="s">
        <v>523</v>
      </c>
      <c r="F122" s="383" t="s">
        <v>1103</v>
      </c>
      <c r="G122" s="119">
        <v>20.0</v>
      </c>
      <c r="H122" s="85" t="s">
        <v>1105</v>
      </c>
      <c r="I122" s="119"/>
      <c r="J122" s="119" t="s">
        <v>1107</v>
      </c>
      <c r="K122" s="119" t="s">
        <v>1106</v>
      </c>
      <c r="L122" s="394">
        <v>150.0</v>
      </c>
      <c r="M122" s="120">
        <v>46190.0</v>
      </c>
      <c r="N122" s="79"/>
      <c r="O122" s="79"/>
      <c r="P122" s="79"/>
      <c r="Q122" s="79"/>
      <c r="R122" s="362"/>
      <c r="S122" s="362"/>
      <c r="T122" s="362"/>
      <c r="U122" s="362"/>
      <c r="V122" s="362"/>
      <c r="W122" s="362"/>
      <c r="X122" s="362"/>
      <c r="Y122" s="362"/>
      <c r="Z122" s="362"/>
      <c r="AA122" s="362"/>
      <c r="AB122" s="362"/>
      <c r="AC122" s="362"/>
    </row>
    <row r="123" ht="15.75" customHeight="1">
      <c r="A123" s="73">
        <v>119.0</v>
      </c>
      <c r="B123" s="83" t="s">
        <v>1110</v>
      </c>
      <c r="C123" s="73" t="s">
        <v>1109</v>
      </c>
      <c r="D123" s="378"/>
      <c r="E123" s="381" t="s">
        <v>327</v>
      </c>
      <c r="F123" s="395" t="s">
        <v>1112</v>
      </c>
      <c r="G123" s="73">
        <v>20.0</v>
      </c>
      <c r="H123" s="378" t="s">
        <v>1113</v>
      </c>
      <c r="I123" s="73"/>
      <c r="J123" s="73" t="s">
        <v>1115</v>
      </c>
      <c r="K123" s="73" t="s">
        <v>1114</v>
      </c>
      <c r="L123" s="393">
        <v>50.0</v>
      </c>
      <c r="M123" s="124">
        <v>46190.0</v>
      </c>
      <c r="N123" s="83"/>
      <c r="O123" s="83"/>
      <c r="P123" s="83"/>
      <c r="Q123" s="83"/>
      <c r="R123" s="362"/>
      <c r="S123" s="362"/>
      <c r="T123" s="362"/>
      <c r="U123" s="362"/>
      <c r="V123" s="362"/>
      <c r="W123" s="362"/>
      <c r="X123" s="362"/>
      <c r="Y123" s="362"/>
      <c r="Z123" s="362"/>
      <c r="AA123" s="362"/>
      <c r="AB123" s="362"/>
      <c r="AC123" s="362"/>
    </row>
    <row r="124" ht="15.75" customHeight="1">
      <c r="A124" s="119">
        <v>120.0</v>
      </c>
      <c r="B124" s="79" t="s">
        <v>1118</v>
      </c>
      <c r="C124" s="119" t="s">
        <v>1117</v>
      </c>
      <c r="D124" s="396" t="s">
        <v>1119</v>
      </c>
      <c r="E124" s="382" t="s">
        <v>327</v>
      </c>
      <c r="F124" s="383" t="s">
        <v>1120</v>
      </c>
      <c r="G124" s="119">
        <v>50.0</v>
      </c>
      <c r="H124" s="85" t="s">
        <v>1121</v>
      </c>
      <c r="I124" s="119"/>
      <c r="J124" s="119" t="s">
        <v>1123</v>
      </c>
      <c r="K124" s="119" t="s">
        <v>1122</v>
      </c>
      <c r="L124" s="394">
        <v>130.0</v>
      </c>
      <c r="M124" s="120">
        <v>46191.0</v>
      </c>
      <c r="N124" s="79"/>
      <c r="O124" s="79"/>
      <c r="P124" s="79" t="s">
        <v>1132</v>
      </c>
      <c r="Q124" s="79"/>
      <c r="R124" s="362"/>
      <c r="S124" s="362"/>
      <c r="T124" s="362"/>
      <c r="U124" s="362"/>
      <c r="V124" s="362"/>
      <c r="W124" s="362"/>
      <c r="X124" s="362"/>
      <c r="Y124" s="362"/>
      <c r="Z124" s="362"/>
      <c r="AA124" s="362"/>
      <c r="AB124" s="362"/>
      <c r="AC124" s="362"/>
    </row>
    <row r="125" ht="15.75" customHeight="1">
      <c r="A125" s="73">
        <v>121.0</v>
      </c>
      <c r="B125" s="83" t="s">
        <v>1994</v>
      </c>
      <c r="C125" s="73" t="s">
        <v>1125</v>
      </c>
      <c r="D125" s="375" t="s">
        <v>1127</v>
      </c>
      <c r="E125" s="381" t="s">
        <v>327</v>
      </c>
      <c r="F125" s="395" t="s">
        <v>1128</v>
      </c>
      <c r="G125" s="73">
        <v>20.0</v>
      </c>
      <c r="H125" s="378" t="s">
        <v>1129</v>
      </c>
      <c r="I125" s="73"/>
      <c r="J125" s="73" t="s">
        <v>1131</v>
      </c>
      <c r="K125" s="73" t="s">
        <v>1130</v>
      </c>
      <c r="L125" s="393">
        <v>30.0</v>
      </c>
      <c r="M125" s="124">
        <v>46191.0</v>
      </c>
      <c r="N125" s="83"/>
      <c r="O125" s="83"/>
      <c r="P125" s="83" t="s">
        <v>1140</v>
      </c>
      <c r="Q125" s="83"/>
      <c r="R125" s="362"/>
      <c r="S125" s="362"/>
      <c r="T125" s="362"/>
      <c r="U125" s="362"/>
      <c r="V125" s="362"/>
      <c r="W125" s="362"/>
      <c r="X125" s="362"/>
      <c r="Y125" s="362"/>
      <c r="Z125" s="362"/>
      <c r="AA125" s="362"/>
      <c r="AB125" s="362"/>
      <c r="AC125" s="362"/>
    </row>
    <row r="126" ht="15.75" customHeight="1">
      <c r="A126" s="119">
        <v>122.0</v>
      </c>
      <c r="B126" s="79" t="s">
        <v>1134</v>
      </c>
      <c r="C126" s="119" t="s">
        <v>1133</v>
      </c>
      <c r="D126" s="396" t="s">
        <v>1135</v>
      </c>
      <c r="E126" s="382" t="s">
        <v>327</v>
      </c>
      <c r="F126" s="383" t="s">
        <v>1136</v>
      </c>
      <c r="G126" s="119">
        <v>20.0</v>
      </c>
      <c r="H126" s="85" t="s">
        <v>1137</v>
      </c>
      <c r="I126" s="119"/>
      <c r="J126" s="119" t="s">
        <v>1139</v>
      </c>
      <c r="K126" s="119" t="s">
        <v>1138</v>
      </c>
      <c r="L126" s="394">
        <v>120.0</v>
      </c>
      <c r="M126" s="120">
        <v>46191.0</v>
      </c>
      <c r="N126" s="79"/>
      <c r="O126" s="79"/>
      <c r="P126" s="79" t="s">
        <v>1148</v>
      </c>
      <c r="Q126" s="79"/>
      <c r="R126" s="362"/>
      <c r="S126" s="362"/>
      <c r="T126" s="362"/>
      <c r="U126" s="362"/>
      <c r="V126" s="362"/>
      <c r="W126" s="362"/>
      <c r="X126" s="362"/>
      <c r="Y126" s="362"/>
      <c r="Z126" s="362"/>
      <c r="AA126" s="362"/>
      <c r="AB126" s="362"/>
      <c r="AC126" s="362"/>
    </row>
    <row r="127" ht="15.75" customHeight="1">
      <c r="A127" s="73">
        <v>123.0</v>
      </c>
      <c r="B127" s="83" t="s">
        <v>1142</v>
      </c>
      <c r="C127" s="73" t="s">
        <v>1141</v>
      </c>
      <c r="D127" s="375" t="s">
        <v>1143</v>
      </c>
      <c r="E127" s="381" t="s">
        <v>327</v>
      </c>
      <c r="F127" s="395" t="s">
        <v>1144</v>
      </c>
      <c r="G127" s="73">
        <v>20.0</v>
      </c>
      <c r="H127" s="378" t="s">
        <v>1145</v>
      </c>
      <c r="I127" s="73"/>
      <c r="J127" s="73" t="s">
        <v>1147</v>
      </c>
      <c r="K127" s="73" t="s">
        <v>1146</v>
      </c>
      <c r="L127" s="393">
        <v>60.0</v>
      </c>
      <c r="M127" s="124">
        <v>46191.0</v>
      </c>
      <c r="N127" s="83"/>
      <c r="O127" s="83"/>
      <c r="P127" s="83"/>
      <c r="Q127" s="83"/>
      <c r="R127" s="362"/>
      <c r="S127" s="362"/>
      <c r="T127" s="362"/>
      <c r="U127" s="362"/>
      <c r="V127" s="362"/>
      <c r="W127" s="362"/>
      <c r="X127" s="362"/>
      <c r="Y127" s="362"/>
      <c r="Z127" s="362"/>
      <c r="AA127" s="362"/>
      <c r="AB127" s="362"/>
      <c r="AC127" s="362"/>
    </row>
    <row r="128" ht="15.75" customHeight="1">
      <c r="A128" s="119">
        <v>124.0</v>
      </c>
      <c r="B128" s="79" t="s">
        <v>1150</v>
      </c>
      <c r="C128" s="119" t="s">
        <v>1149</v>
      </c>
      <c r="D128" s="396" t="s">
        <v>1151</v>
      </c>
      <c r="E128" s="382" t="s">
        <v>327</v>
      </c>
      <c r="F128" s="383" t="s">
        <v>1152</v>
      </c>
      <c r="G128" s="119">
        <v>20.0</v>
      </c>
      <c r="H128" s="85" t="s">
        <v>1153</v>
      </c>
      <c r="I128" s="119"/>
      <c r="J128" s="119" t="s">
        <v>764</v>
      </c>
      <c r="K128" s="119" t="s">
        <v>1154</v>
      </c>
      <c r="L128" s="394">
        <v>90.0</v>
      </c>
      <c r="M128" s="120">
        <v>46191.0</v>
      </c>
      <c r="N128" s="79"/>
      <c r="O128" s="79"/>
      <c r="P128" s="79"/>
      <c r="Q128" s="79"/>
      <c r="R128" s="362"/>
      <c r="S128" s="362"/>
      <c r="T128" s="362"/>
      <c r="U128" s="362"/>
      <c r="V128" s="362"/>
      <c r="W128" s="362"/>
      <c r="X128" s="362"/>
      <c r="Y128" s="362"/>
      <c r="Z128" s="362"/>
      <c r="AA128" s="362"/>
      <c r="AB128" s="362"/>
      <c r="AC128" s="362"/>
    </row>
    <row r="129" ht="15.75" customHeight="1">
      <c r="A129" s="73">
        <v>125.0</v>
      </c>
      <c r="B129" s="83" t="s">
        <v>1157</v>
      </c>
      <c r="C129" s="73" t="s">
        <v>1156</v>
      </c>
      <c r="D129" s="375" t="s">
        <v>1158</v>
      </c>
      <c r="E129" s="381" t="s">
        <v>327</v>
      </c>
      <c r="F129" s="395" t="s">
        <v>1159</v>
      </c>
      <c r="G129" s="73">
        <v>20.0</v>
      </c>
      <c r="H129" s="378" t="s">
        <v>1160</v>
      </c>
      <c r="I129" s="73"/>
      <c r="J129" s="73"/>
      <c r="K129" s="73" t="s">
        <v>1161</v>
      </c>
      <c r="L129" s="393">
        <v>100.0</v>
      </c>
      <c r="M129" s="124">
        <v>46192.0</v>
      </c>
      <c r="N129" s="83"/>
      <c r="O129" s="83"/>
      <c r="P129" s="83" t="s">
        <v>1172</v>
      </c>
      <c r="Q129" s="83"/>
      <c r="R129" s="362"/>
      <c r="S129" s="362"/>
      <c r="T129" s="362"/>
      <c r="U129" s="362"/>
      <c r="V129" s="362"/>
      <c r="W129" s="362"/>
      <c r="X129" s="362"/>
      <c r="Y129" s="362"/>
      <c r="Z129" s="362"/>
      <c r="AA129" s="362"/>
      <c r="AB129" s="362"/>
      <c r="AC129" s="362"/>
    </row>
    <row r="130" ht="15.75" customHeight="1">
      <c r="A130" s="119">
        <v>126.0</v>
      </c>
      <c r="B130" s="79" t="s">
        <v>1165</v>
      </c>
      <c r="C130" s="119" t="s">
        <v>1164</v>
      </c>
      <c r="D130" s="396" t="s">
        <v>1166</v>
      </c>
      <c r="E130" s="382" t="s">
        <v>327</v>
      </c>
      <c r="F130" s="383" t="s">
        <v>1167</v>
      </c>
      <c r="G130" s="119">
        <v>20.0</v>
      </c>
      <c r="H130" s="85" t="s">
        <v>1168</v>
      </c>
      <c r="I130" s="119"/>
      <c r="J130" s="119" t="s">
        <v>1170</v>
      </c>
      <c r="K130" s="119" t="s">
        <v>1169</v>
      </c>
      <c r="L130" s="394">
        <v>160.0</v>
      </c>
      <c r="M130" s="398">
        <v>46192.0</v>
      </c>
      <c r="N130" s="79"/>
      <c r="O130" s="79"/>
      <c r="P130" s="79"/>
      <c r="Q130" s="79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</row>
    <row r="131" ht="15.75" customHeight="1">
      <c r="A131" s="73">
        <v>127.0</v>
      </c>
      <c r="B131" s="83" t="s">
        <v>1174</v>
      </c>
      <c r="C131" s="73" t="s">
        <v>1173</v>
      </c>
      <c r="D131" s="378"/>
      <c r="E131" s="381" t="s">
        <v>327</v>
      </c>
      <c r="F131" s="395" t="s">
        <v>1176</v>
      </c>
      <c r="G131" s="73">
        <v>30.0</v>
      </c>
      <c r="H131" s="378" t="s">
        <v>1177</v>
      </c>
      <c r="I131" s="73"/>
      <c r="J131" s="73" t="s">
        <v>1179</v>
      </c>
      <c r="K131" s="73" t="s">
        <v>1995</v>
      </c>
      <c r="L131" s="393">
        <v>50.0</v>
      </c>
      <c r="M131" s="124">
        <v>46192.0</v>
      </c>
      <c r="N131" s="83"/>
      <c r="O131" s="83"/>
      <c r="P131" s="83"/>
      <c r="Q131" s="83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</row>
    <row r="132" ht="15.75" customHeight="1">
      <c r="A132" s="119">
        <v>128.0</v>
      </c>
      <c r="B132" s="79" t="s">
        <v>1182</v>
      </c>
      <c r="C132" s="119" t="s">
        <v>1181</v>
      </c>
      <c r="D132" s="396" t="s">
        <v>1183</v>
      </c>
      <c r="E132" s="382" t="s">
        <v>327</v>
      </c>
      <c r="F132" s="383" t="s">
        <v>1184</v>
      </c>
      <c r="G132" s="119">
        <v>20.0</v>
      </c>
      <c r="H132" s="85" t="s">
        <v>1185</v>
      </c>
      <c r="I132" s="119"/>
      <c r="J132" s="119" t="s">
        <v>1187</v>
      </c>
      <c r="K132" s="119" t="s">
        <v>1186</v>
      </c>
      <c r="L132" s="394">
        <v>50.0</v>
      </c>
      <c r="M132" s="120">
        <v>46192.0</v>
      </c>
      <c r="N132" s="79"/>
      <c r="O132" s="79"/>
      <c r="P132" s="79"/>
      <c r="Q132" s="79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</row>
    <row r="133" ht="15.75" customHeight="1">
      <c r="A133" s="73">
        <v>129.0</v>
      </c>
      <c r="B133" s="83" t="s">
        <v>1190</v>
      </c>
      <c r="C133" s="73" t="s">
        <v>1189</v>
      </c>
      <c r="D133" s="375" t="s">
        <v>1191</v>
      </c>
      <c r="E133" s="381" t="s">
        <v>211</v>
      </c>
      <c r="F133" s="395" t="s">
        <v>1192</v>
      </c>
      <c r="G133" s="73">
        <v>20.0</v>
      </c>
      <c r="H133" s="378" t="s">
        <v>1193</v>
      </c>
      <c r="I133" s="73"/>
      <c r="J133" s="73" t="s">
        <v>1195</v>
      </c>
      <c r="K133" s="73" t="s">
        <v>1194</v>
      </c>
      <c r="L133" s="393">
        <v>60.0</v>
      </c>
      <c r="M133" s="124">
        <v>46190.0</v>
      </c>
      <c r="N133" s="83"/>
      <c r="O133" s="83"/>
      <c r="P133" s="83"/>
      <c r="Q133" s="83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</row>
    <row r="134" ht="15.75" customHeight="1">
      <c r="A134" s="119">
        <v>130.0</v>
      </c>
      <c r="B134" s="79" t="s">
        <v>1198</v>
      </c>
      <c r="C134" s="119" t="s">
        <v>1197</v>
      </c>
      <c r="D134" s="85"/>
      <c r="E134" s="382" t="s">
        <v>327</v>
      </c>
      <c r="F134" s="383" t="s">
        <v>1199</v>
      </c>
      <c r="G134" s="119">
        <v>20.0</v>
      </c>
      <c r="H134" s="85" t="s">
        <v>1200</v>
      </c>
      <c r="I134" s="119"/>
      <c r="J134" s="119" t="s">
        <v>1202</v>
      </c>
      <c r="K134" s="119" t="s">
        <v>1201</v>
      </c>
      <c r="L134" s="394">
        <v>70.0</v>
      </c>
      <c r="M134" s="120">
        <v>46193.0</v>
      </c>
      <c r="N134" s="79"/>
      <c r="O134" s="79"/>
      <c r="P134" s="79"/>
      <c r="Q134" s="79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</row>
    <row r="135" ht="15.75" customHeight="1">
      <c r="A135" s="73">
        <v>131.0</v>
      </c>
      <c r="B135" s="83" t="s">
        <v>1205</v>
      </c>
      <c r="C135" s="73" t="s">
        <v>1204</v>
      </c>
      <c r="D135" s="375" t="s">
        <v>1206</v>
      </c>
      <c r="E135" s="381" t="s">
        <v>1208</v>
      </c>
      <c r="F135" s="395" t="s">
        <v>1207</v>
      </c>
      <c r="G135" s="73">
        <v>30.0</v>
      </c>
      <c r="H135" s="378" t="s">
        <v>1209</v>
      </c>
      <c r="I135" s="73"/>
      <c r="J135" s="73" t="s">
        <v>1211</v>
      </c>
      <c r="K135" s="73" t="s">
        <v>1210</v>
      </c>
      <c r="L135" s="393">
        <v>40.0</v>
      </c>
      <c r="M135" s="124">
        <v>46194.0</v>
      </c>
      <c r="N135" s="83"/>
      <c r="O135" s="83"/>
      <c r="P135" s="83"/>
      <c r="Q135" s="83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</row>
    <row r="136" ht="15.75" customHeight="1">
      <c r="A136" s="119">
        <v>132.0</v>
      </c>
      <c r="B136" s="79" t="s">
        <v>1996</v>
      </c>
      <c r="C136" s="119" t="s">
        <v>1213</v>
      </c>
      <c r="D136" s="396" t="s">
        <v>1215</v>
      </c>
      <c r="E136" s="382" t="s">
        <v>327</v>
      </c>
      <c r="F136" s="383" t="s">
        <v>1216</v>
      </c>
      <c r="G136" s="119">
        <v>20.0</v>
      </c>
      <c r="H136" s="380" t="s">
        <v>1217</v>
      </c>
      <c r="I136" s="119"/>
      <c r="J136" s="119" t="s">
        <v>1997</v>
      </c>
      <c r="K136" s="119" t="s">
        <v>1218</v>
      </c>
      <c r="L136" s="394">
        <v>50.0</v>
      </c>
      <c r="M136" s="120">
        <v>46194.0</v>
      </c>
      <c r="N136" s="79"/>
      <c r="O136" s="79"/>
      <c r="P136" s="79"/>
      <c r="Q136" s="79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</row>
    <row r="137" ht="15.75" customHeight="1">
      <c r="A137" s="73">
        <v>133.0</v>
      </c>
      <c r="B137" s="83" t="s">
        <v>1222</v>
      </c>
      <c r="C137" s="73" t="s">
        <v>1221</v>
      </c>
      <c r="D137" s="375" t="s">
        <v>1223</v>
      </c>
      <c r="E137" s="381" t="s">
        <v>327</v>
      </c>
      <c r="F137" s="395" t="s">
        <v>1224</v>
      </c>
      <c r="G137" s="73">
        <v>20.0</v>
      </c>
      <c r="H137" s="378" t="s">
        <v>1225</v>
      </c>
      <c r="I137" s="73"/>
      <c r="J137" s="73" t="s">
        <v>1227</v>
      </c>
      <c r="K137" s="73" t="s">
        <v>1226</v>
      </c>
      <c r="L137" s="393">
        <v>30.0</v>
      </c>
      <c r="M137" s="124">
        <v>46195.0</v>
      </c>
      <c r="N137" s="83"/>
      <c r="O137" s="83"/>
      <c r="P137" s="83" t="s">
        <v>1236</v>
      </c>
      <c r="Q137" s="83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</row>
    <row r="138" ht="15.75" customHeight="1">
      <c r="A138" s="119">
        <v>134.0</v>
      </c>
      <c r="B138" s="79" t="s">
        <v>1230</v>
      </c>
      <c r="C138" s="119" t="s">
        <v>1229</v>
      </c>
      <c r="D138" s="396" t="s">
        <v>1231</v>
      </c>
      <c r="E138" s="382" t="s">
        <v>327</v>
      </c>
      <c r="F138" s="383" t="s">
        <v>1232</v>
      </c>
      <c r="G138" s="119">
        <v>20.0</v>
      </c>
      <c r="H138" s="85" t="s">
        <v>1233</v>
      </c>
      <c r="I138" s="119"/>
      <c r="J138" s="119" t="s">
        <v>1235</v>
      </c>
      <c r="K138" s="119" t="s">
        <v>1234</v>
      </c>
      <c r="L138" s="394">
        <v>160.0</v>
      </c>
      <c r="M138" s="120">
        <v>46196.0</v>
      </c>
      <c r="N138" s="79"/>
      <c r="O138" s="79"/>
      <c r="P138" s="79"/>
      <c r="Q138" s="79"/>
      <c r="R138" s="362"/>
      <c r="S138" s="362"/>
      <c r="T138" s="362"/>
      <c r="U138" s="362"/>
      <c r="V138" s="362"/>
      <c r="W138" s="362"/>
      <c r="X138" s="362"/>
      <c r="Y138" s="362"/>
      <c r="Z138" s="362"/>
      <c r="AA138" s="362"/>
      <c r="AB138" s="362"/>
      <c r="AC138" s="362"/>
    </row>
    <row r="139" ht="15.75" customHeight="1">
      <c r="A139" s="73">
        <v>135.0</v>
      </c>
      <c r="B139" s="83" t="s">
        <v>1238</v>
      </c>
      <c r="C139" s="73" t="s">
        <v>1237</v>
      </c>
      <c r="D139" s="375" t="s">
        <v>1239</v>
      </c>
      <c r="E139" s="381" t="s">
        <v>327</v>
      </c>
      <c r="F139" s="395" t="s">
        <v>1240</v>
      </c>
      <c r="G139" s="73">
        <v>20.0</v>
      </c>
      <c r="H139" s="378" t="s">
        <v>1241</v>
      </c>
      <c r="I139" s="73"/>
      <c r="J139" s="80" t="s">
        <v>1243</v>
      </c>
      <c r="K139" s="73" t="s">
        <v>1606</v>
      </c>
      <c r="L139" s="393">
        <v>50.0</v>
      </c>
      <c r="M139" s="124">
        <v>46197.0</v>
      </c>
      <c r="N139" s="83"/>
      <c r="O139" s="83"/>
      <c r="P139" s="83"/>
      <c r="Q139" s="83"/>
      <c r="R139" s="362"/>
      <c r="S139" s="362"/>
      <c r="T139" s="362"/>
      <c r="U139" s="362"/>
      <c r="V139" s="362"/>
      <c r="W139" s="362"/>
      <c r="X139" s="362"/>
      <c r="Y139" s="362"/>
      <c r="Z139" s="362"/>
      <c r="AA139" s="362"/>
      <c r="AB139" s="362"/>
      <c r="AC139" s="362"/>
    </row>
    <row r="140" ht="15.75" customHeight="1">
      <c r="A140" s="119">
        <v>136.0</v>
      </c>
      <c r="B140" s="79" t="s">
        <v>1246</v>
      </c>
      <c r="C140" s="119" t="s">
        <v>1245</v>
      </c>
      <c r="D140" s="85" t="s">
        <v>1247</v>
      </c>
      <c r="E140" s="382" t="s">
        <v>327</v>
      </c>
      <c r="F140" s="383" t="s">
        <v>1248</v>
      </c>
      <c r="G140" s="119">
        <v>20.0</v>
      </c>
      <c r="H140" s="85" t="s">
        <v>1249</v>
      </c>
      <c r="I140" s="119"/>
      <c r="J140" s="119" t="s">
        <v>1251</v>
      </c>
      <c r="K140" s="119" t="s">
        <v>1607</v>
      </c>
      <c r="L140" s="394">
        <v>150.0</v>
      </c>
      <c r="M140" s="120">
        <v>46198.0</v>
      </c>
      <c r="N140" s="79"/>
      <c r="O140" s="79"/>
      <c r="P140" s="79"/>
      <c r="Q140" s="79"/>
      <c r="R140" s="362"/>
      <c r="S140" s="362"/>
      <c r="T140" s="362"/>
      <c r="U140" s="362"/>
      <c r="V140" s="362"/>
      <c r="W140" s="362"/>
      <c r="X140" s="362"/>
      <c r="Y140" s="362"/>
      <c r="Z140" s="362"/>
      <c r="AA140" s="362"/>
      <c r="AB140" s="362"/>
      <c r="AC140" s="362"/>
    </row>
    <row r="141" ht="15.75" customHeight="1">
      <c r="A141" s="73">
        <v>137.0</v>
      </c>
      <c r="B141" s="83" t="s">
        <v>1254</v>
      </c>
      <c r="C141" s="73" t="s">
        <v>1253</v>
      </c>
      <c r="D141" s="378"/>
      <c r="E141" s="381" t="s">
        <v>327</v>
      </c>
      <c r="F141" s="395" t="s">
        <v>1256</v>
      </c>
      <c r="G141" s="73">
        <v>20.0</v>
      </c>
      <c r="H141" s="378" t="s">
        <v>1257</v>
      </c>
      <c r="I141" s="73"/>
      <c r="J141" s="73" t="s">
        <v>1259</v>
      </c>
      <c r="K141" s="73" t="s">
        <v>1608</v>
      </c>
      <c r="L141" s="393">
        <v>120.0</v>
      </c>
      <c r="M141" s="124">
        <v>46198.0</v>
      </c>
      <c r="N141" s="83"/>
      <c r="O141" s="83"/>
      <c r="P141" s="83"/>
      <c r="Q141" s="83"/>
      <c r="R141" s="362"/>
      <c r="S141" s="362"/>
      <c r="T141" s="362"/>
      <c r="U141" s="362"/>
      <c r="V141" s="362"/>
      <c r="W141" s="362"/>
      <c r="X141" s="362"/>
      <c r="Y141" s="362"/>
      <c r="Z141" s="362"/>
      <c r="AA141" s="362"/>
      <c r="AB141" s="362"/>
      <c r="AC141" s="362"/>
    </row>
    <row r="142" ht="15.75" customHeight="1">
      <c r="A142" s="119">
        <v>138.0</v>
      </c>
      <c r="B142" s="79" t="s">
        <v>1261</v>
      </c>
      <c r="C142" s="119" t="s">
        <v>1260</v>
      </c>
      <c r="D142" s="396" t="s">
        <v>1262</v>
      </c>
      <c r="E142" s="382" t="s">
        <v>327</v>
      </c>
      <c r="F142" s="383" t="s">
        <v>1263</v>
      </c>
      <c r="G142" s="119">
        <v>30.0</v>
      </c>
      <c r="H142" s="85" t="s">
        <v>1264</v>
      </c>
      <c r="I142" s="119"/>
      <c r="J142" s="119" t="s">
        <v>1266</v>
      </c>
      <c r="K142" s="119" t="s">
        <v>1609</v>
      </c>
      <c r="L142" s="394">
        <v>50.0</v>
      </c>
      <c r="M142" s="120">
        <v>46199.0</v>
      </c>
      <c r="N142" s="79"/>
      <c r="O142" s="79"/>
      <c r="P142" s="79"/>
      <c r="Q142" s="79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</row>
    <row r="143" ht="15.75" customHeight="1">
      <c r="A143" s="73">
        <v>139.0</v>
      </c>
      <c r="B143" s="83" t="s">
        <v>1268</v>
      </c>
      <c r="C143" s="73" t="s">
        <v>1267</v>
      </c>
      <c r="D143" s="375" t="s">
        <v>1269</v>
      </c>
      <c r="E143" s="80" t="s">
        <v>327</v>
      </c>
      <c r="F143" s="395" t="s">
        <v>1270</v>
      </c>
      <c r="G143" s="73">
        <v>20.0</v>
      </c>
      <c r="H143" s="378" t="s">
        <v>1271</v>
      </c>
      <c r="I143" s="73"/>
      <c r="J143" s="73" t="s">
        <v>1273</v>
      </c>
      <c r="K143" s="73" t="s">
        <v>1610</v>
      </c>
      <c r="L143" s="393">
        <v>80.0</v>
      </c>
      <c r="M143" s="124">
        <v>46202.0</v>
      </c>
      <c r="N143" s="83"/>
      <c r="O143" s="83"/>
      <c r="P143" s="83"/>
      <c r="Q143" s="83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</row>
    <row r="144" ht="15.75" customHeight="1">
      <c r="A144" s="119">
        <v>140.0</v>
      </c>
      <c r="B144" s="79" t="s">
        <v>1276</v>
      </c>
      <c r="C144" s="119" t="s">
        <v>1275</v>
      </c>
      <c r="D144" s="396" t="s">
        <v>1277</v>
      </c>
      <c r="E144" s="382" t="s">
        <v>327</v>
      </c>
      <c r="F144" s="383" t="s">
        <v>1278</v>
      </c>
      <c r="G144" s="119">
        <v>20.0</v>
      </c>
      <c r="H144" s="85" t="s">
        <v>1279</v>
      </c>
      <c r="I144" s="119"/>
      <c r="J144" s="119" t="s">
        <v>1281</v>
      </c>
      <c r="K144" s="119" t="s">
        <v>1611</v>
      </c>
      <c r="L144" s="394">
        <v>150.0</v>
      </c>
      <c r="M144" s="120">
        <v>46202.0</v>
      </c>
      <c r="N144" s="79"/>
      <c r="O144" s="79"/>
      <c r="P144" s="79"/>
      <c r="Q144" s="79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</row>
    <row r="145" ht="15.75" customHeight="1">
      <c r="A145" s="73">
        <v>141.0</v>
      </c>
      <c r="B145" s="83" t="s">
        <v>1284</v>
      </c>
      <c r="C145" s="73" t="s">
        <v>1283</v>
      </c>
      <c r="D145" s="378"/>
      <c r="E145" s="381" t="s">
        <v>327</v>
      </c>
      <c r="F145" s="395" t="s">
        <v>1286</v>
      </c>
      <c r="G145" s="73">
        <v>30.0</v>
      </c>
      <c r="H145" s="378" t="s">
        <v>1287</v>
      </c>
      <c r="I145" s="73"/>
      <c r="J145" s="73" t="s">
        <v>1998</v>
      </c>
      <c r="K145" s="73" t="s">
        <v>1288</v>
      </c>
      <c r="L145" s="393">
        <v>130.0</v>
      </c>
      <c r="M145" s="124">
        <v>46203.0</v>
      </c>
      <c r="N145" s="83"/>
      <c r="O145" s="83"/>
      <c r="P145" s="83"/>
      <c r="Q145" s="83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</row>
    <row r="146" ht="15.75" customHeight="1">
      <c r="A146" s="119">
        <v>142.0</v>
      </c>
      <c r="B146" s="79" t="s">
        <v>1292</v>
      </c>
      <c r="C146" s="119" t="s">
        <v>1291</v>
      </c>
      <c r="D146" s="85"/>
      <c r="E146" s="382" t="s">
        <v>327</v>
      </c>
      <c r="F146" s="383" t="s">
        <v>1293</v>
      </c>
      <c r="G146" s="119">
        <v>30.0</v>
      </c>
      <c r="H146" s="85" t="s">
        <v>1294</v>
      </c>
      <c r="I146" s="119"/>
      <c r="J146" s="119" t="s">
        <v>1296</v>
      </c>
      <c r="K146" s="119" t="s">
        <v>1295</v>
      </c>
      <c r="L146" s="394">
        <v>100.0</v>
      </c>
      <c r="M146" s="120">
        <v>46203.0</v>
      </c>
      <c r="N146" s="79"/>
      <c r="O146" s="79"/>
      <c r="P146" s="79"/>
      <c r="Q146" s="79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</row>
    <row r="147" ht="15.75" customHeight="1">
      <c r="A147" s="73">
        <v>143.0</v>
      </c>
      <c r="B147" s="83" t="s">
        <v>1299</v>
      </c>
      <c r="C147" s="73" t="s">
        <v>1298</v>
      </c>
      <c r="D147" s="375" t="s">
        <v>1300</v>
      </c>
      <c r="E147" s="381" t="s">
        <v>327</v>
      </c>
      <c r="F147" s="395" t="s">
        <v>1301</v>
      </c>
      <c r="G147" s="73">
        <v>20.0</v>
      </c>
      <c r="H147" s="378" t="s">
        <v>1302</v>
      </c>
      <c r="I147" s="73"/>
      <c r="J147" s="73" t="s">
        <v>1304</v>
      </c>
      <c r="K147" s="73" t="s">
        <v>1303</v>
      </c>
      <c r="L147" s="393">
        <v>30.0</v>
      </c>
      <c r="M147" s="124">
        <v>46203.0</v>
      </c>
      <c r="N147" s="83"/>
      <c r="O147" s="83"/>
      <c r="P147" s="83"/>
      <c r="Q147" s="83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</row>
    <row r="148" ht="15.75" customHeight="1">
      <c r="A148" s="119">
        <v>144.0</v>
      </c>
      <c r="B148" s="79" t="s">
        <v>1307</v>
      </c>
      <c r="C148" s="119" t="s">
        <v>1306</v>
      </c>
      <c r="D148" s="396" t="s">
        <v>1308</v>
      </c>
      <c r="E148" s="382" t="s">
        <v>327</v>
      </c>
      <c r="F148" s="383" t="s">
        <v>1309</v>
      </c>
      <c r="G148" s="119">
        <v>20.0</v>
      </c>
      <c r="H148" s="85" t="s">
        <v>1310</v>
      </c>
      <c r="I148" s="119"/>
      <c r="J148" s="119" t="s">
        <v>1312</v>
      </c>
      <c r="K148" s="119" t="s">
        <v>1311</v>
      </c>
      <c r="L148" s="394">
        <v>280.0</v>
      </c>
      <c r="M148" s="120">
        <v>46204.0</v>
      </c>
      <c r="N148" s="79"/>
      <c r="O148" s="79"/>
      <c r="P148" s="79"/>
      <c r="Q148" s="79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</row>
    <row r="149" ht="15.75" customHeight="1">
      <c r="A149" s="73">
        <v>145.0</v>
      </c>
      <c r="B149" s="83" t="s">
        <v>1315</v>
      </c>
      <c r="C149" s="73" t="s">
        <v>1314</v>
      </c>
      <c r="D149" s="375" t="s">
        <v>1316</v>
      </c>
      <c r="E149" s="381" t="s">
        <v>327</v>
      </c>
      <c r="F149" s="395" t="s">
        <v>1317</v>
      </c>
      <c r="G149" s="73">
        <v>20.0</v>
      </c>
      <c r="H149" s="378" t="s">
        <v>1318</v>
      </c>
      <c r="I149" s="73"/>
      <c r="J149" s="73" t="s">
        <v>1320</v>
      </c>
      <c r="K149" s="73" t="s">
        <v>1319</v>
      </c>
      <c r="L149" s="393">
        <v>90.0</v>
      </c>
      <c r="M149" s="124">
        <v>46204.0</v>
      </c>
      <c r="N149" s="83"/>
      <c r="O149" s="83"/>
      <c r="P149" s="83"/>
      <c r="Q149" s="83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</row>
    <row r="150" ht="15.75" customHeight="1">
      <c r="A150" s="119">
        <v>146.0</v>
      </c>
      <c r="B150" s="79" t="s">
        <v>1449</v>
      </c>
      <c r="C150" s="119" t="s">
        <v>1322</v>
      </c>
      <c r="D150" s="85"/>
      <c r="E150" s="382" t="s">
        <v>327</v>
      </c>
      <c r="F150" s="383" t="s">
        <v>1450</v>
      </c>
      <c r="G150" s="119">
        <v>20.0</v>
      </c>
      <c r="H150" s="85" t="s">
        <v>1451</v>
      </c>
      <c r="I150" s="119"/>
      <c r="J150" s="119" t="s">
        <v>1453</v>
      </c>
      <c r="K150" s="119" t="s">
        <v>1326</v>
      </c>
      <c r="L150" s="394">
        <v>100.0</v>
      </c>
      <c r="M150" s="120">
        <v>46205.0</v>
      </c>
      <c r="N150" s="79"/>
      <c r="O150" s="79"/>
      <c r="P150" s="79"/>
      <c r="Q150" s="79"/>
      <c r="R150" s="362"/>
      <c r="S150" s="362"/>
      <c r="T150" s="362"/>
      <c r="U150" s="362"/>
      <c r="V150" s="362"/>
      <c r="W150" s="362"/>
      <c r="X150" s="362"/>
      <c r="Y150" s="362"/>
      <c r="Z150" s="362"/>
      <c r="AA150" s="362"/>
      <c r="AB150" s="362"/>
      <c r="AC150" s="362"/>
    </row>
    <row r="151" ht="15.75" customHeight="1">
      <c r="A151" s="73">
        <v>147.0</v>
      </c>
      <c r="B151" s="83" t="s">
        <v>1330</v>
      </c>
      <c r="C151" s="73" t="s">
        <v>1329</v>
      </c>
      <c r="D151" s="375" t="s">
        <v>1331</v>
      </c>
      <c r="E151" s="381" t="s">
        <v>327</v>
      </c>
      <c r="F151" s="395" t="s">
        <v>1332</v>
      </c>
      <c r="G151" s="73">
        <v>20.0</v>
      </c>
      <c r="H151" s="378" t="s">
        <v>1333</v>
      </c>
      <c r="I151" s="73"/>
      <c r="J151" s="73" t="s">
        <v>1335</v>
      </c>
      <c r="K151" s="73" t="s">
        <v>1334</v>
      </c>
      <c r="L151" s="393">
        <v>30.0</v>
      </c>
      <c r="M151" s="124">
        <v>46205.0</v>
      </c>
      <c r="N151" s="83"/>
      <c r="O151" s="83"/>
      <c r="P151" s="83"/>
      <c r="Q151" s="83"/>
      <c r="R151" s="362"/>
      <c r="S151" s="362"/>
      <c r="T151" s="362"/>
      <c r="U151" s="362"/>
      <c r="V151" s="362"/>
      <c r="W151" s="362"/>
      <c r="X151" s="362"/>
      <c r="Y151" s="362"/>
      <c r="Z151" s="362"/>
      <c r="AA151" s="362"/>
      <c r="AB151" s="362"/>
      <c r="AC151" s="362"/>
    </row>
    <row r="152" ht="15.75" customHeight="1">
      <c r="A152" s="119">
        <v>148.0</v>
      </c>
      <c r="B152" s="79" t="s">
        <v>679</v>
      </c>
      <c r="C152" s="119" t="s">
        <v>1336</v>
      </c>
      <c r="D152" s="396" t="s">
        <v>1323</v>
      </c>
      <c r="E152" s="382" t="s">
        <v>1999</v>
      </c>
      <c r="F152" s="383" t="s">
        <v>1337</v>
      </c>
      <c r="G152" s="119">
        <v>20.0</v>
      </c>
      <c r="H152" s="85" t="s">
        <v>682</v>
      </c>
      <c r="I152" s="119"/>
      <c r="J152" s="119" t="s">
        <v>1339</v>
      </c>
      <c r="K152" s="119" t="s">
        <v>1338</v>
      </c>
      <c r="L152" s="394">
        <v>85.0</v>
      </c>
      <c r="M152" s="120">
        <v>46205.0</v>
      </c>
      <c r="N152" s="79"/>
      <c r="O152" s="79"/>
      <c r="P152" s="79"/>
      <c r="Q152" s="79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</row>
    <row r="153" ht="15.75" customHeight="1">
      <c r="A153" s="73">
        <v>149.0</v>
      </c>
      <c r="B153" s="83" t="s">
        <v>1341</v>
      </c>
      <c r="C153" s="73" t="s">
        <v>1340</v>
      </c>
      <c r="D153" s="378"/>
      <c r="E153" s="381" t="s">
        <v>327</v>
      </c>
      <c r="F153" s="395" t="s">
        <v>1343</v>
      </c>
      <c r="G153" s="73">
        <v>20.0</v>
      </c>
      <c r="H153" s="378" t="s">
        <v>1344</v>
      </c>
      <c r="I153" s="73"/>
      <c r="J153" s="73" t="s">
        <v>1346</v>
      </c>
      <c r="K153" s="73" t="s">
        <v>1345</v>
      </c>
      <c r="L153" s="393">
        <v>85.0</v>
      </c>
      <c r="M153" s="124">
        <v>46205.0</v>
      </c>
      <c r="N153" s="83"/>
      <c r="O153" s="83"/>
      <c r="P153" s="83"/>
      <c r="Q153" s="83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</row>
    <row r="154" ht="15.75" customHeight="1">
      <c r="A154" s="119">
        <v>150.0</v>
      </c>
      <c r="B154" s="79" t="s">
        <v>1349</v>
      </c>
      <c r="C154" s="119" t="s">
        <v>1348</v>
      </c>
      <c r="D154" s="85"/>
      <c r="E154" s="382" t="s">
        <v>327</v>
      </c>
      <c r="F154" s="383" t="s">
        <v>1350</v>
      </c>
      <c r="G154" s="119">
        <v>20.0</v>
      </c>
      <c r="H154" s="85" t="s">
        <v>1351</v>
      </c>
      <c r="I154" s="119"/>
      <c r="J154" s="119" t="s">
        <v>1353</v>
      </c>
      <c r="K154" s="119" t="s">
        <v>1352</v>
      </c>
      <c r="L154" s="394">
        <v>100.0</v>
      </c>
      <c r="M154" s="120">
        <v>46205.0</v>
      </c>
      <c r="N154" s="79"/>
      <c r="O154" s="79"/>
      <c r="P154" s="79"/>
      <c r="Q154" s="79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  <c r="AC154" s="362"/>
    </row>
    <row r="155" ht="15.75" customHeight="1">
      <c r="A155" s="73">
        <v>151.0</v>
      </c>
      <c r="B155" s="83" t="s">
        <v>1356</v>
      </c>
      <c r="C155" s="73" t="s">
        <v>1355</v>
      </c>
      <c r="D155" s="378"/>
      <c r="E155" s="381" t="s">
        <v>327</v>
      </c>
      <c r="F155" s="395" t="s">
        <v>1358</v>
      </c>
      <c r="G155" s="73">
        <v>20.0</v>
      </c>
      <c r="H155" s="378" t="s">
        <v>1359</v>
      </c>
      <c r="I155" s="73"/>
      <c r="J155" s="73" t="s">
        <v>1361</v>
      </c>
      <c r="K155" s="73" t="s">
        <v>1360</v>
      </c>
      <c r="L155" s="393">
        <v>30.0</v>
      </c>
      <c r="M155" s="124">
        <v>46206.0</v>
      </c>
      <c r="N155" s="83"/>
      <c r="O155" s="83"/>
      <c r="P155" s="83"/>
      <c r="Q155" s="83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</row>
    <row r="156" ht="15.75" customHeight="1">
      <c r="A156" s="119">
        <v>152.0</v>
      </c>
      <c r="B156" s="79" t="s">
        <v>1364</v>
      </c>
      <c r="C156" s="119" t="s">
        <v>1363</v>
      </c>
      <c r="D156" s="85"/>
      <c r="E156" s="382" t="s">
        <v>327</v>
      </c>
      <c r="F156" s="383" t="s">
        <v>1366</v>
      </c>
      <c r="G156" s="119">
        <v>20.0</v>
      </c>
      <c r="H156" s="85" t="s">
        <v>1367</v>
      </c>
      <c r="I156" s="119"/>
      <c r="J156" s="119" t="s">
        <v>1369</v>
      </c>
      <c r="K156" s="119" t="s">
        <v>1368</v>
      </c>
      <c r="L156" s="394">
        <v>30.0</v>
      </c>
      <c r="M156" s="120">
        <v>46206.0</v>
      </c>
      <c r="N156" s="79"/>
      <c r="O156" s="79"/>
      <c r="P156" s="79"/>
      <c r="Q156" s="79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</row>
    <row r="157" ht="15.75" customHeight="1">
      <c r="A157" s="73">
        <v>153.0</v>
      </c>
      <c r="B157" s="83" t="s">
        <v>1371</v>
      </c>
      <c r="C157" s="73" t="s">
        <v>1370</v>
      </c>
      <c r="D157" s="375" t="s">
        <v>1372</v>
      </c>
      <c r="E157" s="381" t="s">
        <v>327</v>
      </c>
      <c r="F157" s="395" t="s">
        <v>1373</v>
      </c>
      <c r="G157" s="73">
        <v>20.0</v>
      </c>
      <c r="H157" s="378" t="s">
        <v>1374</v>
      </c>
      <c r="I157" s="73"/>
      <c r="J157" s="73" t="s">
        <v>1376</v>
      </c>
      <c r="K157" s="73" t="s">
        <v>1375</v>
      </c>
      <c r="L157" s="393">
        <v>30.0</v>
      </c>
      <c r="M157" s="124">
        <v>46206.0</v>
      </c>
      <c r="N157" s="83"/>
      <c r="O157" s="83"/>
      <c r="P157" s="83"/>
      <c r="Q157" s="83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</row>
    <row r="158" ht="15.75" customHeight="1">
      <c r="A158" s="119">
        <v>154.0</v>
      </c>
      <c r="B158" s="79" t="s">
        <v>1379</v>
      </c>
      <c r="C158" s="119" t="s">
        <v>1378</v>
      </c>
      <c r="D158" s="396" t="s">
        <v>1380</v>
      </c>
      <c r="E158" s="382" t="s">
        <v>327</v>
      </c>
      <c r="F158" s="383" t="s">
        <v>1381</v>
      </c>
      <c r="G158" s="119">
        <v>20.0</v>
      </c>
      <c r="H158" s="85" t="s">
        <v>1382</v>
      </c>
      <c r="I158" s="119"/>
      <c r="J158" s="119" t="s">
        <v>1384</v>
      </c>
      <c r="K158" s="119" t="s">
        <v>1383</v>
      </c>
      <c r="L158" s="394">
        <v>30.0</v>
      </c>
      <c r="M158" s="120">
        <v>46206.0</v>
      </c>
      <c r="N158" s="79"/>
      <c r="O158" s="79"/>
      <c r="P158" s="79"/>
      <c r="Q158" s="79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</row>
    <row r="159" ht="15.75" customHeight="1">
      <c r="A159" s="73">
        <v>155.0</v>
      </c>
      <c r="B159" s="83" t="s">
        <v>2000</v>
      </c>
      <c r="C159" s="73" t="s">
        <v>1386</v>
      </c>
      <c r="D159" s="378"/>
      <c r="E159" s="381"/>
      <c r="F159" s="395" t="s">
        <v>1389</v>
      </c>
      <c r="G159" s="73">
        <v>20.0</v>
      </c>
      <c r="H159" s="378" t="s">
        <v>1390</v>
      </c>
      <c r="I159" s="73"/>
      <c r="J159" s="73" t="s">
        <v>2001</v>
      </c>
      <c r="K159" s="73" t="s">
        <v>1391</v>
      </c>
      <c r="L159" s="393">
        <v>200.0</v>
      </c>
      <c r="M159" s="399">
        <v>46207.0</v>
      </c>
      <c r="N159" s="83"/>
      <c r="O159" s="83"/>
      <c r="P159" s="83"/>
      <c r="Q159" s="83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</row>
    <row r="160" ht="15.75" customHeight="1">
      <c r="A160" s="119">
        <v>156.0</v>
      </c>
      <c r="B160" s="79" t="s">
        <v>1395</v>
      </c>
      <c r="C160" s="119" t="s">
        <v>1394</v>
      </c>
      <c r="D160" s="85"/>
      <c r="E160" s="382"/>
      <c r="F160" s="383" t="s">
        <v>1397</v>
      </c>
      <c r="G160" s="119">
        <v>20.0</v>
      </c>
      <c r="H160" s="85" t="s">
        <v>2002</v>
      </c>
      <c r="I160" s="119"/>
      <c r="J160" s="119" t="s">
        <v>2003</v>
      </c>
      <c r="K160" s="119" t="s">
        <v>1399</v>
      </c>
      <c r="L160" s="394">
        <v>230.0</v>
      </c>
      <c r="M160" s="400">
        <f>M158</f>
        <v>46206</v>
      </c>
      <c r="N160" s="79"/>
      <c r="O160" s="79"/>
      <c r="P160" s="79"/>
      <c r="Q160" s="79"/>
      <c r="R160" s="362"/>
      <c r="S160" s="362"/>
      <c r="T160" s="362"/>
      <c r="U160" s="362"/>
      <c r="V160" s="362"/>
      <c r="W160" s="362"/>
      <c r="X160" s="362"/>
      <c r="Y160" s="362"/>
      <c r="Z160" s="362"/>
      <c r="AA160" s="362"/>
      <c r="AB160" s="362"/>
      <c r="AC160" s="362"/>
    </row>
    <row r="161" ht="15.75" customHeight="1">
      <c r="A161" s="73">
        <v>157.0</v>
      </c>
      <c r="B161" s="83" t="s">
        <v>1403</v>
      </c>
      <c r="C161" s="73" t="s">
        <v>1402</v>
      </c>
      <c r="D161" s="378"/>
      <c r="E161" s="381"/>
      <c r="F161" s="395" t="s">
        <v>1405</v>
      </c>
      <c r="G161" s="73">
        <v>30.0</v>
      </c>
      <c r="H161" s="378" t="s">
        <v>2004</v>
      </c>
      <c r="I161" s="73"/>
      <c r="J161" s="73" t="s">
        <v>1408</v>
      </c>
      <c r="K161" s="73" t="s">
        <v>1407</v>
      </c>
      <c r="L161" s="393">
        <v>50.0</v>
      </c>
      <c r="M161" s="399">
        <v>46209.0</v>
      </c>
      <c r="N161" s="83"/>
      <c r="O161" s="83"/>
      <c r="P161" s="83"/>
      <c r="Q161" s="83"/>
      <c r="R161" s="362"/>
      <c r="S161" s="362"/>
      <c r="T161" s="362"/>
      <c r="U161" s="362"/>
      <c r="V161" s="362"/>
      <c r="W161" s="362"/>
      <c r="X161" s="362"/>
      <c r="Y161" s="362"/>
      <c r="Z161" s="362"/>
      <c r="AA161" s="362"/>
      <c r="AB161" s="362"/>
      <c r="AC161" s="362"/>
    </row>
    <row r="162" ht="15.75" customHeight="1">
      <c r="A162" s="119">
        <v>158.0</v>
      </c>
      <c r="B162" s="79" t="s">
        <v>1411</v>
      </c>
      <c r="C162" s="119" t="s">
        <v>1410</v>
      </c>
      <c r="D162" s="85"/>
      <c r="E162" s="382"/>
      <c r="F162" s="383" t="s">
        <v>1413</v>
      </c>
      <c r="G162" s="119">
        <v>30.0</v>
      </c>
      <c r="H162" s="85" t="s">
        <v>2005</v>
      </c>
      <c r="I162" s="119"/>
      <c r="J162" s="119" t="s">
        <v>1416</v>
      </c>
      <c r="K162" s="119" t="s">
        <v>1415</v>
      </c>
      <c r="L162" s="394">
        <v>50.0</v>
      </c>
      <c r="M162" s="400">
        <f t="shared" ref="M162:M163" si="1">M160</f>
        <v>46206</v>
      </c>
      <c r="N162" s="79"/>
      <c r="O162" s="79"/>
      <c r="P162" s="79"/>
      <c r="Q162" s="79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</row>
    <row r="163" ht="15.75" customHeight="1">
      <c r="A163" s="73">
        <v>159.0</v>
      </c>
      <c r="B163" s="83" t="s">
        <v>2006</v>
      </c>
      <c r="C163" s="73" t="s">
        <v>1418</v>
      </c>
      <c r="D163" s="378"/>
      <c r="E163" s="381"/>
      <c r="F163" s="395" t="s">
        <v>1421</v>
      </c>
      <c r="G163" s="73">
        <v>20.0</v>
      </c>
      <c r="H163" s="378" t="s">
        <v>1422</v>
      </c>
      <c r="I163" s="73"/>
      <c r="J163" s="73" t="s">
        <v>1424</v>
      </c>
      <c r="K163" s="73" t="s">
        <v>1423</v>
      </c>
      <c r="L163" s="393">
        <v>70.0</v>
      </c>
      <c r="M163" s="399">
        <f t="shared" si="1"/>
        <v>46209</v>
      </c>
      <c r="N163" s="83"/>
      <c r="O163" s="83"/>
      <c r="P163" s="83"/>
      <c r="Q163" s="83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</row>
    <row r="164" ht="15.75" customHeight="1">
      <c r="A164" s="119">
        <v>160.0</v>
      </c>
      <c r="B164" s="79" t="s">
        <v>1427</v>
      </c>
      <c r="C164" s="119" t="s">
        <v>1426</v>
      </c>
      <c r="D164" s="85"/>
      <c r="E164" s="382"/>
      <c r="F164" s="383" t="s">
        <v>85</v>
      </c>
      <c r="G164" s="119">
        <v>20.0</v>
      </c>
      <c r="H164" s="85" t="s">
        <v>2007</v>
      </c>
      <c r="I164" s="119"/>
      <c r="J164" s="119" t="s">
        <v>1430</v>
      </c>
      <c r="K164" s="119" t="s">
        <v>1429</v>
      </c>
      <c r="L164" s="394">
        <v>80.0</v>
      </c>
      <c r="M164" s="400">
        <v>46210.0</v>
      </c>
      <c r="N164" s="79"/>
      <c r="O164" s="79"/>
      <c r="P164" s="79"/>
      <c r="Q164" s="79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</row>
    <row r="165" ht="15.75" customHeight="1">
      <c r="A165" s="73">
        <v>161.0</v>
      </c>
      <c r="B165" s="83" t="s">
        <v>1433</v>
      </c>
      <c r="C165" s="73" t="s">
        <v>1432</v>
      </c>
      <c r="D165" s="395"/>
      <c r="E165" s="83" t="s">
        <v>2008</v>
      </c>
      <c r="F165" s="397" t="s">
        <v>1434</v>
      </c>
      <c r="G165" s="73">
        <v>20.0</v>
      </c>
      <c r="H165" s="378" t="s">
        <v>1437</v>
      </c>
      <c r="I165" s="83"/>
      <c r="J165" s="73" t="s">
        <v>1439</v>
      </c>
      <c r="K165" s="73" t="s">
        <v>1438</v>
      </c>
      <c r="L165" s="393">
        <v>70.0</v>
      </c>
      <c r="M165" s="124">
        <v>46210.0</v>
      </c>
      <c r="N165" s="401" t="s">
        <v>122</v>
      </c>
      <c r="O165" s="83"/>
      <c r="P165" s="83"/>
      <c r="Q165" s="83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</row>
    <row r="166" ht="15.75" customHeight="1">
      <c r="A166" s="119">
        <v>162.0</v>
      </c>
      <c r="B166" s="79" t="s">
        <v>1441</v>
      </c>
      <c r="C166" s="119" t="s">
        <v>1440</v>
      </c>
      <c r="D166" s="85"/>
      <c r="E166" s="74" t="s">
        <v>2009</v>
      </c>
      <c r="F166" s="380" t="s">
        <v>1443</v>
      </c>
      <c r="G166" s="119">
        <v>30.0</v>
      </c>
      <c r="H166" s="85" t="s">
        <v>2005</v>
      </c>
      <c r="I166" s="119"/>
      <c r="J166" s="119" t="s">
        <v>2010</v>
      </c>
      <c r="K166" s="119" t="s">
        <v>1444</v>
      </c>
      <c r="L166" s="394">
        <v>130.0</v>
      </c>
      <c r="M166" s="402">
        <v>46211.63233796296</v>
      </c>
      <c r="N166" s="79" t="s">
        <v>122</v>
      </c>
      <c r="O166" s="79"/>
      <c r="P166" s="79"/>
      <c r="Q166" s="79"/>
      <c r="R166" s="403"/>
      <c r="S166" s="403"/>
      <c r="T166" s="403"/>
      <c r="U166" s="403"/>
      <c r="V166" s="403"/>
      <c r="W166" s="403"/>
      <c r="X166" s="403"/>
      <c r="Y166" s="403"/>
      <c r="Z166" s="403"/>
      <c r="AA166" s="403"/>
      <c r="AB166" s="403"/>
      <c r="AC166" s="403"/>
    </row>
    <row r="167" ht="15.75" customHeight="1">
      <c r="A167" s="404"/>
      <c r="B167" s="405"/>
      <c r="C167" s="406"/>
      <c r="D167" s="406"/>
      <c r="E167" s="407"/>
      <c r="F167" s="405"/>
      <c r="G167" s="406"/>
      <c r="H167" s="408"/>
      <c r="I167" s="406"/>
      <c r="J167" s="406"/>
      <c r="K167" s="405"/>
      <c r="L167" s="409"/>
      <c r="M167" s="410"/>
      <c r="N167" s="411"/>
      <c r="O167" s="411"/>
      <c r="P167" s="411"/>
      <c r="Q167" s="41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</row>
    <row r="168" ht="15.75" hidden="1" customHeight="1" outlineLevel="1">
      <c r="A168" s="249"/>
      <c r="B168" s="250"/>
      <c r="C168" s="252"/>
      <c r="D168" s="358"/>
      <c r="E168" s="251"/>
      <c r="F168" s="250"/>
      <c r="G168" s="252"/>
      <c r="H168" s="358"/>
      <c r="I168" s="252"/>
      <c r="J168" s="252"/>
      <c r="K168" s="252"/>
      <c r="L168" s="412"/>
      <c r="M168" s="413"/>
      <c r="N168" s="362"/>
      <c r="O168" s="362"/>
      <c r="P168" s="362"/>
      <c r="Q168" s="362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</row>
    <row r="169" ht="15.75" hidden="1" customHeight="1" outlineLevel="1">
      <c r="A169" s="249"/>
      <c r="B169" s="250"/>
      <c r="C169" s="252"/>
      <c r="D169" s="358"/>
      <c r="E169" s="251"/>
      <c r="F169" s="250"/>
      <c r="G169" s="252"/>
      <c r="H169" s="358"/>
      <c r="I169" s="252"/>
      <c r="J169" s="252"/>
      <c r="K169" s="252"/>
      <c r="L169" s="412"/>
      <c r="M169" s="413"/>
      <c r="N169" s="362"/>
      <c r="O169" s="362"/>
      <c r="P169" s="362"/>
      <c r="Q169" s="362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</row>
    <row r="170" ht="15.75" hidden="1" customHeight="1" outlineLevel="1">
      <c r="A170" s="249"/>
      <c r="B170" s="250"/>
      <c r="C170" s="252"/>
      <c r="D170" s="358"/>
      <c r="E170" s="251"/>
      <c r="F170" s="250"/>
      <c r="G170" s="252"/>
      <c r="H170" s="358"/>
      <c r="I170" s="252"/>
      <c r="J170" s="252"/>
      <c r="K170" s="252"/>
      <c r="L170" s="412"/>
      <c r="M170" s="413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  <c r="Z170" s="362"/>
      <c r="AA170" s="362"/>
      <c r="AB170" s="362"/>
      <c r="AC170" s="362"/>
    </row>
    <row r="171" ht="15.75" hidden="1" customHeight="1" outlineLevel="1">
      <c r="A171" s="249"/>
      <c r="B171" s="250"/>
      <c r="C171" s="252"/>
      <c r="D171" s="358"/>
      <c r="E171" s="251"/>
      <c r="F171" s="250"/>
      <c r="G171" s="252"/>
      <c r="H171" s="358"/>
      <c r="I171" s="252"/>
      <c r="J171" s="252"/>
      <c r="K171" s="252"/>
      <c r="L171" s="412"/>
      <c r="M171" s="413"/>
      <c r="N171" s="362"/>
      <c r="O171" s="362"/>
      <c r="P171" s="362"/>
      <c r="Q171" s="362"/>
      <c r="R171" s="362"/>
      <c r="S171" s="362"/>
      <c r="T171" s="362"/>
      <c r="U171" s="362"/>
      <c r="V171" s="362"/>
      <c r="W171" s="362"/>
      <c r="X171" s="362"/>
      <c r="Y171" s="362"/>
      <c r="Z171" s="362"/>
      <c r="AA171" s="362"/>
      <c r="AB171" s="362"/>
      <c r="AC171" s="362"/>
    </row>
    <row r="172" ht="15.75" hidden="1" customHeight="1" outlineLevel="1">
      <c r="A172" s="249"/>
      <c r="B172" s="250"/>
      <c r="C172" s="252"/>
      <c r="D172" s="358"/>
      <c r="E172" s="251"/>
      <c r="F172" s="250"/>
      <c r="G172" s="252"/>
      <c r="H172" s="358"/>
      <c r="I172" s="252"/>
      <c r="J172" s="252"/>
      <c r="K172" s="252"/>
      <c r="L172" s="412"/>
      <c r="M172" s="413"/>
      <c r="N172" s="362"/>
      <c r="O172" s="362"/>
      <c r="P172" s="362"/>
      <c r="Q172" s="362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</row>
    <row r="173" ht="15.75" hidden="1" customHeight="1" outlineLevel="1">
      <c r="A173" s="249"/>
      <c r="B173" s="250"/>
      <c r="C173" s="252"/>
      <c r="D173" s="358"/>
      <c r="E173" s="251"/>
      <c r="F173" s="250"/>
      <c r="G173" s="252"/>
      <c r="H173" s="358"/>
      <c r="I173" s="252"/>
      <c r="J173" s="252"/>
      <c r="K173" s="252"/>
      <c r="L173" s="412"/>
      <c r="M173" s="413"/>
      <c r="N173" s="362"/>
      <c r="O173" s="362"/>
      <c r="P173" s="362"/>
      <c r="Q173" s="362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</row>
    <row r="174" ht="15.75" hidden="1" customHeight="1" outlineLevel="1">
      <c r="A174" s="249"/>
      <c r="B174" s="250"/>
      <c r="C174" s="252"/>
      <c r="D174" s="358"/>
      <c r="E174" s="251"/>
      <c r="F174" s="250"/>
      <c r="G174" s="252"/>
      <c r="H174" s="358"/>
      <c r="I174" s="252"/>
      <c r="J174" s="252"/>
      <c r="K174" s="252"/>
      <c r="L174" s="412"/>
      <c r="M174" s="413"/>
      <c r="N174" s="362"/>
      <c r="O174" s="362"/>
      <c r="P174" s="362"/>
      <c r="Q174" s="362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</row>
    <row r="175" ht="15.75" hidden="1" customHeight="1" outlineLevel="1">
      <c r="A175" s="249"/>
      <c r="B175" s="250"/>
      <c r="C175" s="252"/>
      <c r="D175" s="358"/>
      <c r="E175" s="251"/>
      <c r="F175" s="250"/>
      <c r="G175" s="252"/>
      <c r="H175" s="358"/>
      <c r="I175" s="252"/>
      <c r="J175" s="252"/>
      <c r="K175" s="252"/>
      <c r="L175" s="412"/>
      <c r="M175" s="413"/>
      <c r="N175" s="362"/>
      <c r="O175" s="362"/>
      <c r="P175" s="362"/>
      <c r="Q175" s="362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</row>
    <row r="176" ht="15.75" hidden="1" customHeight="1" outlineLevel="1">
      <c r="A176" s="249"/>
      <c r="B176" s="250"/>
      <c r="C176" s="252"/>
      <c r="D176" s="358"/>
      <c r="E176" s="251"/>
      <c r="F176" s="250"/>
      <c r="G176" s="252"/>
      <c r="H176" s="358"/>
      <c r="I176" s="252"/>
      <c r="J176" s="252"/>
      <c r="K176" s="252"/>
      <c r="L176" s="412"/>
      <c r="M176" s="413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</row>
    <row r="177" ht="15.75" hidden="1" customHeight="1" outlineLevel="1">
      <c r="A177" s="249"/>
      <c r="B177" s="250"/>
      <c r="C177" s="252"/>
      <c r="D177" s="358"/>
      <c r="E177" s="251"/>
      <c r="F177" s="250"/>
      <c r="G177" s="252"/>
      <c r="H177" s="358"/>
      <c r="I177" s="252"/>
      <c r="J177" s="252"/>
      <c r="K177" s="252"/>
      <c r="L177" s="412"/>
      <c r="M177" s="413"/>
      <c r="N177" s="362"/>
      <c r="O177" s="362"/>
      <c r="P177" s="362"/>
      <c r="Q177" s="362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</row>
    <row r="178" ht="15.75" hidden="1" customHeight="1" outlineLevel="1">
      <c r="A178" s="249"/>
      <c r="B178" s="250"/>
      <c r="C178" s="252"/>
      <c r="D178" s="358"/>
      <c r="E178" s="251"/>
      <c r="F178" s="250"/>
      <c r="G178" s="252"/>
      <c r="H178" s="358"/>
      <c r="I178" s="252"/>
      <c r="J178" s="252"/>
      <c r="K178" s="252"/>
      <c r="L178" s="412"/>
      <c r="M178" s="413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</row>
    <row r="179" ht="15.75" hidden="1" customHeight="1" outlineLevel="1">
      <c r="A179" s="249"/>
      <c r="B179" s="250"/>
      <c r="C179" s="252"/>
      <c r="D179" s="358"/>
      <c r="E179" s="251"/>
      <c r="F179" s="250"/>
      <c r="G179" s="252"/>
      <c r="H179" s="358"/>
      <c r="I179" s="252"/>
      <c r="J179" s="252"/>
      <c r="K179" s="252"/>
      <c r="L179" s="412"/>
      <c r="M179" s="361"/>
      <c r="N179" s="362"/>
      <c r="O179" s="362"/>
      <c r="P179" s="362"/>
      <c r="Q179" s="362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</row>
    <row r="180" ht="15.75" hidden="1" customHeight="1" outlineLevel="1">
      <c r="A180" s="249"/>
      <c r="B180" s="250"/>
      <c r="C180" s="252"/>
      <c r="D180" s="358"/>
      <c r="E180" s="251"/>
      <c r="F180" s="250"/>
      <c r="G180" s="252"/>
      <c r="H180" s="358"/>
      <c r="I180" s="252"/>
      <c r="J180" s="252"/>
      <c r="K180" s="252"/>
      <c r="L180" s="412"/>
      <c r="M180" s="361"/>
      <c r="N180" s="362"/>
      <c r="O180" s="362"/>
      <c r="P180" s="362"/>
      <c r="Q180" s="362"/>
      <c r="R180" s="362"/>
      <c r="S180" s="362"/>
      <c r="T180" s="362"/>
      <c r="U180" s="362"/>
      <c r="V180" s="362"/>
      <c r="W180" s="362"/>
      <c r="X180" s="362"/>
      <c r="Y180" s="362"/>
      <c r="Z180" s="362"/>
      <c r="AA180" s="362"/>
      <c r="AB180" s="362"/>
      <c r="AC180" s="362"/>
    </row>
    <row r="181" ht="15.75" hidden="1" customHeight="1" outlineLevel="1">
      <c r="A181" s="249"/>
      <c r="B181" s="250"/>
      <c r="C181" s="252"/>
      <c r="D181" s="358"/>
      <c r="E181" s="251"/>
      <c r="F181" s="250"/>
      <c r="G181" s="252"/>
      <c r="H181" s="358"/>
      <c r="I181" s="252"/>
      <c r="J181" s="252"/>
      <c r="K181" s="252"/>
      <c r="L181" s="412"/>
      <c r="M181" s="361"/>
      <c r="N181" s="362"/>
      <c r="O181" s="362"/>
      <c r="P181" s="362"/>
      <c r="Q181" s="362"/>
      <c r="R181" s="362"/>
      <c r="S181" s="362"/>
      <c r="T181" s="362"/>
      <c r="U181" s="362"/>
      <c r="V181" s="362"/>
      <c r="W181" s="362"/>
      <c r="X181" s="362"/>
      <c r="Y181" s="362"/>
      <c r="Z181" s="362"/>
      <c r="AA181" s="362"/>
      <c r="AB181" s="362"/>
      <c r="AC181" s="362"/>
    </row>
    <row r="182" ht="15.75" hidden="1" customHeight="1" outlineLevel="1">
      <c r="A182" s="249"/>
      <c r="B182" s="250"/>
      <c r="C182" s="252"/>
      <c r="D182" s="358"/>
      <c r="E182" s="251"/>
      <c r="F182" s="250"/>
      <c r="G182" s="252"/>
      <c r="H182" s="358"/>
      <c r="I182" s="252"/>
      <c r="J182" s="252"/>
      <c r="K182" s="252"/>
      <c r="L182" s="412"/>
      <c r="M182" s="361"/>
      <c r="N182" s="362"/>
      <c r="O182" s="362"/>
      <c r="P182" s="362"/>
      <c r="Q182" s="362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</row>
    <row r="183" ht="15.75" hidden="1" customHeight="1" outlineLevel="1">
      <c r="A183" s="249"/>
      <c r="B183" s="250"/>
      <c r="C183" s="252"/>
      <c r="D183" s="358"/>
      <c r="E183" s="251"/>
      <c r="F183" s="250"/>
      <c r="G183" s="252"/>
      <c r="H183" s="358"/>
      <c r="I183" s="252"/>
      <c r="J183" s="252"/>
      <c r="K183" s="252"/>
      <c r="L183" s="412"/>
      <c r="M183" s="361"/>
      <c r="N183" s="362"/>
      <c r="O183" s="362"/>
      <c r="P183" s="362"/>
      <c r="Q183" s="362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</row>
    <row r="184" ht="15.75" hidden="1" customHeight="1" outlineLevel="1">
      <c r="A184" s="249"/>
      <c r="B184" s="250"/>
      <c r="C184" s="252"/>
      <c r="D184" s="358"/>
      <c r="E184" s="251"/>
      <c r="F184" s="250"/>
      <c r="G184" s="252"/>
      <c r="H184" s="358"/>
      <c r="I184" s="252"/>
      <c r="J184" s="252"/>
      <c r="K184" s="252"/>
      <c r="L184" s="412"/>
      <c r="M184" s="361"/>
      <c r="N184" s="362"/>
      <c r="O184" s="362"/>
      <c r="P184" s="362"/>
      <c r="Q184" s="362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</row>
    <row r="185" ht="15.75" hidden="1" customHeight="1" outlineLevel="1">
      <c r="A185" s="249"/>
      <c r="B185" s="250"/>
      <c r="C185" s="252"/>
      <c r="D185" s="358"/>
      <c r="E185" s="251"/>
      <c r="F185" s="250"/>
      <c r="G185" s="252"/>
      <c r="H185" s="358"/>
      <c r="I185" s="252"/>
      <c r="J185" s="252"/>
      <c r="K185" s="252"/>
      <c r="L185" s="412"/>
      <c r="M185" s="361"/>
      <c r="N185" s="362"/>
      <c r="O185" s="362"/>
      <c r="P185" s="362"/>
      <c r="Q185" s="362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</row>
    <row r="186" ht="15.75" hidden="1" customHeight="1" outlineLevel="1">
      <c r="A186" s="252"/>
      <c r="B186" s="250"/>
      <c r="C186" s="252"/>
      <c r="D186" s="358"/>
      <c r="E186" s="251"/>
      <c r="F186" s="250"/>
      <c r="G186" s="252"/>
      <c r="H186" s="358"/>
      <c r="I186" s="252"/>
      <c r="J186" s="252"/>
      <c r="K186" s="252"/>
      <c r="L186" s="412"/>
      <c r="M186" s="361"/>
      <c r="N186" s="362"/>
      <c r="O186" s="362"/>
      <c r="P186" s="362"/>
      <c r="Q186" s="362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</row>
    <row r="187" ht="15.75" hidden="1" customHeight="1" outlineLevel="1">
      <c r="A187" s="252"/>
      <c r="B187" s="250"/>
      <c r="C187" s="252"/>
      <c r="D187" s="358"/>
      <c r="E187" s="251"/>
      <c r="F187" s="250"/>
      <c r="G187" s="252"/>
      <c r="H187" s="358"/>
      <c r="I187" s="252"/>
      <c r="J187" s="252"/>
      <c r="K187" s="252"/>
      <c r="L187" s="412"/>
      <c r="M187" s="361"/>
      <c r="N187" s="362"/>
      <c r="O187" s="362"/>
      <c r="P187" s="362"/>
      <c r="Q187" s="362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</row>
    <row r="188" ht="15.75" hidden="1" customHeight="1" outlineLevel="1">
      <c r="A188" s="252"/>
      <c r="B188" s="250"/>
      <c r="C188" s="252"/>
      <c r="D188" s="358"/>
      <c r="E188" s="251"/>
      <c r="F188" s="250"/>
      <c r="G188" s="252"/>
      <c r="H188" s="358"/>
      <c r="I188" s="252"/>
      <c r="J188" s="252"/>
      <c r="K188" s="252"/>
      <c r="L188" s="412"/>
      <c r="M188" s="361"/>
      <c r="N188" s="362"/>
      <c r="O188" s="362"/>
      <c r="P188" s="362"/>
      <c r="Q188" s="362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</row>
    <row r="189" ht="15.75" hidden="1" customHeight="1" outlineLevel="1">
      <c r="A189" s="252"/>
      <c r="B189" s="250"/>
      <c r="C189" s="252"/>
      <c r="D189" s="358"/>
      <c r="E189" s="251"/>
      <c r="F189" s="250"/>
      <c r="G189" s="252"/>
      <c r="H189" s="358"/>
      <c r="I189" s="252"/>
      <c r="J189" s="252"/>
      <c r="K189" s="252"/>
      <c r="L189" s="412"/>
      <c r="M189" s="361"/>
      <c r="N189" s="362"/>
      <c r="O189" s="362"/>
      <c r="P189" s="362"/>
      <c r="Q189" s="362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</row>
    <row r="190" ht="15.75" hidden="1" customHeight="1" outlineLevel="1">
      <c r="A190" s="252"/>
      <c r="B190" s="250"/>
      <c r="C190" s="252"/>
      <c r="D190" s="358"/>
      <c r="E190" s="251"/>
      <c r="F190" s="250"/>
      <c r="G190" s="252"/>
      <c r="H190" s="358"/>
      <c r="I190" s="252"/>
      <c r="J190" s="252"/>
      <c r="K190" s="252"/>
      <c r="L190" s="412"/>
      <c r="M190" s="361"/>
      <c r="N190" s="362"/>
      <c r="O190" s="362"/>
      <c r="P190" s="362"/>
      <c r="Q190" s="362"/>
      <c r="R190" s="362"/>
      <c r="S190" s="362"/>
      <c r="T190" s="362"/>
      <c r="U190" s="362"/>
      <c r="V190" s="362"/>
      <c r="W190" s="362"/>
      <c r="X190" s="362"/>
      <c r="Y190" s="362"/>
      <c r="Z190" s="362"/>
      <c r="AA190" s="362"/>
      <c r="AB190" s="362"/>
      <c r="AC190" s="362"/>
    </row>
    <row r="191" ht="15.75" hidden="1" customHeight="1" outlineLevel="1">
      <c r="A191" s="252"/>
      <c r="B191" s="250"/>
      <c r="C191" s="252"/>
      <c r="D191" s="358"/>
      <c r="E191" s="251"/>
      <c r="F191" s="250"/>
      <c r="G191" s="252"/>
      <c r="H191" s="358"/>
      <c r="I191" s="252"/>
      <c r="J191" s="252"/>
      <c r="K191" s="252"/>
      <c r="L191" s="412"/>
      <c r="M191" s="361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  <c r="Z191" s="362"/>
      <c r="AA191" s="362"/>
      <c r="AB191" s="362"/>
      <c r="AC191" s="362"/>
    </row>
    <row r="192" ht="15.75" hidden="1" customHeight="1" outlineLevel="1">
      <c r="A192" s="252"/>
      <c r="B192" s="250"/>
      <c r="C192" s="252"/>
      <c r="D192" s="358"/>
      <c r="E192" s="251"/>
      <c r="F192" s="250"/>
      <c r="G192" s="252"/>
      <c r="H192" s="358"/>
      <c r="I192" s="252"/>
      <c r="J192" s="252"/>
      <c r="K192" s="252"/>
      <c r="L192" s="412"/>
      <c r="M192" s="361"/>
      <c r="N192" s="362"/>
      <c r="O192" s="362"/>
      <c r="P192" s="362"/>
      <c r="Q192" s="362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</row>
    <row r="193" ht="15.75" hidden="1" customHeight="1" outlineLevel="1">
      <c r="A193" s="252"/>
      <c r="B193" s="250"/>
      <c r="C193" s="252"/>
      <c r="D193" s="358"/>
      <c r="E193" s="251"/>
      <c r="F193" s="250"/>
      <c r="G193" s="252"/>
      <c r="H193" s="358"/>
      <c r="I193" s="252"/>
      <c r="J193" s="252"/>
      <c r="K193" s="252"/>
      <c r="L193" s="412"/>
      <c r="M193" s="361"/>
      <c r="N193" s="362"/>
      <c r="O193" s="362"/>
      <c r="P193" s="362"/>
      <c r="Q193" s="362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</row>
    <row r="194" ht="15.75" hidden="1" customHeight="1" outlineLevel="1">
      <c r="A194" s="252"/>
      <c r="B194" s="250"/>
      <c r="C194" s="252"/>
      <c r="D194" s="358"/>
      <c r="E194" s="251"/>
      <c r="F194" s="250"/>
      <c r="G194" s="252"/>
      <c r="H194" s="358"/>
      <c r="I194" s="252"/>
      <c r="J194" s="252"/>
      <c r="K194" s="252"/>
      <c r="L194" s="412"/>
      <c r="M194" s="361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</row>
    <row r="195" ht="15.75" hidden="1" customHeight="1" outlineLevel="1">
      <c r="A195" s="252"/>
      <c r="B195" s="250"/>
      <c r="C195" s="252"/>
      <c r="D195" s="358"/>
      <c r="E195" s="251"/>
      <c r="F195" s="250"/>
      <c r="G195" s="252"/>
      <c r="H195" s="358"/>
      <c r="I195" s="252"/>
      <c r="J195" s="252"/>
      <c r="K195" s="252"/>
      <c r="L195" s="412"/>
      <c r="M195" s="361"/>
      <c r="N195" s="362"/>
      <c r="O195" s="362"/>
      <c r="P195" s="362"/>
      <c r="Q195" s="362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</row>
    <row r="196" ht="15.75" hidden="1" customHeight="1" outlineLevel="1">
      <c r="A196" s="252"/>
      <c r="B196" s="250"/>
      <c r="C196" s="252"/>
      <c r="D196" s="358"/>
      <c r="E196" s="251"/>
      <c r="F196" s="250"/>
      <c r="G196" s="252"/>
      <c r="H196" s="358"/>
      <c r="I196" s="252"/>
      <c r="J196" s="252"/>
      <c r="K196" s="252"/>
      <c r="L196" s="412"/>
      <c r="M196" s="361"/>
      <c r="N196" s="362"/>
      <c r="O196" s="362"/>
      <c r="P196" s="362"/>
      <c r="Q196" s="362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</row>
    <row r="197" ht="15.75" hidden="1" customHeight="1" outlineLevel="1">
      <c r="A197" s="252"/>
      <c r="B197" s="250"/>
      <c r="C197" s="252"/>
      <c r="D197" s="358"/>
      <c r="E197" s="251"/>
      <c r="F197" s="250"/>
      <c r="G197" s="252"/>
      <c r="H197" s="358"/>
      <c r="I197" s="252"/>
      <c r="J197" s="252"/>
      <c r="K197" s="252"/>
      <c r="L197" s="412"/>
      <c r="M197" s="361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</row>
    <row r="198" ht="15.75" hidden="1" customHeight="1" outlineLevel="1">
      <c r="A198" s="252"/>
      <c r="B198" s="250"/>
      <c r="C198" s="252"/>
      <c r="D198" s="358"/>
      <c r="E198" s="251"/>
      <c r="F198" s="250"/>
      <c r="G198" s="252"/>
      <c r="H198" s="358"/>
      <c r="I198" s="252"/>
      <c r="J198" s="252"/>
      <c r="K198" s="252"/>
      <c r="L198" s="412"/>
      <c r="M198" s="361"/>
      <c r="N198" s="362"/>
      <c r="O198" s="362"/>
      <c r="P198" s="362"/>
      <c r="Q198" s="362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</row>
    <row r="199" ht="15.75" hidden="1" customHeight="1" outlineLevel="1">
      <c r="A199" s="252"/>
      <c r="B199" s="250"/>
      <c r="C199" s="252"/>
      <c r="D199" s="358"/>
      <c r="E199" s="251"/>
      <c r="F199" s="250"/>
      <c r="G199" s="252"/>
      <c r="H199" s="358"/>
      <c r="I199" s="252"/>
      <c r="J199" s="252"/>
      <c r="K199" s="252"/>
      <c r="L199" s="412"/>
      <c r="M199" s="361"/>
      <c r="N199" s="362"/>
      <c r="O199" s="362"/>
      <c r="P199" s="362"/>
      <c r="Q199" s="362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</row>
    <row r="200" ht="15.75" hidden="1" customHeight="1" outlineLevel="1">
      <c r="A200" s="252"/>
      <c r="B200" s="250"/>
      <c r="C200" s="252"/>
      <c r="D200" s="358"/>
      <c r="E200" s="251"/>
      <c r="F200" s="250"/>
      <c r="G200" s="252"/>
      <c r="H200" s="358"/>
      <c r="I200" s="252"/>
      <c r="J200" s="252"/>
      <c r="K200" s="252"/>
      <c r="L200" s="412"/>
      <c r="M200" s="361"/>
      <c r="N200" s="362"/>
      <c r="O200" s="362"/>
      <c r="P200" s="362"/>
      <c r="Q200" s="362"/>
      <c r="R200" s="362"/>
      <c r="S200" s="362"/>
      <c r="T200" s="362"/>
      <c r="U200" s="362"/>
      <c r="V200" s="362"/>
      <c r="W200" s="362"/>
      <c r="X200" s="362"/>
      <c r="Y200" s="362"/>
      <c r="Z200" s="362"/>
      <c r="AA200" s="362"/>
      <c r="AB200" s="362"/>
      <c r="AC200" s="362"/>
    </row>
    <row r="201" ht="15.75" hidden="1" customHeight="1" outlineLevel="1">
      <c r="A201" s="252"/>
      <c r="B201" s="250"/>
      <c r="C201" s="252"/>
      <c r="D201" s="358"/>
      <c r="E201" s="251"/>
      <c r="F201" s="250"/>
      <c r="G201" s="252"/>
      <c r="H201" s="358"/>
      <c r="I201" s="252"/>
      <c r="J201" s="252"/>
      <c r="K201" s="252"/>
      <c r="L201" s="412"/>
      <c r="M201" s="361"/>
      <c r="N201" s="362"/>
      <c r="O201" s="362"/>
      <c r="P201" s="362"/>
      <c r="Q201" s="362"/>
      <c r="R201" s="362"/>
      <c r="S201" s="362"/>
      <c r="T201" s="362"/>
      <c r="U201" s="362"/>
      <c r="V201" s="362"/>
      <c r="W201" s="362"/>
      <c r="X201" s="362"/>
      <c r="Y201" s="362"/>
      <c r="Z201" s="362"/>
      <c r="AA201" s="362"/>
      <c r="AB201" s="362"/>
      <c r="AC201" s="362"/>
    </row>
    <row r="202" ht="15.75" hidden="1" customHeight="1" outlineLevel="1">
      <c r="A202" s="252"/>
      <c r="B202" s="250"/>
      <c r="C202" s="252"/>
      <c r="D202" s="358"/>
      <c r="E202" s="251"/>
      <c r="F202" s="250"/>
      <c r="G202" s="252"/>
      <c r="H202" s="358"/>
      <c r="I202" s="252"/>
      <c r="J202" s="252"/>
      <c r="K202" s="252"/>
      <c r="L202" s="412"/>
      <c r="M202" s="361"/>
      <c r="N202" s="362"/>
      <c r="O202" s="362"/>
      <c r="P202" s="362"/>
      <c r="Q202" s="362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</row>
    <row r="203" ht="15.75" hidden="1" customHeight="1" outlineLevel="1">
      <c r="A203" s="252"/>
      <c r="B203" s="250"/>
      <c r="C203" s="252"/>
      <c r="D203" s="358"/>
      <c r="E203" s="251"/>
      <c r="F203" s="250"/>
      <c r="G203" s="252"/>
      <c r="H203" s="358"/>
      <c r="I203" s="252"/>
      <c r="J203" s="252"/>
      <c r="K203" s="252"/>
      <c r="L203" s="412"/>
      <c r="M203" s="361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</row>
    <row r="204" ht="15.75" hidden="1" customHeight="1" outlineLevel="1">
      <c r="A204" s="252"/>
      <c r="B204" s="250"/>
      <c r="C204" s="252"/>
      <c r="D204" s="358"/>
      <c r="E204" s="251"/>
      <c r="F204" s="250"/>
      <c r="G204" s="252"/>
      <c r="H204" s="358"/>
      <c r="I204" s="252"/>
      <c r="J204" s="252"/>
      <c r="K204" s="252"/>
      <c r="L204" s="412"/>
      <c r="M204" s="361"/>
      <c r="N204" s="362"/>
      <c r="O204" s="362"/>
      <c r="P204" s="362"/>
      <c r="Q204" s="362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</row>
    <row r="205" ht="15.75" hidden="1" customHeight="1" outlineLevel="1">
      <c r="A205" s="252"/>
      <c r="B205" s="250"/>
      <c r="C205" s="252"/>
      <c r="D205" s="358"/>
      <c r="E205" s="251"/>
      <c r="F205" s="250"/>
      <c r="G205" s="252"/>
      <c r="H205" s="358"/>
      <c r="I205" s="252"/>
      <c r="J205" s="252"/>
      <c r="K205" s="252"/>
      <c r="L205" s="412"/>
      <c r="M205" s="361"/>
      <c r="N205" s="362"/>
      <c r="O205" s="362"/>
      <c r="P205" s="362"/>
      <c r="Q205" s="362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</row>
    <row r="206" ht="15.75" hidden="1" customHeight="1" outlineLevel="1">
      <c r="A206" s="252"/>
      <c r="B206" s="250"/>
      <c r="C206" s="252"/>
      <c r="D206" s="358"/>
      <c r="E206" s="251"/>
      <c r="F206" s="250"/>
      <c r="G206" s="252"/>
      <c r="H206" s="358"/>
      <c r="I206" s="252"/>
      <c r="J206" s="252"/>
      <c r="K206" s="252"/>
      <c r="L206" s="412"/>
      <c r="M206" s="361"/>
      <c r="N206" s="362"/>
      <c r="O206" s="362"/>
      <c r="P206" s="362"/>
      <c r="Q206" s="362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</row>
    <row r="207" ht="15.75" hidden="1" customHeight="1" outlineLevel="1">
      <c r="A207" s="252"/>
      <c r="B207" s="250"/>
      <c r="C207" s="252"/>
      <c r="D207" s="358"/>
      <c r="E207" s="251"/>
      <c r="F207" s="250"/>
      <c r="G207" s="252"/>
      <c r="H207" s="358"/>
      <c r="I207" s="252"/>
      <c r="J207" s="252"/>
      <c r="K207" s="252"/>
      <c r="L207" s="412"/>
      <c r="M207" s="361"/>
      <c r="N207" s="362"/>
      <c r="O207" s="362"/>
      <c r="P207" s="362"/>
      <c r="Q207" s="362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</row>
    <row r="208" ht="15.75" hidden="1" customHeight="1" outlineLevel="1">
      <c r="A208" s="252"/>
      <c r="B208" s="250"/>
      <c r="C208" s="252"/>
      <c r="D208" s="358"/>
      <c r="E208" s="251"/>
      <c r="F208" s="250"/>
      <c r="G208" s="252"/>
      <c r="H208" s="358"/>
      <c r="I208" s="252"/>
      <c r="J208" s="252"/>
      <c r="K208" s="252"/>
      <c r="L208" s="412"/>
      <c r="M208" s="361"/>
      <c r="N208" s="362"/>
      <c r="O208" s="362"/>
      <c r="P208" s="362"/>
      <c r="Q208" s="362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</row>
    <row r="209" ht="15.75" hidden="1" customHeight="1" outlineLevel="1">
      <c r="A209" s="252"/>
      <c r="B209" s="250"/>
      <c r="C209" s="252"/>
      <c r="D209" s="358"/>
      <c r="E209" s="251"/>
      <c r="F209" s="250"/>
      <c r="G209" s="252"/>
      <c r="H209" s="358"/>
      <c r="I209" s="252"/>
      <c r="J209" s="252"/>
      <c r="K209" s="252"/>
      <c r="L209" s="412"/>
      <c r="M209" s="361"/>
      <c r="N209" s="362"/>
      <c r="O209" s="362"/>
      <c r="P209" s="362"/>
      <c r="Q209" s="362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</row>
    <row r="210" ht="15.75" hidden="1" customHeight="1" outlineLevel="1">
      <c r="A210" s="414"/>
      <c r="B210" s="362"/>
      <c r="C210" s="414"/>
      <c r="D210" s="415"/>
      <c r="E210" s="416"/>
      <c r="F210" s="362"/>
      <c r="G210" s="414"/>
      <c r="H210" s="415"/>
      <c r="I210" s="414"/>
      <c r="J210" s="414"/>
      <c r="K210" s="414"/>
      <c r="L210" s="417"/>
      <c r="M210" s="418"/>
      <c r="N210" s="362"/>
      <c r="O210" s="362"/>
      <c r="P210" s="362"/>
      <c r="Q210" s="362"/>
      <c r="R210" s="362"/>
      <c r="S210" s="362"/>
      <c r="T210" s="362"/>
      <c r="U210" s="362"/>
      <c r="V210" s="362"/>
      <c r="W210" s="362"/>
      <c r="X210" s="362"/>
      <c r="Y210" s="362"/>
      <c r="Z210" s="362"/>
      <c r="AA210" s="362"/>
      <c r="AB210" s="362"/>
      <c r="AC210" s="362"/>
    </row>
    <row r="211" ht="15.75" hidden="1" customHeight="1" outlineLevel="1">
      <c r="A211" s="414"/>
      <c r="B211" s="362"/>
      <c r="C211" s="414"/>
      <c r="D211" s="415"/>
      <c r="E211" s="416"/>
      <c r="F211" s="362"/>
      <c r="G211" s="414"/>
      <c r="H211" s="415"/>
      <c r="I211" s="414"/>
      <c r="J211" s="414"/>
      <c r="K211" s="414"/>
      <c r="L211" s="417"/>
      <c r="M211" s="418"/>
      <c r="N211" s="362"/>
      <c r="O211" s="362"/>
      <c r="P211" s="362"/>
      <c r="Q211" s="362"/>
      <c r="R211" s="362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  <c r="AC211" s="362"/>
    </row>
    <row r="212" ht="15.75" hidden="1" customHeight="1" outlineLevel="1">
      <c r="A212" s="414"/>
      <c r="B212" s="362"/>
      <c r="C212" s="414"/>
      <c r="D212" s="415"/>
      <c r="E212" s="416"/>
      <c r="F212" s="362"/>
      <c r="G212" s="414"/>
      <c r="H212" s="415"/>
      <c r="I212" s="414"/>
      <c r="J212" s="414"/>
      <c r="K212" s="414"/>
      <c r="L212" s="417"/>
      <c r="M212" s="418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  <c r="Z212" s="362"/>
      <c r="AA212" s="362"/>
      <c r="AB212" s="362"/>
      <c r="AC212" s="362"/>
    </row>
    <row r="213" ht="15.75" hidden="1" customHeight="1" outlineLevel="1">
      <c r="A213" s="414"/>
      <c r="B213" s="362"/>
      <c r="C213" s="414"/>
      <c r="D213" s="415"/>
      <c r="E213" s="416"/>
      <c r="F213" s="362"/>
      <c r="G213" s="414"/>
      <c r="H213" s="415"/>
      <c r="I213" s="414"/>
      <c r="J213" s="414"/>
      <c r="K213" s="414"/>
      <c r="L213" s="417"/>
      <c r="M213" s="418"/>
      <c r="N213" s="362"/>
      <c r="O213" s="362"/>
      <c r="P213" s="362"/>
      <c r="Q213" s="362"/>
      <c r="R213" s="362"/>
      <c r="S213" s="362"/>
      <c r="T213" s="362"/>
      <c r="U213" s="362"/>
      <c r="V213" s="362"/>
      <c r="W213" s="362"/>
      <c r="X213" s="362"/>
      <c r="Y213" s="362"/>
      <c r="Z213" s="362"/>
      <c r="AA213" s="362"/>
      <c r="AB213" s="362"/>
      <c r="AC213" s="362"/>
    </row>
    <row r="214" ht="15.75" hidden="1" customHeight="1" outlineLevel="1">
      <c r="A214" s="414"/>
      <c r="B214" s="362"/>
      <c r="C214" s="414"/>
      <c r="D214" s="415"/>
      <c r="E214" s="416"/>
      <c r="F214" s="362"/>
      <c r="G214" s="414"/>
      <c r="H214" s="415"/>
      <c r="I214" s="414"/>
      <c r="J214" s="414"/>
      <c r="K214" s="414"/>
      <c r="L214" s="417"/>
      <c r="M214" s="418"/>
      <c r="N214" s="362"/>
      <c r="O214" s="362"/>
      <c r="P214" s="362"/>
      <c r="Q214" s="362"/>
      <c r="R214" s="362"/>
      <c r="S214" s="362"/>
      <c r="T214" s="362"/>
      <c r="U214" s="362"/>
      <c r="V214" s="362"/>
      <c r="W214" s="362"/>
      <c r="X214" s="362"/>
      <c r="Y214" s="362"/>
      <c r="Z214" s="362"/>
      <c r="AA214" s="362"/>
      <c r="AB214" s="362"/>
      <c r="AC214" s="362"/>
    </row>
    <row r="215" ht="15.75" hidden="1" customHeight="1" outlineLevel="1">
      <c r="A215" s="414"/>
      <c r="B215" s="362"/>
      <c r="C215" s="414"/>
      <c r="D215" s="415"/>
      <c r="E215" s="416"/>
      <c r="F215" s="362"/>
      <c r="G215" s="414"/>
      <c r="H215" s="415"/>
      <c r="I215" s="414"/>
      <c r="J215" s="414"/>
      <c r="K215" s="414"/>
      <c r="L215" s="417"/>
      <c r="M215" s="418"/>
      <c r="N215" s="362"/>
      <c r="O215" s="362"/>
      <c r="P215" s="362"/>
      <c r="Q215" s="362"/>
      <c r="R215" s="362"/>
      <c r="S215" s="362"/>
      <c r="T215" s="362"/>
      <c r="U215" s="362"/>
      <c r="V215" s="362"/>
      <c r="W215" s="362"/>
      <c r="X215" s="362"/>
      <c r="Y215" s="362"/>
      <c r="Z215" s="362"/>
      <c r="AA215" s="362"/>
      <c r="AB215" s="362"/>
      <c r="AC215" s="362"/>
    </row>
    <row r="216" ht="15.75" hidden="1" customHeight="1" outlineLevel="1">
      <c r="A216" s="414"/>
      <c r="B216" s="362"/>
      <c r="C216" s="414"/>
      <c r="D216" s="415"/>
      <c r="E216" s="416"/>
      <c r="F216" s="362"/>
      <c r="G216" s="414"/>
      <c r="H216" s="415"/>
      <c r="I216" s="414"/>
      <c r="J216" s="414"/>
      <c r="K216" s="414"/>
      <c r="L216" s="417"/>
      <c r="M216" s="418"/>
      <c r="N216" s="362"/>
      <c r="O216" s="362"/>
      <c r="P216" s="362"/>
      <c r="Q216" s="362"/>
      <c r="R216" s="362"/>
      <c r="S216" s="362"/>
      <c r="T216" s="362"/>
      <c r="U216" s="362"/>
      <c r="V216" s="362"/>
      <c r="W216" s="362"/>
      <c r="X216" s="362"/>
      <c r="Y216" s="362"/>
      <c r="Z216" s="362"/>
      <c r="AA216" s="362"/>
      <c r="AB216" s="362"/>
      <c r="AC216" s="362"/>
    </row>
    <row r="217" ht="15.75" hidden="1" customHeight="1" outlineLevel="1">
      <c r="A217" s="414"/>
      <c r="B217" s="362"/>
      <c r="C217" s="414"/>
      <c r="D217" s="415"/>
      <c r="E217" s="416"/>
      <c r="F217" s="362"/>
      <c r="G217" s="414"/>
      <c r="H217" s="415"/>
      <c r="I217" s="414"/>
      <c r="J217" s="414"/>
      <c r="K217" s="414"/>
      <c r="L217" s="417"/>
      <c r="M217" s="418"/>
      <c r="N217" s="362"/>
      <c r="O217" s="362"/>
      <c r="P217" s="362"/>
      <c r="Q217" s="362"/>
      <c r="R217" s="362"/>
      <c r="S217" s="362"/>
      <c r="T217" s="362"/>
      <c r="U217" s="362"/>
      <c r="V217" s="362"/>
      <c r="W217" s="362"/>
      <c r="X217" s="362"/>
      <c r="Y217" s="362"/>
      <c r="Z217" s="362"/>
      <c r="AA217" s="362"/>
      <c r="AB217" s="362"/>
      <c r="AC217" s="362"/>
    </row>
    <row r="218" ht="15.75" hidden="1" customHeight="1" outlineLevel="1">
      <c r="A218" s="414"/>
      <c r="B218" s="362"/>
      <c r="C218" s="414"/>
      <c r="D218" s="415"/>
      <c r="E218" s="416"/>
      <c r="F218" s="362"/>
      <c r="G218" s="414"/>
      <c r="H218" s="415"/>
      <c r="I218" s="414"/>
      <c r="J218" s="414"/>
      <c r="K218" s="414"/>
      <c r="L218" s="417"/>
      <c r="M218" s="418"/>
      <c r="N218" s="362"/>
      <c r="O218" s="362"/>
      <c r="P218" s="362"/>
      <c r="Q218" s="362"/>
      <c r="R218" s="362"/>
      <c r="S218" s="362"/>
      <c r="T218" s="362"/>
      <c r="U218" s="362"/>
      <c r="V218" s="362"/>
      <c r="W218" s="362"/>
      <c r="X218" s="362"/>
      <c r="Y218" s="362"/>
      <c r="Z218" s="362"/>
      <c r="AA218" s="362"/>
      <c r="AB218" s="362"/>
      <c r="AC218" s="362"/>
    </row>
    <row r="219" ht="15.75" hidden="1" customHeight="1" outlineLevel="1">
      <c r="A219" s="414"/>
      <c r="B219" s="362"/>
      <c r="C219" s="414"/>
      <c r="D219" s="415"/>
      <c r="E219" s="416"/>
      <c r="F219" s="362"/>
      <c r="G219" s="414"/>
      <c r="H219" s="415"/>
      <c r="I219" s="414"/>
      <c r="J219" s="414"/>
      <c r="K219" s="414"/>
      <c r="L219" s="417"/>
      <c r="M219" s="418"/>
      <c r="N219" s="362"/>
      <c r="O219" s="362"/>
      <c r="P219" s="362"/>
      <c r="Q219" s="362"/>
      <c r="R219" s="362"/>
      <c r="S219" s="362"/>
      <c r="T219" s="362"/>
      <c r="U219" s="362"/>
      <c r="V219" s="362"/>
      <c r="W219" s="362"/>
      <c r="X219" s="362"/>
      <c r="Y219" s="362"/>
      <c r="Z219" s="362"/>
      <c r="AA219" s="362"/>
      <c r="AB219" s="362"/>
      <c r="AC219" s="362"/>
    </row>
    <row r="220" ht="15.75" hidden="1" customHeight="1" outlineLevel="1">
      <c r="A220" s="414"/>
      <c r="B220" s="362"/>
      <c r="C220" s="414"/>
      <c r="D220" s="415"/>
      <c r="E220" s="416"/>
      <c r="F220" s="362"/>
      <c r="G220" s="414"/>
      <c r="H220" s="415"/>
      <c r="I220" s="414"/>
      <c r="J220" s="414"/>
      <c r="K220" s="414"/>
      <c r="L220" s="417"/>
      <c r="M220" s="418"/>
      <c r="N220" s="362"/>
      <c r="O220" s="362"/>
      <c r="P220" s="362"/>
      <c r="Q220" s="362"/>
      <c r="R220" s="362"/>
      <c r="S220" s="362"/>
      <c r="T220" s="362"/>
      <c r="U220" s="362"/>
      <c r="V220" s="362"/>
      <c r="W220" s="362"/>
      <c r="X220" s="362"/>
      <c r="Y220" s="362"/>
      <c r="Z220" s="362"/>
      <c r="AA220" s="362"/>
      <c r="AB220" s="362"/>
      <c r="AC220" s="362"/>
    </row>
    <row r="221" ht="15.75" hidden="1" customHeight="1" outlineLevel="1">
      <c r="A221" s="414"/>
      <c r="B221" s="362"/>
      <c r="C221" s="414"/>
      <c r="D221" s="415"/>
      <c r="E221" s="416"/>
      <c r="F221" s="362"/>
      <c r="G221" s="414"/>
      <c r="H221" s="415"/>
      <c r="I221" s="414"/>
      <c r="J221" s="414"/>
      <c r="K221" s="414"/>
      <c r="L221" s="417"/>
      <c r="M221" s="418"/>
      <c r="N221" s="362"/>
      <c r="O221" s="362"/>
      <c r="P221" s="362"/>
      <c r="Q221" s="362"/>
      <c r="R221" s="362"/>
      <c r="S221" s="362"/>
      <c r="T221" s="362"/>
      <c r="U221" s="362"/>
      <c r="V221" s="362"/>
      <c r="W221" s="362"/>
      <c r="X221" s="362"/>
      <c r="Y221" s="362"/>
      <c r="Z221" s="362"/>
      <c r="AA221" s="362"/>
      <c r="AB221" s="362"/>
      <c r="AC221" s="362"/>
    </row>
    <row r="222" ht="15.75" hidden="1" customHeight="1" outlineLevel="1">
      <c r="A222" s="414"/>
      <c r="B222" s="362"/>
      <c r="C222" s="414"/>
      <c r="D222" s="415"/>
      <c r="E222" s="416"/>
      <c r="F222" s="362"/>
      <c r="G222" s="414"/>
      <c r="H222" s="415"/>
      <c r="I222" s="414"/>
      <c r="J222" s="414"/>
      <c r="K222" s="414"/>
      <c r="L222" s="417"/>
      <c r="M222" s="418"/>
      <c r="N222" s="362"/>
      <c r="O222" s="362"/>
      <c r="P222" s="362"/>
      <c r="Q222" s="362"/>
      <c r="R222" s="362"/>
      <c r="S222" s="362"/>
      <c r="T222" s="362"/>
      <c r="U222" s="362"/>
      <c r="V222" s="362"/>
      <c r="W222" s="362"/>
      <c r="X222" s="362"/>
      <c r="Y222" s="362"/>
      <c r="Z222" s="362"/>
      <c r="AA222" s="362"/>
      <c r="AB222" s="362"/>
      <c r="AC222" s="362"/>
    </row>
    <row r="223" ht="15.75" hidden="1" customHeight="1" outlineLevel="1">
      <c r="A223" s="414"/>
      <c r="B223" s="362"/>
      <c r="C223" s="414"/>
      <c r="D223" s="415"/>
      <c r="E223" s="416"/>
      <c r="F223" s="362"/>
      <c r="G223" s="414"/>
      <c r="H223" s="415"/>
      <c r="I223" s="414"/>
      <c r="J223" s="414"/>
      <c r="K223" s="414"/>
      <c r="L223" s="417"/>
      <c r="M223" s="418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  <c r="Z223" s="362"/>
      <c r="AA223" s="362"/>
      <c r="AB223" s="362"/>
      <c r="AC223" s="362"/>
    </row>
    <row r="224" ht="15.75" hidden="1" customHeight="1" outlineLevel="1">
      <c r="A224" s="414"/>
      <c r="B224" s="362"/>
      <c r="C224" s="414"/>
      <c r="D224" s="415"/>
      <c r="E224" s="416"/>
      <c r="F224" s="362"/>
      <c r="G224" s="414"/>
      <c r="H224" s="415"/>
      <c r="I224" s="414"/>
      <c r="J224" s="414"/>
      <c r="K224" s="414"/>
      <c r="L224" s="417"/>
      <c r="M224" s="418"/>
      <c r="N224" s="362"/>
      <c r="O224" s="362"/>
      <c r="P224" s="362"/>
      <c r="Q224" s="362"/>
      <c r="R224" s="362"/>
      <c r="S224" s="362"/>
      <c r="T224" s="362"/>
      <c r="U224" s="362"/>
      <c r="V224" s="362"/>
      <c r="W224" s="362"/>
      <c r="X224" s="362"/>
      <c r="Y224" s="362"/>
      <c r="Z224" s="362"/>
      <c r="AA224" s="362"/>
      <c r="AB224" s="362"/>
      <c r="AC224" s="362"/>
    </row>
    <row r="225" ht="15.75" hidden="1" customHeight="1" outlineLevel="1">
      <c r="A225" s="414"/>
      <c r="B225" s="362"/>
      <c r="C225" s="414"/>
      <c r="D225" s="415"/>
      <c r="E225" s="416"/>
      <c r="F225" s="362"/>
      <c r="G225" s="414"/>
      <c r="H225" s="415"/>
      <c r="I225" s="414"/>
      <c r="J225" s="414"/>
      <c r="K225" s="414"/>
      <c r="L225" s="417"/>
      <c r="M225" s="418"/>
      <c r="N225" s="362"/>
      <c r="O225" s="362"/>
      <c r="P225" s="362"/>
      <c r="Q225" s="362"/>
      <c r="R225" s="362"/>
      <c r="S225" s="362"/>
      <c r="T225" s="362"/>
      <c r="U225" s="362"/>
      <c r="V225" s="362"/>
      <c r="W225" s="362"/>
      <c r="X225" s="362"/>
      <c r="Y225" s="362"/>
      <c r="Z225" s="362"/>
      <c r="AA225" s="362"/>
      <c r="AB225" s="362"/>
      <c r="AC225" s="362"/>
    </row>
    <row r="226" ht="15.75" hidden="1" customHeight="1" outlineLevel="1">
      <c r="A226" s="414"/>
      <c r="B226" s="362"/>
      <c r="C226" s="414"/>
      <c r="D226" s="415"/>
      <c r="E226" s="416"/>
      <c r="F226" s="362"/>
      <c r="G226" s="414"/>
      <c r="H226" s="415"/>
      <c r="I226" s="414"/>
      <c r="J226" s="414"/>
      <c r="K226" s="414"/>
      <c r="L226" s="417"/>
      <c r="M226" s="418"/>
      <c r="N226" s="362"/>
      <c r="O226" s="362"/>
      <c r="P226" s="362"/>
      <c r="Q226" s="362"/>
      <c r="R226" s="362"/>
      <c r="S226" s="362"/>
      <c r="T226" s="362"/>
      <c r="U226" s="362"/>
      <c r="V226" s="362"/>
      <c r="W226" s="362"/>
      <c r="X226" s="362"/>
      <c r="Y226" s="362"/>
      <c r="Z226" s="362"/>
      <c r="AA226" s="362"/>
      <c r="AB226" s="362"/>
      <c r="AC226" s="362"/>
    </row>
    <row r="227" ht="15.75" hidden="1" customHeight="1" outlineLevel="1">
      <c r="A227" s="414"/>
      <c r="B227" s="362"/>
      <c r="C227" s="414"/>
      <c r="D227" s="415"/>
      <c r="E227" s="416"/>
      <c r="F227" s="362"/>
      <c r="G227" s="414"/>
      <c r="H227" s="415"/>
      <c r="I227" s="414"/>
      <c r="J227" s="414"/>
      <c r="K227" s="414"/>
      <c r="L227" s="417"/>
      <c r="M227" s="418"/>
      <c r="N227" s="362"/>
      <c r="O227" s="362"/>
      <c r="P227" s="362"/>
      <c r="Q227" s="362"/>
      <c r="R227" s="362"/>
      <c r="S227" s="362"/>
      <c r="T227" s="362"/>
      <c r="U227" s="362"/>
      <c r="V227" s="362"/>
      <c r="W227" s="362"/>
      <c r="X227" s="362"/>
      <c r="Y227" s="362"/>
      <c r="Z227" s="362"/>
      <c r="AA227" s="362"/>
      <c r="AB227" s="362"/>
      <c r="AC227" s="362"/>
    </row>
    <row r="228" ht="15.75" hidden="1" customHeight="1" outlineLevel="1">
      <c r="A228" s="414"/>
      <c r="B228" s="362"/>
      <c r="C228" s="414"/>
      <c r="D228" s="415"/>
      <c r="E228" s="416"/>
      <c r="F228" s="362"/>
      <c r="G228" s="414"/>
      <c r="H228" s="415"/>
      <c r="I228" s="414"/>
      <c r="J228" s="414"/>
      <c r="K228" s="414"/>
      <c r="L228" s="417"/>
      <c r="M228" s="418"/>
      <c r="N228" s="362"/>
      <c r="O228" s="362"/>
      <c r="P228" s="362"/>
      <c r="Q228" s="362"/>
      <c r="R228" s="362"/>
      <c r="S228" s="362"/>
      <c r="T228" s="362"/>
      <c r="U228" s="362"/>
      <c r="V228" s="362"/>
      <c r="W228" s="362"/>
      <c r="X228" s="362"/>
      <c r="Y228" s="362"/>
      <c r="Z228" s="362"/>
      <c r="AA228" s="362"/>
      <c r="AB228" s="362"/>
      <c r="AC228" s="362"/>
    </row>
    <row r="229" ht="15.75" hidden="1" customHeight="1" outlineLevel="1">
      <c r="A229" s="414"/>
      <c r="B229" s="362"/>
      <c r="C229" s="414"/>
      <c r="D229" s="415"/>
      <c r="E229" s="416"/>
      <c r="F229" s="362"/>
      <c r="G229" s="414"/>
      <c r="H229" s="415"/>
      <c r="I229" s="414"/>
      <c r="J229" s="414"/>
      <c r="K229" s="414"/>
      <c r="L229" s="417"/>
      <c r="M229" s="418"/>
      <c r="N229" s="362"/>
      <c r="O229" s="362"/>
      <c r="P229" s="362"/>
      <c r="Q229" s="362"/>
      <c r="R229" s="362"/>
      <c r="S229" s="362"/>
      <c r="T229" s="362"/>
      <c r="U229" s="362"/>
      <c r="V229" s="362"/>
      <c r="W229" s="362"/>
      <c r="X229" s="362"/>
      <c r="Y229" s="362"/>
      <c r="Z229" s="362"/>
      <c r="AA229" s="362"/>
      <c r="AB229" s="362"/>
      <c r="AC229" s="362"/>
    </row>
    <row r="230" ht="15.75" hidden="1" customHeight="1" outlineLevel="1">
      <c r="A230" s="414"/>
      <c r="B230" s="362"/>
      <c r="C230" s="414"/>
      <c r="D230" s="415"/>
      <c r="E230" s="416"/>
      <c r="F230" s="362"/>
      <c r="G230" s="414"/>
      <c r="H230" s="415"/>
      <c r="I230" s="414"/>
      <c r="J230" s="414"/>
      <c r="K230" s="414"/>
      <c r="L230" s="417"/>
      <c r="M230" s="418"/>
      <c r="N230" s="362"/>
      <c r="O230" s="362"/>
      <c r="P230" s="362"/>
      <c r="Q230" s="362"/>
      <c r="R230" s="362"/>
      <c r="S230" s="362"/>
      <c r="T230" s="362"/>
      <c r="U230" s="362"/>
      <c r="V230" s="362"/>
      <c r="W230" s="362"/>
      <c r="X230" s="362"/>
      <c r="Y230" s="362"/>
      <c r="Z230" s="362"/>
      <c r="AA230" s="362"/>
      <c r="AB230" s="362"/>
      <c r="AC230" s="362"/>
    </row>
    <row r="231" ht="15.75" hidden="1" customHeight="1" outlineLevel="1">
      <c r="A231" s="414"/>
      <c r="B231" s="362"/>
      <c r="C231" s="414"/>
      <c r="D231" s="415"/>
      <c r="E231" s="416"/>
      <c r="F231" s="362"/>
      <c r="G231" s="414"/>
      <c r="H231" s="415"/>
      <c r="I231" s="414"/>
      <c r="J231" s="414"/>
      <c r="K231" s="414"/>
      <c r="L231" s="417"/>
      <c r="M231" s="418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  <c r="Z231" s="362"/>
      <c r="AA231" s="362"/>
      <c r="AB231" s="362"/>
      <c r="AC231" s="362"/>
    </row>
    <row r="232" ht="15.75" hidden="1" customHeight="1" outlineLevel="1">
      <c r="A232" s="414"/>
      <c r="B232" s="362"/>
      <c r="C232" s="414"/>
      <c r="D232" s="415"/>
      <c r="E232" s="416"/>
      <c r="F232" s="362"/>
      <c r="G232" s="414"/>
      <c r="H232" s="415"/>
      <c r="I232" s="414"/>
      <c r="J232" s="414"/>
      <c r="K232" s="414"/>
      <c r="L232" s="417"/>
      <c r="M232" s="418"/>
      <c r="N232" s="362"/>
      <c r="O232" s="362"/>
      <c r="P232" s="362"/>
      <c r="Q232" s="362"/>
      <c r="R232" s="362"/>
      <c r="S232" s="362"/>
      <c r="T232" s="362"/>
      <c r="U232" s="362"/>
      <c r="V232" s="362"/>
      <c r="W232" s="362"/>
      <c r="X232" s="362"/>
      <c r="Y232" s="362"/>
      <c r="Z232" s="362"/>
      <c r="AA232" s="362"/>
      <c r="AB232" s="362"/>
      <c r="AC232" s="362"/>
    </row>
    <row r="233" ht="15.75" hidden="1" customHeight="1" outlineLevel="1">
      <c r="A233" s="414"/>
      <c r="B233" s="362"/>
      <c r="C233" s="414"/>
      <c r="D233" s="415"/>
      <c r="E233" s="416"/>
      <c r="F233" s="362"/>
      <c r="G233" s="414"/>
      <c r="H233" s="415"/>
      <c r="I233" s="414"/>
      <c r="J233" s="414"/>
      <c r="K233" s="414"/>
      <c r="L233" s="417"/>
      <c r="M233" s="418"/>
      <c r="N233" s="362"/>
      <c r="O233" s="362"/>
      <c r="P233" s="362"/>
      <c r="Q233" s="362"/>
      <c r="R233" s="362"/>
      <c r="S233" s="362"/>
      <c r="T233" s="362"/>
      <c r="U233" s="362"/>
      <c r="V233" s="362"/>
      <c r="W233" s="362"/>
      <c r="X233" s="362"/>
      <c r="Y233" s="362"/>
      <c r="Z233" s="362"/>
      <c r="AA233" s="362"/>
      <c r="AB233" s="362"/>
      <c r="AC233" s="362"/>
    </row>
    <row r="234" ht="15.75" hidden="1" customHeight="1" outlineLevel="1">
      <c r="A234" s="414"/>
      <c r="B234" s="362"/>
      <c r="C234" s="414"/>
      <c r="D234" s="415"/>
      <c r="E234" s="416"/>
      <c r="F234" s="362"/>
      <c r="G234" s="414"/>
      <c r="H234" s="415"/>
      <c r="I234" s="414"/>
      <c r="J234" s="414"/>
      <c r="K234" s="414"/>
      <c r="L234" s="417"/>
      <c r="M234" s="418"/>
      <c r="N234" s="362"/>
      <c r="O234" s="362"/>
      <c r="P234" s="362"/>
      <c r="Q234" s="362"/>
      <c r="R234" s="362"/>
      <c r="S234" s="362"/>
      <c r="T234" s="362"/>
      <c r="U234" s="362"/>
      <c r="V234" s="362"/>
      <c r="W234" s="362"/>
      <c r="X234" s="362"/>
      <c r="Y234" s="362"/>
      <c r="Z234" s="362"/>
      <c r="AA234" s="362"/>
      <c r="AB234" s="362"/>
      <c r="AC234" s="362"/>
    </row>
    <row r="235" ht="15.75" hidden="1" customHeight="1" outlineLevel="1">
      <c r="A235" s="414"/>
      <c r="B235" s="362"/>
      <c r="C235" s="414"/>
      <c r="D235" s="415"/>
      <c r="E235" s="416"/>
      <c r="F235" s="362"/>
      <c r="G235" s="414"/>
      <c r="H235" s="415"/>
      <c r="I235" s="414"/>
      <c r="J235" s="414"/>
      <c r="K235" s="414"/>
      <c r="L235" s="417"/>
      <c r="M235" s="418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  <c r="Z235" s="362"/>
      <c r="AA235" s="362"/>
      <c r="AB235" s="362"/>
      <c r="AC235" s="362"/>
    </row>
    <row r="236" ht="15.75" hidden="1" customHeight="1" outlineLevel="1">
      <c r="A236" s="414"/>
      <c r="B236" s="362"/>
      <c r="C236" s="414"/>
      <c r="D236" s="415"/>
      <c r="E236" s="416"/>
      <c r="F236" s="362"/>
      <c r="G236" s="414"/>
      <c r="H236" s="415"/>
      <c r="I236" s="414"/>
      <c r="J236" s="414"/>
      <c r="K236" s="414"/>
      <c r="L236" s="417"/>
      <c r="M236" s="418"/>
      <c r="N236" s="362"/>
      <c r="O236" s="362"/>
      <c r="P236" s="362"/>
      <c r="Q236" s="362"/>
      <c r="R236" s="362"/>
      <c r="S236" s="362"/>
      <c r="T236" s="362"/>
      <c r="U236" s="362"/>
      <c r="V236" s="362"/>
      <c r="W236" s="362"/>
      <c r="X236" s="362"/>
      <c r="Y236" s="362"/>
      <c r="Z236" s="362"/>
      <c r="AA236" s="362"/>
      <c r="AB236" s="362"/>
      <c r="AC236" s="362"/>
    </row>
    <row r="237" ht="15.75" hidden="1" customHeight="1" outlineLevel="1">
      <c r="A237" s="414"/>
      <c r="B237" s="362"/>
      <c r="C237" s="414"/>
      <c r="D237" s="415"/>
      <c r="E237" s="416"/>
      <c r="F237" s="362"/>
      <c r="G237" s="414"/>
      <c r="H237" s="415"/>
      <c r="I237" s="414"/>
      <c r="J237" s="414"/>
      <c r="K237" s="414"/>
      <c r="L237" s="417"/>
      <c r="M237" s="418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  <c r="Z237" s="362"/>
      <c r="AA237" s="362"/>
      <c r="AB237" s="362"/>
      <c r="AC237" s="362"/>
    </row>
    <row r="238" ht="15.75" hidden="1" customHeight="1" outlineLevel="1">
      <c r="A238" s="414"/>
      <c r="B238" s="362"/>
      <c r="C238" s="414"/>
      <c r="D238" s="415"/>
      <c r="E238" s="416"/>
      <c r="F238" s="362"/>
      <c r="G238" s="414"/>
      <c r="H238" s="415"/>
      <c r="I238" s="414"/>
      <c r="J238" s="414"/>
      <c r="K238" s="414"/>
      <c r="L238" s="417"/>
      <c r="M238" s="418"/>
      <c r="N238" s="362"/>
      <c r="O238" s="362"/>
      <c r="P238" s="362"/>
      <c r="Q238" s="362"/>
      <c r="R238" s="362"/>
      <c r="S238" s="362"/>
      <c r="T238" s="362"/>
      <c r="U238" s="362"/>
      <c r="V238" s="362"/>
      <c r="W238" s="362"/>
      <c r="X238" s="362"/>
      <c r="Y238" s="362"/>
      <c r="Z238" s="362"/>
      <c r="AA238" s="362"/>
      <c r="AB238" s="362"/>
      <c r="AC238" s="362"/>
    </row>
    <row r="239" ht="15.75" hidden="1" customHeight="1" outlineLevel="1">
      <c r="A239" s="414"/>
      <c r="B239" s="362"/>
      <c r="C239" s="414"/>
      <c r="D239" s="415"/>
      <c r="E239" s="416"/>
      <c r="F239" s="362"/>
      <c r="G239" s="414"/>
      <c r="H239" s="415"/>
      <c r="I239" s="414"/>
      <c r="J239" s="414"/>
      <c r="K239" s="414"/>
      <c r="L239" s="417"/>
      <c r="M239" s="418"/>
      <c r="N239" s="362"/>
      <c r="O239" s="362"/>
      <c r="P239" s="362"/>
      <c r="Q239" s="362"/>
      <c r="R239" s="362"/>
      <c r="S239" s="362"/>
      <c r="T239" s="362"/>
      <c r="U239" s="362"/>
      <c r="V239" s="362"/>
      <c r="W239" s="362"/>
      <c r="X239" s="362"/>
      <c r="Y239" s="362"/>
      <c r="Z239" s="362"/>
      <c r="AA239" s="362"/>
      <c r="AB239" s="362"/>
      <c r="AC239" s="362"/>
    </row>
    <row r="240" ht="15.75" hidden="1" customHeight="1" outlineLevel="1">
      <c r="A240" s="414"/>
      <c r="B240" s="362"/>
      <c r="C240" s="414"/>
      <c r="D240" s="415"/>
      <c r="E240" s="416"/>
      <c r="F240" s="362"/>
      <c r="G240" s="414"/>
      <c r="H240" s="415"/>
      <c r="I240" s="414"/>
      <c r="J240" s="414"/>
      <c r="K240" s="414"/>
      <c r="L240" s="417"/>
      <c r="M240" s="418"/>
      <c r="N240" s="362"/>
      <c r="O240" s="362"/>
      <c r="P240" s="362"/>
      <c r="Q240" s="362"/>
      <c r="R240" s="362"/>
      <c r="S240" s="362"/>
      <c r="T240" s="362"/>
      <c r="U240" s="362"/>
      <c r="V240" s="362"/>
      <c r="W240" s="362"/>
      <c r="X240" s="362"/>
      <c r="Y240" s="362"/>
      <c r="Z240" s="362"/>
      <c r="AA240" s="362"/>
      <c r="AB240" s="362"/>
      <c r="AC240" s="362"/>
    </row>
    <row r="241" ht="15.75" hidden="1" customHeight="1" outlineLevel="1">
      <c r="A241" s="414"/>
      <c r="B241" s="362"/>
      <c r="C241" s="414"/>
      <c r="D241" s="415"/>
      <c r="E241" s="416"/>
      <c r="F241" s="362"/>
      <c r="G241" s="414"/>
      <c r="H241" s="415"/>
      <c r="I241" s="414"/>
      <c r="J241" s="414"/>
      <c r="K241" s="414"/>
      <c r="L241" s="417"/>
      <c r="M241" s="418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  <c r="AA241" s="362"/>
      <c r="AB241" s="362"/>
      <c r="AC241" s="362"/>
    </row>
    <row r="242" ht="15.75" hidden="1" customHeight="1" outlineLevel="1">
      <c r="A242" s="414"/>
      <c r="B242" s="362"/>
      <c r="C242" s="414"/>
      <c r="D242" s="415"/>
      <c r="E242" s="416"/>
      <c r="F242" s="362"/>
      <c r="G242" s="414"/>
      <c r="H242" s="415"/>
      <c r="I242" s="414"/>
      <c r="J242" s="414"/>
      <c r="K242" s="414"/>
      <c r="L242" s="417"/>
      <c r="M242" s="418"/>
      <c r="N242" s="362"/>
      <c r="O242" s="362"/>
      <c r="P242" s="362"/>
      <c r="Q242" s="362"/>
      <c r="R242" s="362"/>
      <c r="S242" s="362"/>
      <c r="T242" s="362"/>
      <c r="U242" s="362"/>
      <c r="V242" s="362"/>
      <c r="W242" s="362"/>
      <c r="X242" s="362"/>
      <c r="Y242" s="362"/>
      <c r="Z242" s="362"/>
      <c r="AA242" s="362"/>
      <c r="AB242" s="362"/>
      <c r="AC242" s="362"/>
    </row>
    <row r="243" ht="15.75" hidden="1" customHeight="1" outlineLevel="1">
      <c r="A243" s="414"/>
      <c r="B243" s="362"/>
      <c r="C243" s="414"/>
      <c r="D243" s="415"/>
      <c r="E243" s="416"/>
      <c r="F243" s="362"/>
      <c r="G243" s="414"/>
      <c r="H243" s="415"/>
      <c r="I243" s="414"/>
      <c r="J243" s="414"/>
      <c r="K243" s="414"/>
      <c r="L243" s="417"/>
      <c r="M243" s="418"/>
      <c r="N243" s="362"/>
      <c r="O243" s="362"/>
      <c r="P243" s="362"/>
      <c r="Q243" s="362"/>
      <c r="R243" s="362"/>
      <c r="S243" s="362"/>
      <c r="T243" s="362"/>
      <c r="U243" s="362"/>
      <c r="V243" s="362"/>
      <c r="W243" s="362"/>
      <c r="X243" s="362"/>
      <c r="Y243" s="362"/>
      <c r="Z243" s="362"/>
      <c r="AA243" s="362"/>
      <c r="AB243" s="362"/>
      <c r="AC243" s="362"/>
    </row>
    <row r="244" ht="15.75" hidden="1" customHeight="1" outlineLevel="1">
      <c r="A244" s="414"/>
      <c r="B244" s="362"/>
      <c r="C244" s="414"/>
      <c r="D244" s="415"/>
      <c r="E244" s="416"/>
      <c r="F244" s="362"/>
      <c r="G244" s="414"/>
      <c r="H244" s="415"/>
      <c r="I244" s="414"/>
      <c r="J244" s="414"/>
      <c r="K244" s="414"/>
      <c r="L244" s="417"/>
      <c r="M244" s="418"/>
      <c r="N244" s="362"/>
      <c r="O244" s="362"/>
      <c r="P244" s="362"/>
      <c r="Q244" s="362"/>
      <c r="R244" s="362"/>
      <c r="S244" s="362"/>
      <c r="T244" s="362"/>
      <c r="U244" s="362"/>
      <c r="V244" s="362"/>
      <c r="W244" s="362"/>
      <c r="X244" s="362"/>
      <c r="Y244" s="362"/>
      <c r="Z244" s="362"/>
      <c r="AA244" s="362"/>
      <c r="AB244" s="362"/>
      <c r="AC244" s="362"/>
    </row>
    <row r="245" ht="15.75" hidden="1" customHeight="1" outlineLevel="1">
      <c r="A245" s="414"/>
      <c r="B245" s="362"/>
      <c r="C245" s="414"/>
      <c r="D245" s="415"/>
      <c r="E245" s="416"/>
      <c r="F245" s="362"/>
      <c r="G245" s="414"/>
      <c r="H245" s="415"/>
      <c r="I245" s="414"/>
      <c r="J245" s="414"/>
      <c r="K245" s="414"/>
      <c r="L245" s="417"/>
      <c r="M245" s="418"/>
      <c r="N245" s="362"/>
      <c r="O245" s="362"/>
      <c r="P245" s="362"/>
      <c r="Q245" s="362"/>
      <c r="R245" s="362"/>
      <c r="S245" s="362"/>
      <c r="T245" s="362"/>
      <c r="U245" s="362"/>
      <c r="V245" s="362"/>
      <c r="W245" s="362"/>
      <c r="X245" s="362"/>
      <c r="Y245" s="362"/>
      <c r="Z245" s="362"/>
      <c r="AA245" s="362"/>
      <c r="AB245" s="362"/>
      <c r="AC245" s="362"/>
    </row>
    <row r="246" ht="15.75" hidden="1" customHeight="1" outlineLevel="1">
      <c r="A246" s="414"/>
      <c r="B246" s="362"/>
      <c r="C246" s="414"/>
      <c r="D246" s="415"/>
      <c r="E246" s="416"/>
      <c r="F246" s="362"/>
      <c r="G246" s="414"/>
      <c r="H246" s="415"/>
      <c r="I246" s="414"/>
      <c r="J246" s="414"/>
      <c r="K246" s="414"/>
      <c r="L246" s="417"/>
      <c r="M246" s="418"/>
      <c r="N246" s="362"/>
      <c r="O246" s="362"/>
      <c r="P246" s="362"/>
      <c r="Q246" s="362"/>
      <c r="R246" s="362"/>
      <c r="S246" s="362"/>
      <c r="T246" s="362"/>
      <c r="U246" s="362"/>
      <c r="V246" s="362"/>
      <c r="W246" s="362"/>
      <c r="X246" s="362"/>
      <c r="Y246" s="362"/>
      <c r="Z246" s="362"/>
      <c r="AA246" s="362"/>
      <c r="AB246" s="362"/>
      <c r="AC246" s="362"/>
    </row>
    <row r="247" ht="15.75" hidden="1" customHeight="1" outlineLevel="1">
      <c r="A247" s="414"/>
      <c r="B247" s="362"/>
      <c r="C247" s="414"/>
      <c r="D247" s="415"/>
      <c r="E247" s="416"/>
      <c r="F247" s="362"/>
      <c r="G247" s="414"/>
      <c r="H247" s="415"/>
      <c r="I247" s="414"/>
      <c r="J247" s="414"/>
      <c r="K247" s="414"/>
      <c r="L247" s="417"/>
      <c r="M247" s="418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  <c r="AA247" s="362"/>
      <c r="AB247" s="362"/>
      <c r="AC247" s="362"/>
    </row>
    <row r="248" ht="15.75" hidden="1" customHeight="1" outlineLevel="1">
      <c r="A248" s="414"/>
      <c r="B248" s="362"/>
      <c r="C248" s="414"/>
      <c r="D248" s="415"/>
      <c r="E248" s="416"/>
      <c r="F248" s="362"/>
      <c r="G248" s="414"/>
      <c r="H248" s="415"/>
      <c r="I248" s="414"/>
      <c r="J248" s="414"/>
      <c r="K248" s="414"/>
      <c r="L248" s="417"/>
      <c r="M248" s="418"/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  <c r="Z248" s="362"/>
      <c r="AA248" s="362"/>
      <c r="AB248" s="362"/>
      <c r="AC248" s="362"/>
    </row>
    <row r="249" ht="15.75" hidden="1" customHeight="1" outlineLevel="1">
      <c r="A249" s="414"/>
      <c r="B249" s="362"/>
      <c r="C249" s="414"/>
      <c r="D249" s="415"/>
      <c r="E249" s="416"/>
      <c r="F249" s="362"/>
      <c r="G249" s="414"/>
      <c r="H249" s="415"/>
      <c r="I249" s="414"/>
      <c r="J249" s="414"/>
      <c r="K249" s="414"/>
      <c r="L249" s="417"/>
      <c r="M249" s="418"/>
      <c r="N249" s="362"/>
      <c r="O249" s="362"/>
      <c r="P249" s="362"/>
      <c r="Q249" s="362"/>
      <c r="R249" s="362"/>
      <c r="S249" s="362"/>
      <c r="T249" s="362"/>
      <c r="U249" s="362"/>
      <c r="V249" s="362"/>
      <c r="W249" s="362"/>
      <c r="X249" s="362"/>
      <c r="Y249" s="362"/>
      <c r="Z249" s="362"/>
      <c r="AA249" s="362"/>
      <c r="AB249" s="362"/>
      <c r="AC249" s="362"/>
    </row>
    <row r="250" ht="15.75" hidden="1" customHeight="1" outlineLevel="1">
      <c r="A250" s="414"/>
      <c r="B250" s="362"/>
      <c r="C250" s="414"/>
      <c r="D250" s="415"/>
      <c r="E250" s="416"/>
      <c r="F250" s="362"/>
      <c r="G250" s="414"/>
      <c r="H250" s="415"/>
      <c r="I250" s="414"/>
      <c r="J250" s="414"/>
      <c r="K250" s="414"/>
      <c r="L250" s="417"/>
      <c r="M250" s="418"/>
      <c r="N250" s="362"/>
      <c r="O250" s="362"/>
      <c r="P250" s="362"/>
      <c r="Q250" s="362"/>
      <c r="R250" s="362"/>
      <c r="S250" s="362"/>
      <c r="T250" s="362"/>
      <c r="U250" s="362"/>
      <c r="V250" s="362"/>
      <c r="W250" s="362"/>
      <c r="X250" s="362"/>
      <c r="Y250" s="362"/>
      <c r="Z250" s="362"/>
      <c r="AA250" s="362"/>
      <c r="AB250" s="362"/>
      <c r="AC250" s="362"/>
    </row>
    <row r="251" ht="15.75" hidden="1" customHeight="1" outlineLevel="1">
      <c r="A251" s="414"/>
      <c r="B251" s="362"/>
      <c r="C251" s="414"/>
      <c r="D251" s="415"/>
      <c r="E251" s="416"/>
      <c r="F251" s="362"/>
      <c r="G251" s="414"/>
      <c r="H251" s="415"/>
      <c r="I251" s="414"/>
      <c r="J251" s="414"/>
      <c r="K251" s="414"/>
      <c r="L251" s="417"/>
      <c r="M251" s="418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62"/>
      <c r="Z251" s="362"/>
      <c r="AA251" s="362"/>
      <c r="AB251" s="362"/>
      <c r="AC251" s="362"/>
    </row>
    <row r="252" ht="15.75" hidden="1" customHeight="1" outlineLevel="1">
      <c r="A252" s="414"/>
      <c r="B252" s="362"/>
      <c r="C252" s="414"/>
      <c r="D252" s="415"/>
      <c r="E252" s="416"/>
      <c r="F252" s="362"/>
      <c r="G252" s="414"/>
      <c r="H252" s="415"/>
      <c r="I252" s="414"/>
      <c r="J252" s="414"/>
      <c r="K252" s="414"/>
      <c r="L252" s="417"/>
      <c r="M252" s="418"/>
      <c r="N252" s="362"/>
      <c r="O252" s="362"/>
      <c r="P252" s="362"/>
      <c r="Q252" s="362"/>
      <c r="R252" s="362"/>
      <c r="S252" s="362"/>
      <c r="T252" s="362"/>
      <c r="U252" s="362"/>
      <c r="V252" s="362"/>
      <c r="W252" s="362"/>
      <c r="X252" s="362"/>
      <c r="Y252" s="362"/>
      <c r="Z252" s="362"/>
      <c r="AA252" s="362"/>
      <c r="AB252" s="362"/>
      <c r="AC252" s="362"/>
    </row>
    <row r="253" ht="15.75" hidden="1" customHeight="1" outlineLevel="1">
      <c r="A253" s="414"/>
      <c r="B253" s="362"/>
      <c r="C253" s="414"/>
      <c r="D253" s="415"/>
      <c r="E253" s="416"/>
      <c r="F253" s="362"/>
      <c r="G253" s="414"/>
      <c r="H253" s="415"/>
      <c r="I253" s="414"/>
      <c r="J253" s="414"/>
      <c r="K253" s="414"/>
      <c r="L253" s="417"/>
      <c r="M253" s="418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62"/>
      <c r="Z253" s="362"/>
      <c r="AA253" s="362"/>
      <c r="AB253" s="362"/>
      <c r="AC253" s="362"/>
    </row>
    <row r="254" ht="15.75" hidden="1" customHeight="1" outlineLevel="1">
      <c r="A254" s="414"/>
      <c r="B254" s="362"/>
      <c r="C254" s="414"/>
      <c r="D254" s="415"/>
      <c r="E254" s="416"/>
      <c r="F254" s="362"/>
      <c r="G254" s="414"/>
      <c r="H254" s="415"/>
      <c r="I254" s="414"/>
      <c r="J254" s="414"/>
      <c r="K254" s="414"/>
      <c r="L254" s="417"/>
      <c r="M254" s="418"/>
      <c r="N254" s="362"/>
      <c r="O254" s="362"/>
      <c r="P254" s="362"/>
      <c r="Q254" s="362"/>
      <c r="R254" s="362"/>
      <c r="S254" s="362"/>
      <c r="T254" s="362"/>
      <c r="U254" s="362"/>
      <c r="V254" s="362"/>
      <c r="W254" s="362"/>
      <c r="X254" s="362"/>
      <c r="Y254" s="362"/>
      <c r="Z254" s="362"/>
      <c r="AA254" s="362"/>
      <c r="AB254" s="362"/>
      <c r="AC254" s="362"/>
    </row>
    <row r="255" ht="15.75" hidden="1" customHeight="1" outlineLevel="1">
      <c r="A255" s="414"/>
      <c r="B255" s="362"/>
      <c r="C255" s="414"/>
      <c r="D255" s="415"/>
      <c r="E255" s="416"/>
      <c r="F255" s="362"/>
      <c r="G255" s="414"/>
      <c r="H255" s="415"/>
      <c r="I255" s="414"/>
      <c r="J255" s="414"/>
      <c r="K255" s="414"/>
      <c r="L255" s="417"/>
      <c r="M255" s="418"/>
      <c r="N255" s="362"/>
      <c r="O255" s="362"/>
      <c r="P255" s="362"/>
      <c r="Q255" s="362"/>
      <c r="R255" s="362"/>
      <c r="S255" s="362"/>
      <c r="T255" s="362"/>
      <c r="U255" s="362"/>
      <c r="V255" s="362"/>
      <c r="W255" s="362"/>
      <c r="X255" s="362"/>
      <c r="Y255" s="362"/>
      <c r="Z255" s="362"/>
      <c r="AA255" s="362"/>
      <c r="AB255" s="362"/>
      <c r="AC255" s="362"/>
    </row>
    <row r="256" ht="15.75" hidden="1" customHeight="1" outlineLevel="1">
      <c r="A256" s="414"/>
      <c r="B256" s="362"/>
      <c r="C256" s="414"/>
      <c r="D256" s="415"/>
      <c r="E256" s="416"/>
      <c r="F256" s="362"/>
      <c r="G256" s="414"/>
      <c r="H256" s="415"/>
      <c r="I256" s="414"/>
      <c r="J256" s="414"/>
      <c r="K256" s="414"/>
      <c r="L256" s="417"/>
      <c r="M256" s="418"/>
      <c r="N256" s="362"/>
      <c r="O256" s="362"/>
      <c r="P256" s="362"/>
      <c r="Q256" s="362"/>
      <c r="R256" s="362"/>
      <c r="S256" s="362"/>
      <c r="T256" s="362"/>
      <c r="U256" s="362"/>
      <c r="V256" s="362"/>
      <c r="W256" s="362"/>
      <c r="X256" s="362"/>
      <c r="Y256" s="362"/>
      <c r="Z256" s="362"/>
      <c r="AA256" s="362"/>
      <c r="AB256" s="362"/>
      <c r="AC256" s="362"/>
    </row>
    <row r="257" ht="15.75" hidden="1" customHeight="1" outlineLevel="1">
      <c r="A257" s="414"/>
      <c r="B257" s="362"/>
      <c r="C257" s="414"/>
      <c r="D257" s="415"/>
      <c r="E257" s="416"/>
      <c r="F257" s="362"/>
      <c r="G257" s="414"/>
      <c r="H257" s="415"/>
      <c r="I257" s="414"/>
      <c r="J257" s="414"/>
      <c r="K257" s="414"/>
      <c r="L257" s="417"/>
      <c r="M257" s="418"/>
      <c r="N257" s="362"/>
      <c r="O257" s="362"/>
      <c r="P257" s="362"/>
      <c r="Q257" s="362"/>
      <c r="R257" s="362"/>
      <c r="S257" s="362"/>
      <c r="T257" s="362"/>
      <c r="U257" s="362"/>
      <c r="V257" s="362"/>
      <c r="W257" s="362"/>
      <c r="X257" s="362"/>
      <c r="Y257" s="362"/>
      <c r="Z257" s="362"/>
      <c r="AA257" s="362"/>
      <c r="AB257" s="362"/>
      <c r="AC257" s="362"/>
    </row>
    <row r="258" ht="15.75" hidden="1" customHeight="1" outlineLevel="1">
      <c r="A258" s="414"/>
      <c r="B258" s="362"/>
      <c r="C258" s="414"/>
      <c r="D258" s="415"/>
      <c r="E258" s="416"/>
      <c r="F258" s="362"/>
      <c r="G258" s="414"/>
      <c r="H258" s="415"/>
      <c r="I258" s="414"/>
      <c r="J258" s="414"/>
      <c r="K258" s="414"/>
      <c r="L258" s="417"/>
      <c r="M258" s="418"/>
      <c r="N258" s="362"/>
      <c r="O258" s="362"/>
      <c r="P258" s="362"/>
      <c r="Q258" s="362"/>
      <c r="R258" s="362"/>
      <c r="S258" s="362"/>
      <c r="T258" s="362"/>
      <c r="U258" s="362"/>
      <c r="V258" s="362"/>
      <c r="W258" s="362"/>
      <c r="X258" s="362"/>
      <c r="Y258" s="362"/>
      <c r="Z258" s="362"/>
      <c r="AA258" s="362"/>
      <c r="AB258" s="362"/>
      <c r="AC258" s="362"/>
    </row>
    <row r="259" ht="15.75" hidden="1" customHeight="1" outlineLevel="1">
      <c r="A259" s="414"/>
      <c r="B259" s="362"/>
      <c r="C259" s="414"/>
      <c r="D259" s="415"/>
      <c r="E259" s="416"/>
      <c r="F259" s="362"/>
      <c r="G259" s="414"/>
      <c r="H259" s="415"/>
      <c r="I259" s="414"/>
      <c r="J259" s="414"/>
      <c r="K259" s="414"/>
      <c r="L259" s="417"/>
      <c r="M259" s="418"/>
      <c r="N259" s="362"/>
      <c r="O259" s="362"/>
      <c r="P259" s="362"/>
      <c r="Q259" s="362"/>
      <c r="R259" s="362"/>
      <c r="S259" s="362"/>
      <c r="T259" s="362"/>
      <c r="U259" s="362"/>
      <c r="V259" s="362"/>
      <c r="W259" s="362"/>
      <c r="X259" s="362"/>
      <c r="Y259" s="362"/>
      <c r="Z259" s="362"/>
      <c r="AA259" s="362"/>
      <c r="AB259" s="362"/>
      <c r="AC259" s="362"/>
    </row>
    <row r="260" ht="15.75" hidden="1" customHeight="1" outlineLevel="1">
      <c r="A260" s="414"/>
      <c r="B260" s="362"/>
      <c r="C260" s="414"/>
      <c r="D260" s="415"/>
      <c r="E260" s="416"/>
      <c r="F260" s="362"/>
      <c r="G260" s="414"/>
      <c r="H260" s="415"/>
      <c r="I260" s="414"/>
      <c r="J260" s="414"/>
      <c r="K260" s="414"/>
      <c r="L260" s="417"/>
      <c r="M260" s="418"/>
      <c r="N260" s="362"/>
      <c r="O260" s="362"/>
      <c r="P260" s="362"/>
      <c r="Q260" s="362"/>
      <c r="R260" s="362"/>
      <c r="S260" s="362"/>
      <c r="T260" s="362"/>
      <c r="U260" s="362"/>
      <c r="V260" s="362"/>
      <c r="W260" s="362"/>
      <c r="X260" s="362"/>
      <c r="Y260" s="362"/>
      <c r="Z260" s="362"/>
      <c r="AA260" s="362"/>
      <c r="AB260" s="362"/>
      <c r="AC260" s="362"/>
    </row>
    <row r="261" ht="15.75" hidden="1" customHeight="1" outlineLevel="1">
      <c r="A261" s="414"/>
      <c r="B261" s="362"/>
      <c r="C261" s="414"/>
      <c r="D261" s="415"/>
      <c r="E261" s="416"/>
      <c r="F261" s="362"/>
      <c r="G261" s="414"/>
      <c r="H261" s="415"/>
      <c r="I261" s="414"/>
      <c r="J261" s="414"/>
      <c r="K261" s="414"/>
      <c r="L261" s="417"/>
      <c r="M261" s="418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62"/>
      <c r="Z261" s="362"/>
      <c r="AA261" s="362"/>
      <c r="AB261" s="362"/>
      <c r="AC261" s="362"/>
    </row>
    <row r="262" ht="15.75" hidden="1" customHeight="1" outlineLevel="1">
      <c r="A262" s="414"/>
      <c r="B262" s="362"/>
      <c r="C262" s="414"/>
      <c r="D262" s="415"/>
      <c r="E262" s="416"/>
      <c r="F262" s="362"/>
      <c r="G262" s="414"/>
      <c r="H262" s="415"/>
      <c r="I262" s="414"/>
      <c r="J262" s="414"/>
      <c r="K262" s="414"/>
      <c r="L262" s="417"/>
      <c r="M262" s="418"/>
      <c r="N262" s="362"/>
      <c r="O262" s="362"/>
      <c r="P262" s="362"/>
      <c r="Q262" s="362"/>
      <c r="R262" s="362"/>
      <c r="S262" s="362"/>
      <c r="T262" s="362"/>
      <c r="U262" s="362"/>
      <c r="V262" s="362"/>
      <c r="W262" s="362"/>
      <c r="X262" s="362"/>
      <c r="Y262" s="362"/>
      <c r="Z262" s="362"/>
      <c r="AA262" s="362"/>
      <c r="AB262" s="362"/>
      <c r="AC262" s="362"/>
    </row>
    <row r="263" ht="15.75" hidden="1" customHeight="1" outlineLevel="1">
      <c r="A263" s="414"/>
      <c r="B263" s="362"/>
      <c r="C263" s="414"/>
      <c r="D263" s="415"/>
      <c r="E263" s="416"/>
      <c r="F263" s="362"/>
      <c r="G263" s="414"/>
      <c r="H263" s="415"/>
      <c r="I263" s="414"/>
      <c r="J263" s="414"/>
      <c r="K263" s="414"/>
      <c r="L263" s="417"/>
      <c r="M263" s="418"/>
      <c r="N263" s="362"/>
      <c r="O263" s="362"/>
      <c r="P263" s="362"/>
      <c r="Q263" s="362"/>
      <c r="R263" s="362"/>
      <c r="S263" s="362"/>
      <c r="T263" s="362"/>
      <c r="U263" s="362"/>
      <c r="V263" s="362"/>
      <c r="W263" s="362"/>
      <c r="X263" s="362"/>
      <c r="Y263" s="362"/>
      <c r="Z263" s="362"/>
      <c r="AA263" s="362"/>
      <c r="AB263" s="362"/>
      <c r="AC263" s="362"/>
    </row>
    <row r="264" ht="15.75" hidden="1" customHeight="1" outlineLevel="1">
      <c r="A264" s="414"/>
      <c r="B264" s="362"/>
      <c r="C264" s="414"/>
      <c r="D264" s="415"/>
      <c r="E264" s="416"/>
      <c r="F264" s="362"/>
      <c r="G264" s="414"/>
      <c r="H264" s="415"/>
      <c r="I264" s="414"/>
      <c r="J264" s="414"/>
      <c r="K264" s="414"/>
      <c r="L264" s="417"/>
      <c r="M264" s="418"/>
      <c r="N264" s="362"/>
      <c r="O264" s="362"/>
      <c r="P264" s="362"/>
      <c r="Q264" s="362"/>
      <c r="R264" s="362"/>
      <c r="S264" s="362"/>
      <c r="T264" s="362"/>
      <c r="U264" s="362"/>
      <c r="V264" s="362"/>
      <c r="W264" s="362"/>
      <c r="X264" s="362"/>
      <c r="Y264" s="362"/>
      <c r="Z264" s="362"/>
      <c r="AA264" s="362"/>
      <c r="AB264" s="362"/>
      <c r="AC264" s="362"/>
    </row>
    <row r="265" ht="15.75" hidden="1" customHeight="1" outlineLevel="1">
      <c r="A265" s="414"/>
      <c r="B265" s="362"/>
      <c r="C265" s="414"/>
      <c r="D265" s="415"/>
      <c r="E265" s="416"/>
      <c r="F265" s="362"/>
      <c r="G265" s="414"/>
      <c r="H265" s="415"/>
      <c r="I265" s="414"/>
      <c r="J265" s="414"/>
      <c r="K265" s="414"/>
      <c r="L265" s="417"/>
      <c r="M265" s="418"/>
      <c r="N265" s="362"/>
      <c r="O265" s="362"/>
      <c r="P265" s="362"/>
      <c r="Q265" s="362"/>
      <c r="R265" s="362"/>
      <c r="S265" s="362"/>
      <c r="T265" s="362"/>
      <c r="U265" s="362"/>
      <c r="V265" s="362"/>
      <c r="W265" s="362"/>
      <c r="X265" s="362"/>
      <c r="Y265" s="362"/>
      <c r="Z265" s="362"/>
      <c r="AA265" s="362"/>
      <c r="AB265" s="362"/>
      <c r="AC265" s="362"/>
    </row>
    <row r="266" ht="15.75" hidden="1" customHeight="1" outlineLevel="1">
      <c r="A266" s="414"/>
      <c r="B266" s="362"/>
      <c r="C266" s="414"/>
      <c r="D266" s="415"/>
      <c r="E266" s="416"/>
      <c r="F266" s="362"/>
      <c r="G266" s="414"/>
      <c r="H266" s="415"/>
      <c r="I266" s="414"/>
      <c r="J266" s="414"/>
      <c r="K266" s="414"/>
      <c r="L266" s="417"/>
      <c r="M266" s="418"/>
      <c r="N266" s="362"/>
      <c r="O266" s="362"/>
      <c r="P266" s="362"/>
      <c r="Q266" s="362"/>
      <c r="R266" s="362"/>
      <c r="S266" s="362"/>
      <c r="T266" s="362"/>
      <c r="U266" s="362"/>
      <c r="V266" s="362"/>
      <c r="W266" s="362"/>
      <c r="X266" s="362"/>
      <c r="Y266" s="362"/>
      <c r="Z266" s="362"/>
      <c r="AA266" s="362"/>
      <c r="AB266" s="362"/>
      <c r="AC266" s="362"/>
    </row>
    <row r="267" ht="15.75" hidden="1" customHeight="1" outlineLevel="1">
      <c r="A267" s="414"/>
      <c r="B267" s="362"/>
      <c r="C267" s="414"/>
      <c r="D267" s="415"/>
      <c r="E267" s="416"/>
      <c r="F267" s="362"/>
      <c r="G267" s="414"/>
      <c r="H267" s="415"/>
      <c r="I267" s="414"/>
      <c r="J267" s="414"/>
      <c r="K267" s="414"/>
      <c r="L267" s="417"/>
      <c r="M267" s="418"/>
      <c r="N267" s="362"/>
      <c r="O267" s="362"/>
      <c r="P267" s="362"/>
      <c r="Q267" s="362"/>
      <c r="R267" s="362"/>
      <c r="S267" s="362"/>
      <c r="T267" s="362"/>
      <c r="U267" s="362"/>
      <c r="V267" s="362"/>
      <c r="W267" s="362"/>
      <c r="X267" s="362"/>
      <c r="Y267" s="362"/>
      <c r="Z267" s="362"/>
      <c r="AA267" s="362"/>
      <c r="AB267" s="362"/>
      <c r="AC267" s="362"/>
    </row>
    <row r="268" ht="15.75" hidden="1" customHeight="1" outlineLevel="1">
      <c r="A268" s="414"/>
      <c r="B268" s="362"/>
      <c r="C268" s="414"/>
      <c r="D268" s="415"/>
      <c r="E268" s="416"/>
      <c r="F268" s="362"/>
      <c r="G268" s="414"/>
      <c r="H268" s="415"/>
      <c r="I268" s="414"/>
      <c r="J268" s="414"/>
      <c r="K268" s="414"/>
      <c r="L268" s="417"/>
      <c r="M268" s="418"/>
      <c r="N268" s="362"/>
      <c r="O268" s="362"/>
      <c r="P268" s="362"/>
      <c r="Q268" s="362"/>
      <c r="R268" s="362"/>
      <c r="S268" s="362"/>
      <c r="T268" s="362"/>
      <c r="U268" s="362"/>
      <c r="V268" s="362"/>
      <c r="W268" s="362"/>
      <c r="X268" s="362"/>
      <c r="Y268" s="362"/>
      <c r="Z268" s="362"/>
      <c r="AA268" s="362"/>
      <c r="AB268" s="362"/>
      <c r="AC268" s="362"/>
    </row>
    <row r="269" ht="15.75" hidden="1" customHeight="1" outlineLevel="1">
      <c r="A269" s="414"/>
      <c r="B269" s="362"/>
      <c r="C269" s="414"/>
      <c r="D269" s="415"/>
      <c r="E269" s="416"/>
      <c r="F269" s="362"/>
      <c r="G269" s="414"/>
      <c r="H269" s="415"/>
      <c r="I269" s="414"/>
      <c r="J269" s="414"/>
      <c r="K269" s="414"/>
      <c r="L269" s="417"/>
      <c r="M269" s="418"/>
      <c r="N269" s="362"/>
      <c r="O269" s="362"/>
      <c r="P269" s="362"/>
      <c r="Q269" s="362"/>
      <c r="R269" s="362"/>
      <c r="S269" s="362"/>
      <c r="T269" s="362"/>
      <c r="U269" s="362"/>
      <c r="V269" s="362"/>
      <c r="W269" s="362"/>
      <c r="X269" s="362"/>
      <c r="Y269" s="362"/>
      <c r="Z269" s="362"/>
      <c r="AA269" s="362"/>
      <c r="AB269" s="362"/>
      <c r="AC269" s="362"/>
    </row>
    <row r="270" ht="15.75" hidden="1" customHeight="1" outlineLevel="1">
      <c r="A270" s="414"/>
      <c r="B270" s="362"/>
      <c r="C270" s="414"/>
      <c r="D270" s="415"/>
      <c r="E270" s="416"/>
      <c r="F270" s="362"/>
      <c r="G270" s="414"/>
      <c r="H270" s="415"/>
      <c r="I270" s="414"/>
      <c r="J270" s="414"/>
      <c r="K270" s="414"/>
      <c r="L270" s="417"/>
      <c r="M270" s="418"/>
      <c r="N270" s="362"/>
      <c r="O270" s="362"/>
      <c r="P270" s="362"/>
      <c r="Q270" s="362"/>
      <c r="R270" s="362"/>
      <c r="S270" s="362"/>
      <c r="T270" s="362"/>
      <c r="U270" s="362"/>
      <c r="V270" s="362"/>
      <c r="W270" s="362"/>
      <c r="X270" s="362"/>
      <c r="Y270" s="362"/>
      <c r="Z270" s="362"/>
      <c r="AA270" s="362"/>
      <c r="AB270" s="362"/>
      <c r="AC270" s="362"/>
    </row>
    <row r="271" ht="15.75" hidden="1" customHeight="1" outlineLevel="1">
      <c r="A271" s="414"/>
      <c r="B271" s="362"/>
      <c r="C271" s="414"/>
      <c r="D271" s="415"/>
      <c r="E271" s="416"/>
      <c r="F271" s="362"/>
      <c r="G271" s="414"/>
      <c r="H271" s="415"/>
      <c r="I271" s="414"/>
      <c r="J271" s="414"/>
      <c r="K271" s="414"/>
      <c r="L271" s="417"/>
      <c r="M271" s="418"/>
      <c r="N271" s="362"/>
      <c r="O271" s="362"/>
      <c r="P271" s="362"/>
      <c r="Q271" s="362"/>
      <c r="R271" s="362"/>
      <c r="S271" s="362"/>
      <c r="T271" s="362"/>
      <c r="U271" s="362"/>
      <c r="V271" s="362"/>
      <c r="W271" s="362"/>
      <c r="X271" s="362"/>
      <c r="Y271" s="362"/>
      <c r="Z271" s="362"/>
      <c r="AA271" s="362"/>
      <c r="AB271" s="362"/>
      <c r="AC271" s="362"/>
    </row>
    <row r="272" ht="15.75" hidden="1" customHeight="1" outlineLevel="1">
      <c r="A272" s="414"/>
      <c r="B272" s="362"/>
      <c r="C272" s="414"/>
      <c r="D272" s="415"/>
      <c r="E272" s="416"/>
      <c r="F272" s="362"/>
      <c r="G272" s="414"/>
      <c r="H272" s="415"/>
      <c r="I272" s="414"/>
      <c r="J272" s="414"/>
      <c r="K272" s="414"/>
      <c r="L272" s="417"/>
      <c r="M272" s="418"/>
      <c r="N272" s="362"/>
      <c r="O272" s="362"/>
      <c r="P272" s="362"/>
      <c r="Q272" s="362"/>
      <c r="R272" s="362"/>
      <c r="S272" s="362"/>
      <c r="T272" s="362"/>
      <c r="U272" s="362"/>
      <c r="V272" s="362"/>
      <c r="W272" s="362"/>
      <c r="X272" s="362"/>
      <c r="Y272" s="362"/>
      <c r="Z272" s="362"/>
      <c r="AA272" s="362"/>
      <c r="AB272" s="362"/>
      <c r="AC272" s="362"/>
    </row>
    <row r="273" ht="15.75" hidden="1" customHeight="1" outlineLevel="1">
      <c r="A273" s="414"/>
      <c r="B273" s="362"/>
      <c r="C273" s="414"/>
      <c r="D273" s="415"/>
      <c r="E273" s="416"/>
      <c r="F273" s="362"/>
      <c r="G273" s="414"/>
      <c r="H273" s="415"/>
      <c r="I273" s="414"/>
      <c r="J273" s="414"/>
      <c r="K273" s="414"/>
      <c r="L273" s="417"/>
      <c r="M273" s="418"/>
      <c r="N273" s="362"/>
      <c r="O273" s="362"/>
      <c r="P273" s="362"/>
      <c r="Q273" s="362"/>
      <c r="R273" s="362"/>
      <c r="S273" s="362"/>
      <c r="T273" s="362"/>
      <c r="U273" s="362"/>
      <c r="V273" s="362"/>
      <c r="W273" s="362"/>
      <c r="X273" s="362"/>
      <c r="Y273" s="362"/>
      <c r="Z273" s="362"/>
      <c r="AA273" s="362"/>
      <c r="AB273" s="362"/>
      <c r="AC273" s="362"/>
    </row>
    <row r="274" ht="15.75" hidden="1" customHeight="1" outlineLevel="1">
      <c r="A274" s="414"/>
      <c r="B274" s="362"/>
      <c r="C274" s="414"/>
      <c r="D274" s="415"/>
      <c r="E274" s="416"/>
      <c r="F274" s="362"/>
      <c r="G274" s="414"/>
      <c r="H274" s="415"/>
      <c r="I274" s="414"/>
      <c r="J274" s="414"/>
      <c r="K274" s="414"/>
      <c r="L274" s="417"/>
      <c r="M274" s="418"/>
      <c r="N274" s="362"/>
      <c r="O274" s="362"/>
      <c r="P274" s="362"/>
      <c r="Q274" s="362"/>
      <c r="R274" s="362"/>
      <c r="S274" s="362"/>
      <c r="T274" s="362"/>
      <c r="U274" s="362"/>
      <c r="V274" s="362"/>
      <c r="W274" s="362"/>
      <c r="X274" s="362"/>
      <c r="Y274" s="362"/>
      <c r="Z274" s="362"/>
      <c r="AA274" s="362"/>
      <c r="AB274" s="362"/>
      <c r="AC274" s="362"/>
    </row>
    <row r="275" ht="15.75" hidden="1" customHeight="1" outlineLevel="1">
      <c r="A275" s="414"/>
      <c r="B275" s="362"/>
      <c r="C275" s="414"/>
      <c r="D275" s="415"/>
      <c r="E275" s="416"/>
      <c r="F275" s="362"/>
      <c r="G275" s="414"/>
      <c r="H275" s="415"/>
      <c r="I275" s="414"/>
      <c r="J275" s="414"/>
      <c r="K275" s="414"/>
      <c r="L275" s="417"/>
      <c r="M275" s="418"/>
      <c r="N275" s="362"/>
      <c r="O275" s="362"/>
      <c r="P275" s="362"/>
      <c r="Q275" s="362"/>
      <c r="R275" s="362"/>
      <c r="S275" s="362"/>
      <c r="T275" s="362"/>
      <c r="U275" s="362"/>
      <c r="V275" s="362"/>
      <c r="W275" s="362"/>
      <c r="X275" s="362"/>
      <c r="Y275" s="362"/>
      <c r="Z275" s="362"/>
      <c r="AA275" s="362"/>
      <c r="AB275" s="362"/>
      <c r="AC275" s="362"/>
    </row>
    <row r="276" ht="15.75" hidden="1" customHeight="1" outlineLevel="1">
      <c r="A276" s="414"/>
      <c r="B276" s="362"/>
      <c r="C276" s="414"/>
      <c r="D276" s="415"/>
      <c r="E276" s="416"/>
      <c r="F276" s="362"/>
      <c r="G276" s="414"/>
      <c r="H276" s="415"/>
      <c r="I276" s="414"/>
      <c r="J276" s="414"/>
      <c r="K276" s="414"/>
      <c r="L276" s="417"/>
      <c r="M276" s="418"/>
      <c r="N276" s="362"/>
      <c r="O276" s="362"/>
      <c r="P276" s="362"/>
      <c r="Q276" s="362"/>
      <c r="R276" s="362"/>
      <c r="S276" s="362"/>
      <c r="T276" s="362"/>
      <c r="U276" s="362"/>
      <c r="V276" s="362"/>
      <c r="W276" s="362"/>
      <c r="X276" s="362"/>
      <c r="Y276" s="362"/>
      <c r="Z276" s="362"/>
      <c r="AA276" s="362"/>
      <c r="AB276" s="362"/>
      <c r="AC276" s="362"/>
    </row>
    <row r="277" ht="15.75" hidden="1" customHeight="1" outlineLevel="1">
      <c r="A277" s="414"/>
      <c r="B277" s="362"/>
      <c r="C277" s="414"/>
      <c r="D277" s="415"/>
      <c r="E277" s="416"/>
      <c r="F277" s="362"/>
      <c r="G277" s="414"/>
      <c r="H277" s="415"/>
      <c r="I277" s="414"/>
      <c r="J277" s="414"/>
      <c r="K277" s="414"/>
      <c r="L277" s="417"/>
      <c r="M277" s="418"/>
      <c r="N277" s="362"/>
      <c r="O277" s="362"/>
      <c r="P277" s="362"/>
      <c r="Q277" s="362"/>
      <c r="R277" s="362"/>
      <c r="S277" s="362"/>
      <c r="T277" s="362"/>
      <c r="U277" s="362"/>
      <c r="V277" s="362"/>
      <c r="W277" s="362"/>
      <c r="X277" s="362"/>
      <c r="Y277" s="362"/>
      <c r="Z277" s="362"/>
      <c r="AA277" s="362"/>
      <c r="AB277" s="362"/>
      <c r="AC277" s="362"/>
    </row>
    <row r="278" ht="15.75" hidden="1" customHeight="1" outlineLevel="1">
      <c r="A278" s="414"/>
      <c r="B278" s="362"/>
      <c r="C278" s="414"/>
      <c r="D278" s="415"/>
      <c r="E278" s="416"/>
      <c r="F278" s="362"/>
      <c r="G278" s="414"/>
      <c r="H278" s="415"/>
      <c r="I278" s="414"/>
      <c r="J278" s="414"/>
      <c r="K278" s="414"/>
      <c r="L278" s="417"/>
      <c r="M278" s="418"/>
      <c r="N278" s="362"/>
      <c r="O278" s="362"/>
      <c r="P278" s="362"/>
      <c r="Q278" s="362"/>
      <c r="R278" s="362"/>
      <c r="S278" s="362"/>
      <c r="T278" s="362"/>
      <c r="U278" s="362"/>
      <c r="V278" s="362"/>
      <c r="W278" s="362"/>
      <c r="X278" s="362"/>
      <c r="Y278" s="362"/>
      <c r="Z278" s="362"/>
      <c r="AA278" s="362"/>
      <c r="AB278" s="362"/>
      <c r="AC278" s="362"/>
    </row>
    <row r="279" ht="15.75" hidden="1" customHeight="1" outlineLevel="1">
      <c r="A279" s="414"/>
      <c r="B279" s="362"/>
      <c r="C279" s="414"/>
      <c r="D279" s="415"/>
      <c r="E279" s="416"/>
      <c r="F279" s="362"/>
      <c r="G279" s="414"/>
      <c r="H279" s="415"/>
      <c r="I279" s="414"/>
      <c r="J279" s="414"/>
      <c r="K279" s="414"/>
      <c r="L279" s="417"/>
      <c r="M279" s="418"/>
      <c r="N279" s="362"/>
      <c r="O279" s="362"/>
      <c r="P279" s="362"/>
      <c r="Q279" s="362"/>
      <c r="R279" s="362"/>
      <c r="S279" s="362"/>
      <c r="T279" s="362"/>
      <c r="U279" s="362"/>
      <c r="V279" s="362"/>
      <c r="W279" s="362"/>
      <c r="X279" s="362"/>
      <c r="Y279" s="362"/>
      <c r="Z279" s="362"/>
      <c r="AA279" s="362"/>
      <c r="AB279" s="362"/>
      <c r="AC279" s="362"/>
    </row>
    <row r="280" ht="15.75" hidden="1" customHeight="1" outlineLevel="1">
      <c r="A280" s="414"/>
      <c r="B280" s="362"/>
      <c r="C280" s="414"/>
      <c r="D280" s="415"/>
      <c r="E280" s="416"/>
      <c r="F280" s="362"/>
      <c r="G280" s="414"/>
      <c r="H280" s="415"/>
      <c r="I280" s="414"/>
      <c r="J280" s="414"/>
      <c r="K280" s="414"/>
      <c r="L280" s="417"/>
      <c r="M280" s="418"/>
      <c r="N280" s="362"/>
      <c r="O280" s="362"/>
      <c r="P280" s="362"/>
      <c r="Q280" s="362"/>
      <c r="R280" s="362"/>
      <c r="S280" s="362"/>
      <c r="T280" s="362"/>
      <c r="U280" s="362"/>
      <c r="V280" s="362"/>
      <c r="W280" s="362"/>
      <c r="X280" s="362"/>
      <c r="Y280" s="362"/>
      <c r="Z280" s="362"/>
      <c r="AA280" s="362"/>
      <c r="AB280" s="362"/>
      <c r="AC280" s="362"/>
    </row>
    <row r="281" ht="15.75" hidden="1" customHeight="1" outlineLevel="1">
      <c r="A281" s="414"/>
      <c r="B281" s="362"/>
      <c r="C281" s="414"/>
      <c r="D281" s="415"/>
      <c r="E281" s="416"/>
      <c r="F281" s="362"/>
      <c r="G281" s="414"/>
      <c r="H281" s="415"/>
      <c r="I281" s="414"/>
      <c r="J281" s="414"/>
      <c r="K281" s="414"/>
      <c r="L281" s="417"/>
      <c r="M281" s="418"/>
      <c r="N281" s="362"/>
      <c r="O281" s="362"/>
      <c r="P281" s="362"/>
      <c r="Q281" s="362"/>
      <c r="R281" s="362"/>
      <c r="S281" s="362"/>
      <c r="T281" s="362"/>
      <c r="U281" s="362"/>
      <c r="V281" s="362"/>
      <c r="W281" s="362"/>
      <c r="X281" s="362"/>
      <c r="Y281" s="362"/>
      <c r="Z281" s="362"/>
      <c r="AA281" s="362"/>
      <c r="AB281" s="362"/>
      <c r="AC281" s="362"/>
    </row>
    <row r="282" ht="15.75" hidden="1" customHeight="1" outlineLevel="1">
      <c r="A282" s="419"/>
      <c r="B282" s="47"/>
      <c r="C282" s="420"/>
      <c r="D282" s="420"/>
      <c r="E282" s="47"/>
      <c r="F282" s="47"/>
      <c r="G282" s="47"/>
      <c r="H282" s="421"/>
      <c r="I282" s="420"/>
      <c r="J282" s="420"/>
      <c r="K282" s="47"/>
      <c r="L282" s="422"/>
      <c r="M282" s="423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 ht="15.75" hidden="1" customHeight="1" outlineLevel="1">
      <c r="A283" s="419"/>
      <c r="B283" s="47"/>
      <c r="C283" s="420"/>
      <c r="D283" s="420"/>
      <c r="E283" s="47"/>
      <c r="F283" s="47"/>
      <c r="G283" s="47"/>
      <c r="H283" s="421"/>
      <c r="I283" s="420"/>
      <c r="J283" s="420"/>
      <c r="K283" s="47"/>
      <c r="L283" s="422"/>
      <c r="M283" s="423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 ht="15.75" hidden="1" customHeight="1" outlineLevel="1">
      <c r="A284" s="419"/>
      <c r="B284" s="47"/>
      <c r="C284" s="420"/>
      <c r="D284" s="420"/>
      <c r="E284" s="47"/>
      <c r="F284" s="47"/>
      <c r="G284" s="47"/>
      <c r="H284" s="421"/>
      <c r="I284" s="420"/>
      <c r="J284" s="420"/>
      <c r="K284" s="47"/>
      <c r="L284" s="422"/>
      <c r="M284" s="423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 ht="15.75" hidden="1" customHeight="1" outlineLevel="1">
      <c r="A285" s="419"/>
      <c r="B285" s="47"/>
      <c r="C285" s="420"/>
      <c r="D285" s="420"/>
      <c r="E285" s="47"/>
      <c r="F285" s="47"/>
      <c r="G285" s="47"/>
      <c r="H285" s="421"/>
      <c r="I285" s="420"/>
      <c r="J285" s="420"/>
      <c r="K285" s="47"/>
      <c r="L285" s="422"/>
      <c r="M285" s="423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 ht="15.75" hidden="1" customHeight="1" outlineLevel="1">
      <c r="A286" s="419"/>
      <c r="B286" s="47"/>
      <c r="C286" s="420"/>
      <c r="D286" s="420"/>
      <c r="E286" s="47"/>
      <c r="F286" s="47"/>
      <c r="G286" s="47"/>
      <c r="H286" s="421"/>
      <c r="I286" s="420"/>
      <c r="J286" s="420"/>
      <c r="K286" s="47"/>
      <c r="L286" s="422"/>
      <c r="M286" s="423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 ht="15.75" hidden="1" customHeight="1" outlineLevel="1">
      <c r="A287" s="419"/>
      <c r="B287" s="47"/>
      <c r="C287" s="420"/>
      <c r="D287" s="420"/>
      <c r="E287" s="47"/>
      <c r="F287" s="47"/>
      <c r="G287" s="47"/>
      <c r="H287" s="421"/>
      <c r="I287" s="420"/>
      <c r="J287" s="420"/>
      <c r="K287" s="47"/>
      <c r="L287" s="422"/>
      <c r="M287" s="423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 ht="15.75" hidden="1" customHeight="1" outlineLevel="1">
      <c r="A288" s="419"/>
      <c r="B288" s="47"/>
      <c r="C288" s="420"/>
      <c r="D288" s="420"/>
      <c r="E288" s="47"/>
      <c r="F288" s="47"/>
      <c r="G288" s="47"/>
      <c r="H288" s="421"/>
      <c r="I288" s="420"/>
      <c r="J288" s="420"/>
      <c r="K288" s="47"/>
      <c r="L288" s="422"/>
      <c r="M288" s="423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 ht="15.75" hidden="1" customHeight="1" outlineLevel="1">
      <c r="A289" s="47"/>
      <c r="B289" s="47"/>
      <c r="C289" s="420"/>
      <c r="D289" s="420"/>
      <c r="E289" s="47"/>
      <c r="F289" s="47"/>
      <c r="G289" s="47"/>
      <c r="H289" s="421"/>
      <c r="I289" s="420"/>
      <c r="J289" s="420"/>
      <c r="K289" s="47"/>
      <c r="L289" s="422"/>
      <c r="M289" s="423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 ht="15.75" hidden="1" customHeight="1" outlineLevel="1">
      <c r="A290" s="47"/>
      <c r="B290" s="47"/>
      <c r="C290" s="420"/>
      <c r="D290" s="420"/>
      <c r="E290" s="47"/>
      <c r="F290" s="47"/>
      <c r="G290" s="47"/>
      <c r="H290" s="421"/>
      <c r="I290" s="420"/>
      <c r="J290" s="420"/>
      <c r="K290" s="47"/>
      <c r="L290" s="422"/>
      <c r="M290" s="423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 ht="15.75" hidden="1" customHeight="1" outlineLevel="1">
      <c r="A291" s="47"/>
      <c r="B291" s="47"/>
      <c r="C291" s="420"/>
      <c r="D291" s="420"/>
      <c r="E291" s="47"/>
      <c r="F291" s="47"/>
      <c r="G291" s="47"/>
      <c r="H291" s="421"/>
      <c r="I291" s="420"/>
      <c r="J291" s="420"/>
      <c r="K291" s="47"/>
      <c r="L291" s="422"/>
      <c r="M291" s="423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 ht="15.75" hidden="1" customHeight="1" outlineLevel="1">
      <c r="A292" s="47"/>
      <c r="B292" s="47"/>
      <c r="C292" s="420"/>
      <c r="D292" s="420"/>
      <c r="E292" s="47"/>
      <c r="F292" s="47"/>
      <c r="G292" s="47"/>
      <c r="H292" s="421"/>
      <c r="I292" s="420"/>
      <c r="J292" s="420"/>
      <c r="K292" s="47"/>
      <c r="L292" s="422"/>
      <c r="M292" s="423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 ht="15.75" hidden="1" customHeight="1" outlineLevel="1">
      <c r="A293" s="47"/>
      <c r="B293" s="47"/>
      <c r="C293" s="420"/>
      <c r="D293" s="420"/>
      <c r="E293" s="47"/>
      <c r="F293" s="47"/>
      <c r="G293" s="47"/>
      <c r="H293" s="421"/>
      <c r="I293" s="420"/>
      <c r="J293" s="420"/>
      <c r="K293" s="47"/>
      <c r="L293" s="422"/>
      <c r="M293" s="423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 ht="15.75" hidden="1" customHeight="1" outlineLevel="1">
      <c r="A294" s="47"/>
      <c r="B294" s="47"/>
      <c r="C294" s="420"/>
      <c r="D294" s="420"/>
      <c r="E294" s="47"/>
      <c r="F294" s="47"/>
      <c r="G294" s="47"/>
      <c r="H294" s="421"/>
      <c r="I294" s="420"/>
      <c r="J294" s="420"/>
      <c r="K294" s="47"/>
      <c r="L294" s="422"/>
      <c r="M294" s="423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 ht="15.75" hidden="1" customHeight="1" outlineLevel="1">
      <c r="A295" s="47"/>
      <c r="B295" s="47"/>
      <c r="C295" s="420"/>
      <c r="D295" s="420"/>
      <c r="E295" s="47"/>
      <c r="F295" s="47"/>
      <c r="G295" s="47"/>
      <c r="H295" s="421"/>
      <c r="I295" s="420"/>
      <c r="J295" s="420"/>
      <c r="K295" s="47"/>
      <c r="L295" s="422"/>
      <c r="M295" s="423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 ht="15.75" hidden="1" customHeight="1" outlineLevel="1">
      <c r="A296" s="47"/>
      <c r="B296" s="47"/>
      <c r="C296" s="420"/>
      <c r="D296" s="420"/>
      <c r="E296" s="47"/>
      <c r="F296" s="47"/>
      <c r="G296" s="47"/>
      <c r="H296" s="421"/>
      <c r="I296" s="420"/>
      <c r="J296" s="420"/>
      <c r="K296" s="47"/>
      <c r="L296" s="422"/>
      <c r="M296" s="423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 ht="15.75" hidden="1" customHeight="1" outlineLevel="1">
      <c r="A297" s="47"/>
      <c r="B297" s="47"/>
      <c r="C297" s="420"/>
      <c r="D297" s="420"/>
      <c r="E297" s="47"/>
      <c r="F297" s="47"/>
      <c r="G297" s="47"/>
      <c r="H297" s="421"/>
      <c r="I297" s="420"/>
      <c r="J297" s="420"/>
      <c r="K297" s="47"/>
      <c r="L297" s="422"/>
      <c r="M297" s="423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 ht="15.75" hidden="1" customHeight="1" outlineLevel="1">
      <c r="A298" s="47"/>
      <c r="B298" s="47"/>
      <c r="C298" s="420"/>
      <c r="D298" s="420"/>
      <c r="E298" s="47"/>
      <c r="F298" s="47"/>
      <c r="G298" s="47"/>
      <c r="H298" s="421"/>
      <c r="I298" s="420"/>
      <c r="J298" s="420"/>
      <c r="K298" s="47"/>
      <c r="L298" s="422"/>
      <c r="M298" s="423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 ht="15.75" hidden="1" customHeight="1" outlineLevel="1">
      <c r="A299" s="47"/>
      <c r="B299" s="47"/>
      <c r="C299" s="420"/>
      <c r="D299" s="420"/>
      <c r="E299" s="47"/>
      <c r="F299" s="47"/>
      <c r="G299" s="47"/>
      <c r="H299" s="421"/>
      <c r="I299" s="420"/>
      <c r="J299" s="420"/>
      <c r="K299" s="47"/>
      <c r="L299" s="422"/>
      <c r="M299" s="423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 ht="15.75" hidden="1" customHeight="1" outlineLevel="1">
      <c r="A300" s="47"/>
      <c r="B300" s="47"/>
      <c r="C300" s="420"/>
      <c r="D300" s="420"/>
      <c r="E300" s="47"/>
      <c r="F300" s="47"/>
      <c r="G300" s="47"/>
      <c r="H300" s="421"/>
      <c r="I300" s="420"/>
      <c r="J300" s="420"/>
      <c r="K300" s="47"/>
      <c r="L300" s="422"/>
      <c r="M300" s="423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 ht="15.75" hidden="1" customHeight="1" outlineLevel="1">
      <c r="A301" s="47"/>
      <c r="B301" s="47"/>
      <c r="C301" s="420"/>
      <c r="D301" s="420"/>
      <c r="E301" s="47"/>
      <c r="F301" s="47"/>
      <c r="G301" s="47"/>
      <c r="H301" s="421"/>
      <c r="I301" s="420"/>
      <c r="J301" s="420"/>
      <c r="K301" s="47"/>
      <c r="L301" s="422"/>
      <c r="M301" s="423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 ht="15.75" hidden="1" customHeight="1" outlineLevel="1">
      <c r="A302" s="47"/>
      <c r="B302" s="47"/>
      <c r="C302" s="420"/>
      <c r="D302" s="420"/>
      <c r="E302" s="47"/>
      <c r="F302" s="47"/>
      <c r="G302" s="47"/>
      <c r="H302" s="421"/>
      <c r="I302" s="420"/>
      <c r="J302" s="420"/>
      <c r="K302" s="47"/>
      <c r="L302" s="422"/>
      <c r="M302" s="423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 ht="15.75" hidden="1" customHeight="1" outlineLevel="1">
      <c r="A303" s="47"/>
      <c r="B303" s="47"/>
      <c r="C303" s="420"/>
      <c r="D303" s="420"/>
      <c r="E303" s="47"/>
      <c r="F303" s="47"/>
      <c r="G303" s="47"/>
      <c r="H303" s="421"/>
      <c r="I303" s="420"/>
      <c r="J303" s="420"/>
      <c r="K303" s="47"/>
      <c r="L303" s="422"/>
      <c r="M303" s="423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 ht="15.75" hidden="1" customHeight="1" outlineLevel="1">
      <c r="A304" s="47"/>
      <c r="B304" s="47"/>
      <c r="C304" s="420"/>
      <c r="D304" s="420"/>
      <c r="E304" s="47"/>
      <c r="F304" s="47"/>
      <c r="G304" s="47"/>
      <c r="H304" s="421"/>
      <c r="I304" s="420"/>
      <c r="J304" s="420"/>
      <c r="K304" s="47"/>
      <c r="L304" s="422"/>
      <c r="M304" s="423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 ht="15.75" hidden="1" customHeight="1" outlineLevel="1">
      <c r="A305" s="47"/>
      <c r="B305" s="47"/>
      <c r="C305" s="420"/>
      <c r="D305" s="420"/>
      <c r="E305" s="47"/>
      <c r="F305" s="47"/>
      <c r="G305" s="47"/>
      <c r="H305" s="421"/>
      <c r="I305" s="420"/>
      <c r="J305" s="420"/>
      <c r="K305" s="47"/>
      <c r="L305" s="422"/>
      <c r="M305" s="423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 ht="15.75" hidden="1" customHeight="1" outlineLevel="1">
      <c r="A306" s="47"/>
      <c r="B306" s="47"/>
      <c r="C306" s="420"/>
      <c r="D306" s="420"/>
      <c r="E306" s="47"/>
      <c r="F306" s="47"/>
      <c r="G306" s="47"/>
      <c r="H306" s="421"/>
      <c r="I306" s="420"/>
      <c r="J306" s="420"/>
      <c r="K306" s="47"/>
      <c r="L306" s="422"/>
      <c r="M306" s="423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 ht="15.75" hidden="1" customHeight="1" outlineLevel="1">
      <c r="A307" s="47"/>
      <c r="B307" s="47"/>
      <c r="C307" s="420"/>
      <c r="D307" s="420"/>
      <c r="E307" s="47"/>
      <c r="F307" s="47"/>
      <c r="G307" s="47"/>
      <c r="H307" s="421"/>
      <c r="I307" s="420"/>
      <c r="J307" s="420"/>
      <c r="K307" s="47"/>
      <c r="L307" s="422"/>
      <c r="M307" s="423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 ht="15.75" hidden="1" customHeight="1" outlineLevel="1">
      <c r="A308" s="47"/>
      <c r="B308" s="47"/>
      <c r="C308" s="420"/>
      <c r="D308" s="420"/>
      <c r="E308" s="47"/>
      <c r="F308" s="47"/>
      <c r="G308" s="47"/>
      <c r="H308" s="421"/>
      <c r="I308" s="420"/>
      <c r="J308" s="420"/>
      <c r="K308" s="47"/>
      <c r="L308" s="422"/>
      <c r="M308" s="423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 ht="15.75" hidden="1" customHeight="1" outlineLevel="1">
      <c r="A309" s="47"/>
      <c r="B309" s="47"/>
      <c r="C309" s="420"/>
      <c r="D309" s="420"/>
      <c r="E309" s="47"/>
      <c r="F309" s="47"/>
      <c r="G309" s="47"/>
      <c r="H309" s="421"/>
      <c r="I309" s="420"/>
      <c r="J309" s="420"/>
      <c r="K309" s="47"/>
      <c r="L309" s="422"/>
      <c r="M309" s="423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 ht="15.75" hidden="1" customHeight="1" outlineLevel="1">
      <c r="A310" s="47"/>
      <c r="B310" s="47"/>
      <c r="C310" s="420"/>
      <c r="D310" s="420"/>
      <c r="E310" s="47"/>
      <c r="F310" s="47"/>
      <c r="G310" s="47"/>
      <c r="H310" s="421"/>
      <c r="I310" s="420"/>
      <c r="J310" s="420"/>
      <c r="K310" s="47"/>
      <c r="L310" s="422"/>
      <c r="M310" s="423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 ht="15.75" hidden="1" customHeight="1" outlineLevel="1">
      <c r="A311" s="47"/>
      <c r="B311" s="47"/>
      <c r="C311" s="420"/>
      <c r="D311" s="420"/>
      <c r="E311" s="47"/>
      <c r="F311" s="47"/>
      <c r="G311" s="47"/>
      <c r="H311" s="421"/>
      <c r="I311" s="420"/>
      <c r="J311" s="420"/>
      <c r="K311" s="47"/>
      <c r="L311" s="422"/>
      <c r="M311" s="423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 ht="15.75" hidden="1" customHeight="1" outlineLevel="1">
      <c r="A312" s="47"/>
      <c r="B312" s="47"/>
      <c r="C312" s="420"/>
      <c r="D312" s="420"/>
      <c r="E312" s="47"/>
      <c r="F312" s="47"/>
      <c r="G312" s="47"/>
      <c r="H312" s="421"/>
      <c r="I312" s="420"/>
      <c r="J312" s="420"/>
      <c r="K312" s="47"/>
      <c r="L312" s="422"/>
      <c r="M312" s="423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 ht="15.75" hidden="1" customHeight="1" outlineLevel="1">
      <c r="A313" s="47"/>
      <c r="B313" s="47"/>
      <c r="C313" s="420"/>
      <c r="D313" s="420"/>
      <c r="E313" s="47"/>
      <c r="F313" s="47"/>
      <c r="G313" s="47"/>
      <c r="H313" s="421"/>
      <c r="I313" s="420"/>
      <c r="J313" s="420"/>
      <c r="K313" s="47"/>
      <c r="L313" s="422"/>
      <c r="M313" s="423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 ht="15.75" hidden="1" customHeight="1" outlineLevel="1">
      <c r="A314" s="47"/>
      <c r="B314" s="47"/>
      <c r="C314" s="420"/>
      <c r="D314" s="420"/>
      <c r="E314" s="47"/>
      <c r="F314" s="47"/>
      <c r="G314" s="47"/>
      <c r="H314" s="421"/>
      <c r="I314" s="420"/>
      <c r="J314" s="420"/>
      <c r="K314" s="47"/>
      <c r="L314" s="422"/>
      <c r="M314" s="423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 ht="15.75" hidden="1" customHeight="1" outlineLevel="1">
      <c r="A315" s="47"/>
      <c r="B315" s="47"/>
      <c r="C315" s="420"/>
      <c r="D315" s="420"/>
      <c r="E315" s="47"/>
      <c r="F315" s="47"/>
      <c r="G315" s="47"/>
      <c r="H315" s="421"/>
      <c r="I315" s="420"/>
      <c r="J315" s="420"/>
      <c r="K315" s="47"/>
      <c r="L315" s="422"/>
      <c r="M315" s="423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 ht="15.75" hidden="1" customHeight="1" outlineLevel="1">
      <c r="A316" s="47"/>
      <c r="B316" s="47"/>
      <c r="C316" s="420"/>
      <c r="D316" s="420"/>
      <c r="E316" s="47"/>
      <c r="F316" s="47"/>
      <c r="G316" s="47"/>
      <c r="H316" s="421"/>
      <c r="I316" s="420"/>
      <c r="J316" s="420"/>
      <c r="K316" s="47"/>
      <c r="L316" s="422"/>
      <c r="M316" s="423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 ht="15.75" hidden="1" customHeight="1" outlineLevel="1">
      <c r="A317" s="47"/>
      <c r="B317" s="47"/>
      <c r="C317" s="420"/>
      <c r="D317" s="420"/>
      <c r="E317" s="47"/>
      <c r="F317" s="47"/>
      <c r="G317" s="47"/>
      <c r="H317" s="421"/>
      <c r="I317" s="420"/>
      <c r="J317" s="420"/>
      <c r="K317" s="47"/>
      <c r="L317" s="422"/>
      <c r="M317" s="423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 ht="15.75" hidden="1" customHeight="1" outlineLevel="1">
      <c r="A318" s="47"/>
      <c r="B318" s="47"/>
      <c r="C318" s="420"/>
      <c r="D318" s="420"/>
      <c r="E318" s="47"/>
      <c r="F318" s="47"/>
      <c r="G318" s="47"/>
      <c r="H318" s="421"/>
      <c r="I318" s="420"/>
      <c r="J318" s="420"/>
      <c r="K318" s="47"/>
      <c r="L318" s="422"/>
      <c r="M318" s="423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 ht="15.75" hidden="1" customHeight="1" outlineLevel="1">
      <c r="A319" s="47"/>
      <c r="B319" s="47"/>
      <c r="C319" s="420"/>
      <c r="D319" s="420"/>
      <c r="E319" s="47"/>
      <c r="F319" s="47"/>
      <c r="G319" s="47"/>
      <c r="H319" s="421"/>
      <c r="I319" s="420"/>
      <c r="J319" s="420"/>
      <c r="K319" s="47"/>
      <c r="L319" s="422"/>
      <c r="M319" s="423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 ht="15.75" hidden="1" customHeight="1" outlineLevel="1">
      <c r="A320" s="47"/>
      <c r="B320" s="47"/>
      <c r="C320" s="420"/>
      <c r="D320" s="420"/>
      <c r="E320" s="47"/>
      <c r="F320" s="47"/>
      <c r="G320" s="47"/>
      <c r="H320" s="421"/>
      <c r="I320" s="420"/>
      <c r="J320" s="420"/>
      <c r="K320" s="47"/>
      <c r="L320" s="422"/>
      <c r="M320" s="423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 ht="15.75" hidden="1" customHeight="1" outlineLevel="1">
      <c r="A321" s="47"/>
      <c r="B321" s="47"/>
      <c r="C321" s="420"/>
      <c r="D321" s="420"/>
      <c r="E321" s="47"/>
      <c r="F321" s="47"/>
      <c r="G321" s="47"/>
      <c r="H321" s="421"/>
      <c r="I321" s="420"/>
      <c r="J321" s="420"/>
      <c r="K321" s="47"/>
      <c r="L321" s="422"/>
      <c r="M321" s="423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 ht="15.75" hidden="1" customHeight="1" outlineLevel="1">
      <c r="A322" s="47"/>
      <c r="B322" s="47"/>
      <c r="C322" s="420"/>
      <c r="D322" s="420"/>
      <c r="E322" s="47"/>
      <c r="F322" s="47"/>
      <c r="G322" s="47"/>
      <c r="H322" s="421"/>
      <c r="I322" s="420"/>
      <c r="J322" s="420"/>
      <c r="K322" s="47"/>
      <c r="L322" s="422"/>
      <c r="M322" s="423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 ht="15.75" hidden="1" customHeight="1" outlineLevel="1">
      <c r="A323" s="47"/>
      <c r="B323" s="47"/>
      <c r="C323" s="420"/>
      <c r="D323" s="420"/>
      <c r="E323" s="47"/>
      <c r="F323" s="47"/>
      <c r="G323" s="47"/>
      <c r="H323" s="421"/>
      <c r="I323" s="420"/>
      <c r="J323" s="420"/>
      <c r="K323" s="47"/>
      <c r="L323" s="422"/>
      <c r="M323" s="423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 ht="15.75" hidden="1" customHeight="1" outlineLevel="1">
      <c r="A324" s="47"/>
      <c r="B324" s="47"/>
      <c r="C324" s="420"/>
      <c r="D324" s="420"/>
      <c r="E324" s="47"/>
      <c r="F324" s="47"/>
      <c r="G324" s="47"/>
      <c r="H324" s="421"/>
      <c r="I324" s="420"/>
      <c r="J324" s="420"/>
      <c r="K324" s="47"/>
      <c r="L324" s="422"/>
      <c r="M324" s="423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 ht="15.75" hidden="1" customHeight="1" outlineLevel="1">
      <c r="A325" s="47"/>
      <c r="B325" s="47"/>
      <c r="C325" s="420"/>
      <c r="D325" s="420"/>
      <c r="E325" s="47"/>
      <c r="F325" s="47"/>
      <c r="G325" s="47"/>
      <c r="H325" s="421"/>
      <c r="I325" s="420"/>
      <c r="J325" s="420"/>
      <c r="K325" s="47"/>
      <c r="L325" s="422"/>
      <c r="M325" s="423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 ht="15.75" hidden="1" customHeight="1" outlineLevel="1">
      <c r="A326" s="47"/>
      <c r="B326" s="47"/>
      <c r="C326" s="420"/>
      <c r="D326" s="420"/>
      <c r="E326" s="47"/>
      <c r="F326" s="47"/>
      <c r="G326" s="47"/>
      <c r="H326" s="421"/>
      <c r="I326" s="420"/>
      <c r="J326" s="420"/>
      <c r="K326" s="47"/>
      <c r="L326" s="422"/>
      <c r="M326" s="423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 ht="15.75" hidden="1" customHeight="1" outlineLevel="1">
      <c r="A327" s="47"/>
      <c r="B327" s="47"/>
      <c r="C327" s="420"/>
      <c r="D327" s="420"/>
      <c r="E327" s="47"/>
      <c r="F327" s="47"/>
      <c r="G327" s="47"/>
      <c r="H327" s="421"/>
      <c r="I327" s="420"/>
      <c r="J327" s="420"/>
      <c r="K327" s="47"/>
      <c r="L327" s="422"/>
      <c r="M327" s="423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 ht="15.75" hidden="1" customHeight="1" outlineLevel="1">
      <c r="A328" s="47"/>
      <c r="B328" s="47"/>
      <c r="C328" s="420"/>
      <c r="D328" s="420"/>
      <c r="E328" s="47"/>
      <c r="F328" s="47"/>
      <c r="G328" s="47"/>
      <c r="H328" s="421"/>
      <c r="I328" s="420"/>
      <c r="J328" s="420"/>
      <c r="K328" s="47"/>
      <c r="L328" s="422"/>
      <c r="M328" s="423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 ht="15.75" hidden="1" customHeight="1" outlineLevel="1">
      <c r="A329" s="47"/>
      <c r="B329" s="47"/>
      <c r="C329" s="420"/>
      <c r="D329" s="420"/>
      <c r="E329" s="47"/>
      <c r="F329" s="47"/>
      <c r="G329" s="47"/>
      <c r="H329" s="421"/>
      <c r="I329" s="420"/>
      <c r="J329" s="420"/>
      <c r="K329" s="47"/>
      <c r="L329" s="422"/>
      <c r="M329" s="423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 ht="15.75" hidden="1" customHeight="1" outlineLevel="1">
      <c r="A330" s="47"/>
      <c r="B330" s="47"/>
      <c r="C330" s="420"/>
      <c r="D330" s="420"/>
      <c r="E330" s="47"/>
      <c r="F330" s="47"/>
      <c r="G330" s="47"/>
      <c r="H330" s="421"/>
      <c r="I330" s="420"/>
      <c r="J330" s="420"/>
      <c r="K330" s="47"/>
      <c r="L330" s="422"/>
      <c r="M330" s="423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 ht="15.75" hidden="1" customHeight="1" outlineLevel="1">
      <c r="A331" s="47"/>
      <c r="B331" s="47"/>
      <c r="C331" s="420"/>
      <c r="D331" s="420"/>
      <c r="E331" s="47"/>
      <c r="F331" s="47"/>
      <c r="G331" s="47"/>
      <c r="H331" s="421"/>
      <c r="I331" s="420"/>
      <c r="J331" s="420"/>
      <c r="K331" s="47"/>
      <c r="L331" s="422"/>
      <c r="M331" s="423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 ht="15.75" hidden="1" customHeight="1" outlineLevel="1">
      <c r="A332" s="47"/>
      <c r="B332" s="47"/>
      <c r="C332" s="420"/>
      <c r="D332" s="420"/>
      <c r="E332" s="47"/>
      <c r="F332" s="47"/>
      <c r="G332" s="47"/>
      <c r="H332" s="421"/>
      <c r="I332" s="420"/>
      <c r="J332" s="420"/>
      <c r="K332" s="47"/>
      <c r="L332" s="422"/>
      <c r="M332" s="423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 ht="15.75" hidden="1" customHeight="1" outlineLevel="1">
      <c r="A333" s="47"/>
      <c r="B333" s="47"/>
      <c r="C333" s="420"/>
      <c r="D333" s="420"/>
      <c r="E333" s="47"/>
      <c r="F333" s="47"/>
      <c r="G333" s="47"/>
      <c r="H333" s="421"/>
      <c r="I333" s="420"/>
      <c r="J333" s="420"/>
      <c r="K333" s="47"/>
      <c r="L333" s="422"/>
      <c r="M333" s="423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 ht="15.75" hidden="1" customHeight="1" outlineLevel="1">
      <c r="A334" s="47"/>
      <c r="B334" s="47"/>
      <c r="C334" s="420"/>
      <c r="D334" s="420"/>
      <c r="E334" s="47"/>
      <c r="F334" s="47"/>
      <c r="G334" s="47"/>
      <c r="H334" s="421"/>
      <c r="I334" s="420"/>
      <c r="J334" s="420"/>
      <c r="K334" s="47"/>
      <c r="L334" s="422"/>
      <c r="M334" s="423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 ht="15.75" hidden="1" customHeight="1" outlineLevel="1">
      <c r="A335" s="47"/>
      <c r="B335" s="47"/>
      <c r="C335" s="420"/>
      <c r="D335" s="420"/>
      <c r="E335" s="47"/>
      <c r="F335" s="47"/>
      <c r="G335" s="47"/>
      <c r="H335" s="421"/>
      <c r="I335" s="420"/>
      <c r="J335" s="420"/>
      <c r="K335" s="47"/>
      <c r="L335" s="422"/>
      <c r="M335" s="423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 ht="15.75" hidden="1" customHeight="1" outlineLevel="1">
      <c r="A336" s="47"/>
      <c r="B336" s="47"/>
      <c r="C336" s="420"/>
      <c r="D336" s="420"/>
      <c r="E336" s="47"/>
      <c r="F336" s="47"/>
      <c r="G336" s="47"/>
      <c r="H336" s="421"/>
      <c r="I336" s="420"/>
      <c r="J336" s="420"/>
      <c r="K336" s="47"/>
      <c r="L336" s="422"/>
      <c r="M336" s="423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 ht="15.75" hidden="1" customHeight="1" outlineLevel="1">
      <c r="A337" s="47"/>
      <c r="B337" s="47"/>
      <c r="C337" s="420"/>
      <c r="D337" s="420"/>
      <c r="E337" s="47"/>
      <c r="F337" s="47"/>
      <c r="G337" s="47"/>
      <c r="H337" s="421"/>
      <c r="I337" s="420"/>
      <c r="J337" s="420"/>
      <c r="K337" s="47"/>
      <c r="L337" s="422"/>
      <c r="M337" s="423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 ht="15.75" hidden="1" customHeight="1" outlineLevel="1">
      <c r="A338" s="47"/>
      <c r="B338" s="47"/>
      <c r="C338" s="420"/>
      <c r="D338" s="420"/>
      <c r="E338" s="47"/>
      <c r="F338" s="47"/>
      <c r="G338" s="47"/>
      <c r="H338" s="421"/>
      <c r="I338" s="420"/>
      <c r="J338" s="420"/>
      <c r="K338" s="47"/>
      <c r="L338" s="422"/>
      <c r="M338" s="423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 ht="15.75" hidden="1" customHeight="1" outlineLevel="1">
      <c r="A339" s="47"/>
      <c r="B339" s="47"/>
      <c r="C339" s="420"/>
      <c r="D339" s="420"/>
      <c r="E339" s="47"/>
      <c r="F339" s="47"/>
      <c r="G339" s="47"/>
      <c r="H339" s="421"/>
      <c r="I339" s="420"/>
      <c r="J339" s="420"/>
      <c r="K339" s="47"/>
      <c r="L339" s="422"/>
      <c r="M339" s="423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 ht="15.75" hidden="1" customHeight="1" outlineLevel="1">
      <c r="A340" s="47"/>
      <c r="B340" s="47"/>
      <c r="C340" s="420"/>
      <c r="D340" s="420"/>
      <c r="E340" s="47"/>
      <c r="F340" s="47"/>
      <c r="G340" s="47"/>
      <c r="H340" s="421"/>
      <c r="I340" s="420"/>
      <c r="J340" s="420"/>
      <c r="K340" s="47"/>
      <c r="L340" s="422"/>
      <c r="M340" s="423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 ht="15.75" hidden="1" customHeight="1" outlineLevel="1">
      <c r="A341" s="47"/>
      <c r="B341" s="47"/>
      <c r="C341" s="420"/>
      <c r="D341" s="420"/>
      <c r="E341" s="47"/>
      <c r="F341" s="47"/>
      <c r="G341" s="47"/>
      <c r="H341" s="421"/>
      <c r="I341" s="420"/>
      <c r="J341" s="420"/>
      <c r="K341" s="47"/>
      <c r="L341" s="422"/>
      <c r="M341" s="423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 ht="15.75" hidden="1" customHeight="1" outlineLevel="1">
      <c r="A342" s="47"/>
      <c r="B342" s="47"/>
      <c r="C342" s="420"/>
      <c r="D342" s="420"/>
      <c r="E342" s="47"/>
      <c r="F342" s="47"/>
      <c r="G342" s="47"/>
      <c r="H342" s="421"/>
      <c r="I342" s="420"/>
      <c r="J342" s="420"/>
      <c r="K342" s="47"/>
      <c r="L342" s="422"/>
      <c r="M342" s="423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 ht="15.75" hidden="1" customHeight="1" outlineLevel="1">
      <c r="A343" s="47"/>
      <c r="B343" s="47"/>
      <c r="C343" s="420"/>
      <c r="D343" s="420"/>
      <c r="E343" s="47"/>
      <c r="F343" s="47"/>
      <c r="G343" s="47"/>
      <c r="H343" s="421"/>
      <c r="I343" s="420"/>
      <c r="J343" s="420"/>
      <c r="K343" s="47"/>
      <c r="L343" s="422"/>
      <c r="M343" s="423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 ht="15.75" hidden="1" customHeight="1" outlineLevel="1">
      <c r="A344" s="47"/>
      <c r="B344" s="47"/>
      <c r="C344" s="420"/>
      <c r="D344" s="420"/>
      <c r="E344" s="47"/>
      <c r="F344" s="47"/>
      <c r="G344" s="47"/>
      <c r="H344" s="421"/>
      <c r="I344" s="420"/>
      <c r="J344" s="420"/>
      <c r="K344" s="47"/>
      <c r="L344" s="422"/>
      <c r="M344" s="423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 ht="15.75" hidden="1" customHeight="1" outlineLevel="1">
      <c r="A345" s="47"/>
      <c r="B345" s="47"/>
      <c r="C345" s="420"/>
      <c r="D345" s="420"/>
      <c r="E345" s="47"/>
      <c r="F345" s="47"/>
      <c r="G345" s="47"/>
      <c r="H345" s="421"/>
      <c r="I345" s="420"/>
      <c r="J345" s="420"/>
      <c r="K345" s="47"/>
      <c r="L345" s="422"/>
      <c r="M345" s="423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 ht="15.75" hidden="1" customHeight="1" outlineLevel="1">
      <c r="A346" s="47"/>
      <c r="B346" s="47"/>
      <c r="C346" s="420"/>
      <c r="D346" s="420"/>
      <c r="E346" s="47"/>
      <c r="F346" s="47"/>
      <c r="G346" s="47"/>
      <c r="H346" s="421"/>
      <c r="I346" s="420"/>
      <c r="J346" s="420"/>
      <c r="K346" s="47"/>
      <c r="L346" s="422"/>
      <c r="M346" s="423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 ht="15.75" hidden="1" customHeight="1" outlineLevel="1">
      <c r="A347" s="47"/>
      <c r="B347" s="47"/>
      <c r="C347" s="420"/>
      <c r="D347" s="420"/>
      <c r="E347" s="47"/>
      <c r="F347" s="47"/>
      <c r="G347" s="47"/>
      <c r="H347" s="421"/>
      <c r="I347" s="420"/>
      <c r="J347" s="420"/>
      <c r="K347" s="47"/>
      <c r="L347" s="422"/>
      <c r="M347" s="423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 ht="15.75" hidden="1" customHeight="1" outlineLevel="1">
      <c r="A348" s="47"/>
      <c r="B348" s="47"/>
      <c r="C348" s="420"/>
      <c r="D348" s="420"/>
      <c r="E348" s="47"/>
      <c r="F348" s="47"/>
      <c r="G348" s="47"/>
      <c r="H348" s="421"/>
      <c r="I348" s="420"/>
      <c r="J348" s="420"/>
      <c r="K348" s="47"/>
      <c r="L348" s="422"/>
      <c r="M348" s="423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ht="15.75" hidden="1" customHeight="1" outlineLevel="1">
      <c r="A349" s="47"/>
      <c r="B349" s="47"/>
      <c r="C349" s="420"/>
      <c r="D349" s="420"/>
      <c r="E349" s="47"/>
      <c r="F349" s="47"/>
      <c r="G349" s="47"/>
      <c r="H349" s="421"/>
      <c r="I349" s="420"/>
      <c r="J349" s="420"/>
      <c r="K349" s="47"/>
      <c r="L349" s="422"/>
      <c r="M349" s="423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5.75" hidden="1" customHeight="1" outlineLevel="1">
      <c r="A350" s="47"/>
      <c r="B350" s="47"/>
      <c r="C350" s="420"/>
      <c r="D350" s="420"/>
      <c r="E350" s="47"/>
      <c r="F350" s="47"/>
      <c r="G350" s="47"/>
      <c r="H350" s="421"/>
      <c r="I350" s="420"/>
      <c r="J350" s="420"/>
      <c r="K350" s="47"/>
      <c r="L350" s="422"/>
      <c r="M350" s="423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5.75" hidden="1" customHeight="1" outlineLevel="1">
      <c r="A351" s="47"/>
      <c r="B351" s="47"/>
      <c r="C351" s="420"/>
      <c r="D351" s="420"/>
      <c r="E351" s="47"/>
      <c r="F351" s="47"/>
      <c r="G351" s="47"/>
      <c r="H351" s="421"/>
      <c r="I351" s="420"/>
      <c r="J351" s="420"/>
      <c r="K351" s="47"/>
      <c r="L351" s="422"/>
      <c r="M351" s="423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5.75" hidden="1" customHeight="1" outlineLevel="1">
      <c r="A352" s="47"/>
      <c r="B352" s="47"/>
      <c r="C352" s="420"/>
      <c r="D352" s="420"/>
      <c r="E352" s="47"/>
      <c r="F352" s="47"/>
      <c r="G352" s="47"/>
      <c r="H352" s="421"/>
      <c r="I352" s="420"/>
      <c r="J352" s="420"/>
      <c r="K352" s="47"/>
      <c r="L352" s="422"/>
      <c r="M352" s="423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5.75" hidden="1" customHeight="1" outlineLevel="1">
      <c r="A353" s="47"/>
      <c r="B353" s="47"/>
      <c r="C353" s="420"/>
      <c r="D353" s="420"/>
      <c r="E353" s="47"/>
      <c r="F353" s="47"/>
      <c r="G353" s="47"/>
      <c r="H353" s="421"/>
      <c r="I353" s="420"/>
      <c r="J353" s="420"/>
      <c r="K353" s="47"/>
      <c r="L353" s="422"/>
      <c r="M353" s="423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5.75" hidden="1" customHeight="1" outlineLevel="1">
      <c r="A354" s="47"/>
      <c r="B354" s="47"/>
      <c r="C354" s="420"/>
      <c r="D354" s="420"/>
      <c r="E354" s="47"/>
      <c r="F354" s="47"/>
      <c r="G354" s="47"/>
      <c r="H354" s="421"/>
      <c r="I354" s="420"/>
      <c r="J354" s="420"/>
      <c r="K354" s="47"/>
      <c r="L354" s="422"/>
      <c r="M354" s="423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5.75" hidden="1" customHeight="1" outlineLevel="1">
      <c r="A355" s="47"/>
      <c r="B355" s="47"/>
      <c r="C355" s="420"/>
      <c r="D355" s="420"/>
      <c r="E355" s="47"/>
      <c r="F355" s="47"/>
      <c r="G355" s="47"/>
      <c r="H355" s="421"/>
      <c r="I355" s="420"/>
      <c r="J355" s="420"/>
      <c r="K355" s="47"/>
      <c r="L355" s="422"/>
      <c r="M355" s="423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5.75" hidden="1" customHeight="1" outlineLevel="1">
      <c r="A356" s="47"/>
      <c r="B356" s="47"/>
      <c r="C356" s="420"/>
      <c r="D356" s="420"/>
      <c r="E356" s="47"/>
      <c r="F356" s="47"/>
      <c r="G356" s="47"/>
      <c r="H356" s="421"/>
      <c r="I356" s="420"/>
      <c r="J356" s="420"/>
      <c r="K356" s="47"/>
      <c r="L356" s="422"/>
      <c r="M356" s="423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5.75" hidden="1" customHeight="1" outlineLevel="1">
      <c r="A357" s="47"/>
      <c r="B357" s="47"/>
      <c r="C357" s="420"/>
      <c r="D357" s="420"/>
      <c r="E357" s="47"/>
      <c r="F357" s="47"/>
      <c r="G357" s="47"/>
      <c r="H357" s="421"/>
      <c r="I357" s="420"/>
      <c r="J357" s="420"/>
      <c r="K357" s="47"/>
      <c r="L357" s="422"/>
      <c r="M357" s="423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5.75" hidden="1" customHeight="1" outlineLevel="1">
      <c r="A358" s="47"/>
      <c r="B358" s="47"/>
      <c r="C358" s="420"/>
      <c r="D358" s="420"/>
      <c r="E358" s="47"/>
      <c r="F358" s="47"/>
      <c r="G358" s="47"/>
      <c r="H358" s="421"/>
      <c r="I358" s="420"/>
      <c r="J358" s="420"/>
      <c r="K358" s="47"/>
      <c r="L358" s="422"/>
      <c r="M358" s="423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5.75" hidden="1" customHeight="1" outlineLevel="1">
      <c r="A359" s="47"/>
      <c r="B359" s="47"/>
      <c r="C359" s="420"/>
      <c r="D359" s="420"/>
      <c r="E359" s="47"/>
      <c r="F359" s="47"/>
      <c r="G359" s="47"/>
      <c r="H359" s="421"/>
      <c r="I359" s="420"/>
      <c r="J359" s="420"/>
      <c r="K359" s="47"/>
      <c r="L359" s="422"/>
      <c r="M359" s="423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5.75" hidden="1" customHeight="1" outlineLevel="1">
      <c r="A360" s="47"/>
      <c r="B360" s="47"/>
      <c r="C360" s="420"/>
      <c r="D360" s="420"/>
      <c r="E360" s="47"/>
      <c r="F360" s="47"/>
      <c r="G360" s="47"/>
      <c r="H360" s="421"/>
      <c r="I360" s="420"/>
      <c r="J360" s="420"/>
      <c r="K360" s="47"/>
      <c r="L360" s="422"/>
      <c r="M360" s="423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5.75" hidden="1" customHeight="1" outlineLevel="1">
      <c r="A361" s="47"/>
      <c r="B361" s="47"/>
      <c r="C361" s="420"/>
      <c r="D361" s="420"/>
      <c r="E361" s="47"/>
      <c r="F361" s="47"/>
      <c r="G361" s="47"/>
      <c r="H361" s="421"/>
      <c r="I361" s="420"/>
      <c r="J361" s="420"/>
      <c r="K361" s="47"/>
      <c r="L361" s="422"/>
      <c r="M361" s="423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5.75" hidden="1" customHeight="1" outlineLevel="1">
      <c r="A362" s="47"/>
      <c r="B362" s="47"/>
      <c r="C362" s="420"/>
      <c r="D362" s="420"/>
      <c r="E362" s="47"/>
      <c r="F362" s="47"/>
      <c r="G362" s="47"/>
      <c r="H362" s="421"/>
      <c r="I362" s="420"/>
      <c r="J362" s="420"/>
      <c r="K362" s="47"/>
      <c r="L362" s="422"/>
      <c r="M362" s="423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5.75" hidden="1" customHeight="1" outlineLevel="1">
      <c r="A363" s="47"/>
      <c r="B363" s="47"/>
      <c r="C363" s="420"/>
      <c r="D363" s="420"/>
      <c r="E363" s="47"/>
      <c r="F363" s="47"/>
      <c r="G363" s="47"/>
      <c r="H363" s="421"/>
      <c r="I363" s="420"/>
      <c r="J363" s="420"/>
      <c r="K363" s="47"/>
      <c r="L363" s="422"/>
      <c r="M363" s="423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5.75" hidden="1" customHeight="1" outlineLevel="1">
      <c r="A364" s="47"/>
      <c r="B364" s="47"/>
      <c r="C364" s="420"/>
      <c r="D364" s="420"/>
      <c r="E364" s="47"/>
      <c r="F364" s="47"/>
      <c r="G364" s="47"/>
      <c r="H364" s="421"/>
      <c r="I364" s="420"/>
      <c r="J364" s="420"/>
      <c r="K364" s="47"/>
      <c r="L364" s="422"/>
      <c r="M364" s="423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5.75" hidden="1" customHeight="1" outlineLevel="1">
      <c r="A365" s="47"/>
      <c r="B365" s="47"/>
      <c r="C365" s="420"/>
      <c r="D365" s="420"/>
      <c r="E365" s="47"/>
      <c r="F365" s="47"/>
      <c r="G365" s="47"/>
      <c r="H365" s="421"/>
      <c r="I365" s="420"/>
      <c r="J365" s="420"/>
      <c r="K365" s="47"/>
      <c r="L365" s="422"/>
      <c r="M365" s="423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5.75" hidden="1" customHeight="1" outlineLevel="1">
      <c r="A366" s="47"/>
      <c r="B366" s="47"/>
      <c r="C366" s="420"/>
      <c r="D366" s="420"/>
      <c r="E366" s="47"/>
      <c r="F366" s="47"/>
      <c r="G366" s="47"/>
      <c r="H366" s="421"/>
      <c r="I366" s="420"/>
      <c r="J366" s="420"/>
      <c r="K366" s="47"/>
      <c r="L366" s="422"/>
      <c r="M366" s="423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autoFilter ref="$A$4:$Q$167"/>
  <mergeCells count="2">
    <mergeCell ref="A1:F1"/>
    <mergeCell ref="H1:L1"/>
  </mergeCells>
  <conditionalFormatting sqref="G1:G35 G67:G1000">
    <cfRule type="expression" dxfId="6" priority="1">
      <formula>LEN(TRIM(G1))&gt;0</formula>
    </cfRule>
  </conditionalFormatting>
  <conditionalFormatting sqref="M35">
    <cfRule type="expression" dxfId="6" priority="2">
      <formula>LEN(TRIM(M35))&gt;0</formula>
    </cfRule>
  </conditionalFormatting>
  <conditionalFormatting sqref="M1:M1000">
    <cfRule type="expression" dxfId="6" priority="3">
      <formula>LEN(TRIM(M1))&gt;0</formula>
    </cfRule>
  </conditionalFormatting>
  <dataValidations>
    <dataValidation type="custom" allowBlank="1" showDropDown="1" sqref="L4:L11 L13:L19 L21:L32 L34 L37:L61 L64:L65 L68 L71 L81 L84 L86 L92 L97:L99">
      <formula1>AND(ISNUMBER(L4),(NOT(OR(NOT(ISERROR(DATEVALUE(L4))),AND(ISNUMBER(L4),LEFT(CELL("format",L4))="D")))))</formula1>
    </dataValidation>
  </dataValidations>
  <hyperlinks>
    <hyperlink r:id="rId1" ref="N165"/>
  </hyperlinks>
  <printOptions/>
  <pageMargins bottom="0.39375" footer="0.0" header="0.0" left="0.196527777777778" right="0.196527777777778" top="0.196527777777778"/>
  <pageSetup paperSize="9"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5" width="14.0"/>
    <col customWidth="1" min="16" max="16" width="8.71"/>
    <col customWidth="1" min="17" max="17" width="18.0"/>
    <col customWidth="1" min="18" max="18" width="8.0"/>
    <col customWidth="1" min="19" max="26" width="8.71"/>
  </cols>
  <sheetData>
    <row r="1" ht="15.0" customHeight="1">
      <c r="A1" s="424" t="s">
        <v>2011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Q1" s="47"/>
      <c r="R1" s="47"/>
    </row>
    <row r="2" ht="23.25" customHeight="1">
      <c r="A2" s="92" t="s">
        <v>144</v>
      </c>
      <c r="B2" s="92" t="s">
        <v>2012</v>
      </c>
      <c r="C2" s="92" t="s">
        <v>2013</v>
      </c>
      <c r="D2" s="92" t="s">
        <v>160</v>
      </c>
      <c r="E2" s="92" t="s">
        <v>2014</v>
      </c>
      <c r="F2" s="92" t="s">
        <v>2015</v>
      </c>
      <c r="G2" s="92" t="s">
        <v>173</v>
      </c>
      <c r="H2" s="92" t="s">
        <v>173</v>
      </c>
      <c r="I2" s="92" t="s">
        <v>1906</v>
      </c>
      <c r="J2" s="92" t="s">
        <v>1908</v>
      </c>
      <c r="K2" s="92" t="s">
        <v>1591</v>
      </c>
      <c r="L2" s="92" t="s">
        <v>2016</v>
      </c>
      <c r="M2" s="92" t="s">
        <v>2017</v>
      </c>
      <c r="N2" s="92" t="s">
        <v>2018</v>
      </c>
      <c r="O2" s="92" t="s">
        <v>1592</v>
      </c>
      <c r="Q2" s="425" t="s">
        <v>2019</v>
      </c>
      <c r="R2" s="47"/>
    </row>
    <row r="3" ht="15.0" customHeight="1">
      <c r="A3" s="424">
        <v>1.0</v>
      </c>
      <c r="B3" s="424" t="s">
        <v>2020</v>
      </c>
      <c r="C3" s="424" t="s">
        <v>2021</v>
      </c>
      <c r="D3" s="424" t="s">
        <v>1488</v>
      </c>
      <c r="E3" s="424" t="s">
        <v>2022</v>
      </c>
      <c r="F3" s="424" t="s">
        <v>2023</v>
      </c>
      <c r="G3" s="424" t="s">
        <v>2024</v>
      </c>
      <c r="H3" s="424" t="s">
        <v>2025</v>
      </c>
      <c r="I3" s="424">
        <v>1.0</v>
      </c>
      <c r="J3" s="424" t="s">
        <v>2026</v>
      </c>
      <c r="K3" s="424" t="s">
        <v>2027</v>
      </c>
      <c r="L3" s="424"/>
      <c r="M3" s="424"/>
      <c r="N3" s="424"/>
      <c r="O3" s="424"/>
      <c r="Q3" s="426" t="s">
        <v>2028</v>
      </c>
      <c r="R3" s="427">
        <f>COUNTA($D$3:$D$500)</f>
        <v>64</v>
      </c>
    </row>
    <row r="4" ht="15.0" customHeight="1">
      <c r="A4" s="424">
        <v>3.0</v>
      </c>
      <c r="B4" s="424" t="s">
        <v>2020</v>
      </c>
      <c r="C4" s="424" t="s">
        <v>2021</v>
      </c>
      <c r="D4" s="424" t="s">
        <v>2029</v>
      </c>
      <c r="E4" s="424" t="s">
        <v>2030</v>
      </c>
      <c r="F4" s="424" t="s">
        <v>2023</v>
      </c>
      <c r="G4" s="424" t="s">
        <v>2031</v>
      </c>
      <c r="H4" s="424" t="s">
        <v>2032</v>
      </c>
      <c r="I4" s="424">
        <v>1.0</v>
      </c>
      <c r="J4" s="424" t="s">
        <v>2026</v>
      </c>
      <c r="K4" s="424"/>
      <c r="L4" s="424"/>
      <c r="M4" s="424"/>
      <c r="N4" s="424"/>
      <c r="O4" s="424"/>
      <c r="Q4" s="426" t="s">
        <v>2033</v>
      </c>
      <c r="R4" s="427">
        <f>COUNTIF($K$3:$K$500,"TERPAKAI")</f>
        <v>33</v>
      </c>
    </row>
    <row r="5" ht="15.0" customHeight="1">
      <c r="A5" s="424">
        <v>4.0</v>
      </c>
      <c r="B5" s="424" t="s">
        <v>2020</v>
      </c>
      <c r="C5" s="424" t="s">
        <v>2021</v>
      </c>
      <c r="D5" s="424" t="s">
        <v>1502</v>
      </c>
      <c r="E5" s="424" t="s">
        <v>2034</v>
      </c>
      <c r="F5" s="424" t="s">
        <v>2023</v>
      </c>
      <c r="G5" s="424" t="s">
        <v>2031</v>
      </c>
      <c r="H5" s="424" t="s">
        <v>2032</v>
      </c>
      <c r="I5" s="424">
        <v>1.0</v>
      </c>
      <c r="J5" s="424" t="s">
        <v>2026</v>
      </c>
      <c r="K5" s="424" t="s">
        <v>2027</v>
      </c>
      <c r="L5" s="424"/>
      <c r="M5" s="424"/>
      <c r="N5" s="424"/>
      <c r="O5" s="424"/>
      <c r="Q5" s="426" t="s">
        <v>2035</v>
      </c>
      <c r="R5" s="427">
        <f>$R$3-$R$4</f>
        <v>31</v>
      </c>
    </row>
    <row r="6" ht="15.0" customHeight="1">
      <c r="A6" s="424">
        <v>5.0</v>
      </c>
      <c r="B6" s="424" t="s">
        <v>2020</v>
      </c>
      <c r="C6" s="424" t="s">
        <v>2021</v>
      </c>
      <c r="D6" s="424" t="s">
        <v>2003</v>
      </c>
      <c r="E6" s="424" t="s">
        <v>2036</v>
      </c>
      <c r="F6" s="424" t="s">
        <v>2023</v>
      </c>
      <c r="G6" s="424" t="s">
        <v>2037</v>
      </c>
      <c r="H6" s="424" t="s">
        <v>2038</v>
      </c>
      <c r="I6" s="424">
        <v>1.0</v>
      </c>
      <c r="J6" s="424" t="s">
        <v>2026</v>
      </c>
      <c r="K6" s="424"/>
      <c r="L6" s="424"/>
      <c r="M6" s="424"/>
      <c r="N6" s="424"/>
      <c r="O6" s="424"/>
      <c r="Q6" s="426" t="s">
        <v>2039</v>
      </c>
      <c r="R6" s="427">
        <f>COUNTA('13_ONT_EROR'!$D$3:$D$500)</f>
        <v>36</v>
      </c>
    </row>
    <row r="7" ht="15.0" customHeight="1">
      <c r="A7" s="424">
        <v>6.0</v>
      </c>
      <c r="B7" s="424" t="s">
        <v>2020</v>
      </c>
      <c r="C7" s="424" t="s">
        <v>2021</v>
      </c>
      <c r="D7" s="424" t="s">
        <v>1535</v>
      </c>
      <c r="E7" s="424" t="s">
        <v>2040</v>
      </c>
      <c r="F7" s="424" t="s">
        <v>2023</v>
      </c>
      <c r="G7" s="424" t="s">
        <v>2041</v>
      </c>
      <c r="H7" s="424" t="s">
        <v>2042</v>
      </c>
      <c r="I7" s="424">
        <v>1.0</v>
      </c>
      <c r="J7" s="424" t="s">
        <v>2026</v>
      </c>
      <c r="K7" s="424" t="s">
        <v>2027</v>
      </c>
      <c r="L7" s="424"/>
      <c r="M7" s="424"/>
      <c r="N7" s="424"/>
      <c r="O7" s="424"/>
      <c r="Q7" s="47"/>
      <c r="R7" s="47"/>
    </row>
    <row r="8" ht="15.0" customHeight="1">
      <c r="A8" s="424">
        <v>8.0</v>
      </c>
      <c r="B8" s="424" t="s">
        <v>2020</v>
      </c>
      <c r="C8" s="424" t="s">
        <v>2021</v>
      </c>
      <c r="D8" s="424" t="s">
        <v>2043</v>
      </c>
      <c r="E8" s="424" t="s">
        <v>2044</v>
      </c>
      <c r="F8" s="424" t="s">
        <v>2023</v>
      </c>
      <c r="G8" s="424" t="s">
        <v>2045</v>
      </c>
      <c r="H8" s="424" t="s">
        <v>2046</v>
      </c>
      <c r="I8" s="424">
        <v>1.0</v>
      </c>
      <c r="J8" s="424" t="s">
        <v>2026</v>
      </c>
      <c r="K8" s="424" t="s">
        <v>2027</v>
      </c>
      <c r="L8" s="424"/>
      <c r="M8" s="424"/>
      <c r="N8" s="424"/>
      <c r="O8" s="424"/>
      <c r="Q8" s="47"/>
      <c r="R8" s="47"/>
    </row>
    <row r="9" ht="15.0" customHeight="1">
      <c r="A9" s="424">
        <v>9.0</v>
      </c>
      <c r="B9" s="424" t="s">
        <v>2020</v>
      </c>
      <c r="C9" s="424" t="s">
        <v>2021</v>
      </c>
      <c r="D9" s="424" t="s">
        <v>2047</v>
      </c>
      <c r="E9" s="424" t="s">
        <v>2048</v>
      </c>
      <c r="F9" s="424" t="s">
        <v>2023</v>
      </c>
      <c r="G9" s="424" t="s">
        <v>2049</v>
      </c>
      <c r="H9" s="424" t="s">
        <v>2050</v>
      </c>
      <c r="I9" s="424">
        <v>1.0</v>
      </c>
      <c r="J9" s="424" t="s">
        <v>2026</v>
      </c>
      <c r="K9" s="424" t="s">
        <v>2027</v>
      </c>
      <c r="L9" s="424" t="s">
        <v>2051</v>
      </c>
      <c r="M9" s="424" t="s">
        <v>2052</v>
      </c>
      <c r="N9" s="424"/>
      <c r="O9" s="424"/>
      <c r="Q9" s="47"/>
      <c r="R9" s="47"/>
    </row>
    <row r="10" ht="15.0" customHeight="1">
      <c r="A10" s="424">
        <v>10.0</v>
      </c>
      <c r="B10" s="424" t="s">
        <v>2020</v>
      </c>
      <c r="C10" s="424" t="s">
        <v>2021</v>
      </c>
      <c r="D10" s="424" t="s">
        <v>1392</v>
      </c>
      <c r="E10" s="424" t="s">
        <v>2053</v>
      </c>
      <c r="F10" s="424" t="s">
        <v>2023</v>
      </c>
      <c r="G10" s="424" t="s">
        <v>2024</v>
      </c>
      <c r="H10" s="424" t="s">
        <v>2025</v>
      </c>
      <c r="I10" s="424">
        <v>1.0</v>
      </c>
      <c r="J10" s="424" t="s">
        <v>2026</v>
      </c>
      <c r="K10" s="424"/>
      <c r="L10" s="424"/>
      <c r="M10" s="424"/>
      <c r="N10" s="424"/>
      <c r="O10" s="424"/>
      <c r="Q10" s="47"/>
      <c r="R10" s="47"/>
    </row>
    <row r="11" ht="15.0" customHeight="1">
      <c r="A11" s="424">
        <v>11.0</v>
      </c>
      <c r="B11" s="424" t="s">
        <v>2020</v>
      </c>
      <c r="C11" s="424" t="s">
        <v>2021</v>
      </c>
      <c r="D11" s="424" t="s">
        <v>1508</v>
      </c>
      <c r="E11" s="424" t="s">
        <v>2054</v>
      </c>
      <c r="F11" s="424" t="s">
        <v>2023</v>
      </c>
      <c r="G11" s="424" t="s">
        <v>2037</v>
      </c>
      <c r="H11" s="424" t="s">
        <v>2038</v>
      </c>
      <c r="I11" s="424">
        <v>1.0</v>
      </c>
      <c r="J11" s="424" t="s">
        <v>2026</v>
      </c>
      <c r="K11" s="424" t="s">
        <v>2027</v>
      </c>
      <c r="L11" s="424"/>
      <c r="M11" s="424"/>
      <c r="N11" s="424"/>
      <c r="O11" s="424"/>
      <c r="Q11" s="47"/>
      <c r="R11" s="47"/>
    </row>
    <row r="12" ht="15.0" customHeight="1">
      <c r="A12" s="424">
        <v>12.0</v>
      </c>
      <c r="B12" s="424" t="s">
        <v>2020</v>
      </c>
      <c r="C12" s="424" t="s">
        <v>2021</v>
      </c>
      <c r="D12" s="424" t="s">
        <v>1514</v>
      </c>
      <c r="E12" s="424" t="s">
        <v>2055</v>
      </c>
      <c r="F12" s="424" t="s">
        <v>2023</v>
      </c>
      <c r="G12" s="424" t="s">
        <v>2031</v>
      </c>
      <c r="H12" s="424" t="s">
        <v>2032</v>
      </c>
      <c r="I12" s="424">
        <v>1.0</v>
      </c>
      <c r="J12" s="424" t="s">
        <v>2026</v>
      </c>
      <c r="K12" s="424" t="s">
        <v>2027</v>
      </c>
      <c r="L12" s="424"/>
      <c r="M12" s="424"/>
      <c r="N12" s="424"/>
      <c r="O12" s="424"/>
      <c r="Q12" s="47"/>
      <c r="R12" s="47"/>
    </row>
    <row r="13" ht="15.0" customHeight="1">
      <c r="A13" s="424">
        <v>13.0</v>
      </c>
      <c r="B13" s="424" t="s">
        <v>2020</v>
      </c>
      <c r="C13" s="424" t="s">
        <v>2021</v>
      </c>
      <c r="D13" s="424" t="s">
        <v>1480</v>
      </c>
      <c r="E13" s="424" t="s">
        <v>2056</v>
      </c>
      <c r="F13" s="424" t="s">
        <v>2023</v>
      </c>
      <c r="G13" s="424" t="s">
        <v>2057</v>
      </c>
      <c r="H13" s="424" t="s">
        <v>2058</v>
      </c>
      <c r="I13" s="424">
        <v>1.0</v>
      </c>
      <c r="J13" s="424" t="s">
        <v>2026</v>
      </c>
      <c r="K13" s="424" t="s">
        <v>2027</v>
      </c>
      <c r="L13" s="424"/>
      <c r="M13" s="424"/>
      <c r="N13" s="424"/>
      <c r="O13" s="424"/>
      <c r="Q13" s="47"/>
      <c r="R13" s="47"/>
    </row>
    <row r="14" ht="15.0" customHeight="1">
      <c r="A14" s="424">
        <v>16.0</v>
      </c>
      <c r="B14" s="424" t="s">
        <v>2020</v>
      </c>
      <c r="C14" s="424" t="s">
        <v>2021</v>
      </c>
      <c r="D14" s="424" t="s">
        <v>2059</v>
      </c>
      <c r="E14" s="424" t="s">
        <v>2060</v>
      </c>
      <c r="F14" s="424" t="s">
        <v>2023</v>
      </c>
      <c r="G14" s="424" t="s">
        <v>2061</v>
      </c>
      <c r="H14" s="424" t="s">
        <v>2062</v>
      </c>
      <c r="I14" s="424">
        <v>1.0</v>
      </c>
      <c r="J14" s="424" t="s">
        <v>2026</v>
      </c>
      <c r="K14" s="424"/>
      <c r="L14" s="424"/>
      <c r="M14" s="424"/>
      <c r="N14" s="424"/>
      <c r="O14" s="424"/>
      <c r="Q14" s="47"/>
      <c r="R14" s="47"/>
    </row>
    <row r="15" ht="15.0" customHeight="1">
      <c r="A15" s="424">
        <v>17.0</v>
      </c>
      <c r="B15" s="424" t="s">
        <v>2020</v>
      </c>
      <c r="C15" s="424" t="s">
        <v>2021</v>
      </c>
      <c r="D15" s="424" t="s">
        <v>2063</v>
      </c>
      <c r="E15" s="424" t="s">
        <v>2064</v>
      </c>
      <c r="F15" s="424" t="s">
        <v>2023</v>
      </c>
      <c r="G15" s="424" t="s">
        <v>2065</v>
      </c>
      <c r="H15" s="424" t="s">
        <v>2066</v>
      </c>
      <c r="I15" s="424">
        <v>1.0</v>
      </c>
      <c r="J15" s="424" t="s">
        <v>2026</v>
      </c>
      <c r="K15" s="424" t="s">
        <v>2027</v>
      </c>
      <c r="L15" s="424" t="s">
        <v>2051</v>
      </c>
      <c r="M15" s="424" t="s">
        <v>2052</v>
      </c>
      <c r="N15" s="424"/>
      <c r="O15" s="424"/>
      <c r="Q15" s="47"/>
      <c r="R15" s="47"/>
    </row>
    <row r="16" ht="15.0" customHeight="1">
      <c r="A16" s="424">
        <v>18.0</v>
      </c>
      <c r="B16" s="424" t="s">
        <v>2020</v>
      </c>
      <c r="C16" s="424" t="s">
        <v>2021</v>
      </c>
      <c r="D16" s="424" t="s">
        <v>2067</v>
      </c>
      <c r="E16" s="424" t="s">
        <v>2068</v>
      </c>
      <c r="F16" s="424" t="s">
        <v>2023</v>
      </c>
      <c r="G16" s="424" t="s">
        <v>2069</v>
      </c>
      <c r="H16" s="424" t="s">
        <v>2070</v>
      </c>
      <c r="I16" s="424">
        <v>1.0</v>
      </c>
      <c r="J16" s="424" t="s">
        <v>2026</v>
      </c>
      <c r="K16" s="424"/>
      <c r="L16" s="424"/>
      <c r="M16" s="424"/>
      <c r="N16" s="424"/>
      <c r="O16" s="424"/>
      <c r="Q16" s="47"/>
      <c r="R16" s="47"/>
    </row>
    <row r="17" ht="15.0" customHeight="1">
      <c r="A17" s="424">
        <v>19.0</v>
      </c>
      <c r="B17" s="424" t="s">
        <v>2020</v>
      </c>
      <c r="C17" s="424" t="s">
        <v>2021</v>
      </c>
      <c r="D17" s="424" t="s">
        <v>2071</v>
      </c>
      <c r="E17" s="424" t="s">
        <v>2072</v>
      </c>
      <c r="F17" s="424" t="s">
        <v>2023</v>
      </c>
      <c r="G17" s="424" t="s">
        <v>2031</v>
      </c>
      <c r="H17" s="424" t="s">
        <v>2032</v>
      </c>
      <c r="I17" s="424">
        <v>1.0</v>
      </c>
      <c r="J17" s="424" t="s">
        <v>2026</v>
      </c>
      <c r="K17" s="424" t="s">
        <v>2027</v>
      </c>
      <c r="L17" s="424" t="s">
        <v>2073</v>
      </c>
      <c r="M17" s="424" t="s">
        <v>2074</v>
      </c>
      <c r="N17" s="424"/>
      <c r="O17" s="424"/>
      <c r="Q17" s="47"/>
      <c r="R17" s="47"/>
    </row>
    <row r="18" ht="15.0" customHeight="1">
      <c r="A18" s="424">
        <v>20.0</v>
      </c>
      <c r="B18" s="424" t="s">
        <v>2020</v>
      </c>
      <c r="C18" s="424" t="s">
        <v>2021</v>
      </c>
      <c r="D18" s="424" t="s">
        <v>1430</v>
      </c>
      <c r="E18" s="424" t="s">
        <v>2075</v>
      </c>
      <c r="F18" s="424" t="s">
        <v>2023</v>
      </c>
      <c r="G18" s="424" t="s">
        <v>2076</v>
      </c>
      <c r="H18" s="424" t="s">
        <v>2077</v>
      </c>
      <c r="I18" s="424">
        <v>1.0</v>
      </c>
      <c r="J18" s="424" t="s">
        <v>2026</v>
      </c>
      <c r="K18" s="424" t="s">
        <v>2027</v>
      </c>
      <c r="L18" s="424"/>
      <c r="M18" s="424"/>
      <c r="N18" s="424"/>
      <c r="O18" s="424"/>
      <c r="Q18" s="47"/>
      <c r="R18" s="47"/>
    </row>
    <row r="19" ht="15.0" customHeight="1">
      <c r="A19" s="424">
        <v>21.0</v>
      </c>
      <c r="B19" s="424" t="s">
        <v>2020</v>
      </c>
      <c r="C19" s="424" t="s">
        <v>2021</v>
      </c>
      <c r="D19" s="424" t="s">
        <v>1445</v>
      </c>
      <c r="E19" s="424" t="s">
        <v>2078</v>
      </c>
      <c r="F19" s="424" t="s">
        <v>2023</v>
      </c>
      <c r="G19" s="424" t="s">
        <v>2079</v>
      </c>
      <c r="H19" s="424" t="s">
        <v>2080</v>
      </c>
      <c r="I19" s="424">
        <v>1.0</v>
      </c>
      <c r="J19" s="424" t="s">
        <v>2026</v>
      </c>
      <c r="K19" s="424" t="s">
        <v>2027</v>
      </c>
      <c r="L19" s="424"/>
      <c r="M19" s="424"/>
      <c r="N19" s="424"/>
      <c r="O19" s="424"/>
      <c r="Q19" s="47"/>
      <c r="R19" s="47"/>
    </row>
    <row r="20" ht="15.0" customHeight="1">
      <c r="A20" s="424">
        <v>22.0</v>
      </c>
      <c r="B20" s="424" t="s">
        <v>2020</v>
      </c>
      <c r="C20" s="424" t="s">
        <v>2021</v>
      </c>
      <c r="D20" s="424" t="s">
        <v>2081</v>
      </c>
      <c r="E20" s="424" t="s">
        <v>2082</v>
      </c>
      <c r="F20" s="424" t="s">
        <v>2023</v>
      </c>
      <c r="G20" s="424" t="s">
        <v>2049</v>
      </c>
      <c r="H20" s="424" t="s">
        <v>2050</v>
      </c>
      <c r="I20" s="424">
        <v>1.0</v>
      </c>
      <c r="J20" s="424" t="s">
        <v>2026</v>
      </c>
      <c r="K20" s="424" t="s">
        <v>2027</v>
      </c>
      <c r="L20" s="424"/>
      <c r="M20" s="424"/>
      <c r="N20" s="424"/>
      <c r="O20" s="424"/>
      <c r="Q20" s="47"/>
      <c r="R20" s="47"/>
    </row>
    <row r="21" ht="15.0" customHeight="1">
      <c r="A21" s="424">
        <v>26.0</v>
      </c>
      <c r="B21" s="424" t="s">
        <v>2020</v>
      </c>
      <c r="C21" s="424" t="s">
        <v>2021</v>
      </c>
      <c r="D21" s="424" t="s">
        <v>1424</v>
      </c>
      <c r="E21" s="424" t="s">
        <v>2083</v>
      </c>
      <c r="F21" s="424" t="s">
        <v>2023</v>
      </c>
      <c r="G21" s="424" t="s">
        <v>2037</v>
      </c>
      <c r="H21" s="424" t="s">
        <v>2038</v>
      </c>
      <c r="I21" s="424">
        <v>1.0</v>
      </c>
      <c r="J21" s="424" t="s">
        <v>2026</v>
      </c>
      <c r="K21" s="424" t="s">
        <v>2027</v>
      </c>
      <c r="L21" s="424"/>
      <c r="M21" s="424"/>
      <c r="N21" s="424"/>
      <c r="O21" s="424"/>
      <c r="Q21" s="47"/>
      <c r="R21" s="47"/>
    </row>
    <row r="22" ht="15.0" customHeight="1">
      <c r="A22" s="424">
        <v>27.0</v>
      </c>
      <c r="B22" s="424" t="s">
        <v>2020</v>
      </c>
      <c r="C22" s="424" t="s">
        <v>2021</v>
      </c>
      <c r="D22" s="424" t="s">
        <v>1439</v>
      </c>
      <c r="E22" s="424" t="s">
        <v>2084</v>
      </c>
      <c r="F22" s="424" t="s">
        <v>2023</v>
      </c>
      <c r="G22" s="424" t="s">
        <v>2085</v>
      </c>
      <c r="H22" s="424" t="s">
        <v>2086</v>
      </c>
      <c r="I22" s="424">
        <v>1.0</v>
      </c>
      <c r="J22" s="424" t="s">
        <v>2026</v>
      </c>
      <c r="K22" s="424" t="s">
        <v>2027</v>
      </c>
      <c r="L22" s="424"/>
      <c r="M22" s="424"/>
      <c r="N22" s="424"/>
      <c r="O22" s="424"/>
      <c r="Q22" s="47"/>
      <c r="R22" s="47"/>
    </row>
    <row r="23" ht="15.0" customHeight="1">
      <c r="A23" s="424">
        <v>28.0</v>
      </c>
      <c r="B23" s="424" t="s">
        <v>2020</v>
      </c>
      <c r="C23" s="424" t="s">
        <v>2021</v>
      </c>
      <c r="D23" s="424" t="s">
        <v>1467</v>
      </c>
      <c r="E23" s="424" t="s">
        <v>2087</v>
      </c>
      <c r="F23" s="424" t="s">
        <v>2023</v>
      </c>
      <c r="G23" s="424" t="s">
        <v>2061</v>
      </c>
      <c r="H23" s="424" t="s">
        <v>2062</v>
      </c>
      <c r="I23" s="424">
        <v>1.0</v>
      </c>
      <c r="J23" s="424" t="s">
        <v>2026</v>
      </c>
      <c r="K23" s="424" t="s">
        <v>2027</v>
      </c>
      <c r="L23" s="424"/>
      <c r="M23" s="424"/>
      <c r="N23" s="424"/>
      <c r="O23" s="424"/>
      <c r="Q23" s="47"/>
      <c r="R23" s="47"/>
    </row>
    <row r="24" ht="15.0" customHeight="1">
      <c r="A24" s="424">
        <v>29.0</v>
      </c>
      <c r="B24" s="424" t="s">
        <v>2020</v>
      </c>
      <c r="C24" s="424" t="s">
        <v>2021</v>
      </c>
      <c r="D24" s="424" t="s">
        <v>1474</v>
      </c>
      <c r="E24" s="424" t="s">
        <v>2088</v>
      </c>
      <c r="F24" s="424" t="s">
        <v>2023</v>
      </c>
      <c r="G24" s="424" t="s">
        <v>2041</v>
      </c>
      <c r="H24" s="424" t="s">
        <v>2042</v>
      </c>
      <c r="I24" s="424">
        <v>1.0</v>
      </c>
      <c r="J24" s="424" t="s">
        <v>2026</v>
      </c>
      <c r="K24" s="424" t="s">
        <v>2027</v>
      </c>
      <c r="L24" s="424"/>
      <c r="M24" s="424"/>
      <c r="N24" s="424"/>
      <c r="O24" s="424"/>
      <c r="Q24" s="47"/>
      <c r="R24" s="47"/>
    </row>
    <row r="25" ht="15.0" customHeight="1">
      <c r="A25" s="424">
        <v>30.0</v>
      </c>
      <c r="B25" s="424" t="s">
        <v>2020</v>
      </c>
      <c r="C25" s="424" t="s">
        <v>2021</v>
      </c>
      <c r="D25" s="424" t="s">
        <v>2089</v>
      </c>
      <c r="E25" s="424" t="s">
        <v>2090</v>
      </c>
      <c r="F25" s="424" t="s">
        <v>2023</v>
      </c>
      <c r="G25" s="424" t="s">
        <v>2069</v>
      </c>
      <c r="H25" s="424" t="s">
        <v>2070</v>
      </c>
      <c r="I25" s="424">
        <v>1.0</v>
      </c>
      <c r="J25" s="424" t="s">
        <v>2026</v>
      </c>
      <c r="K25" s="424" t="s">
        <v>2027</v>
      </c>
      <c r="L25" s="424" t="s">
        <v>2051</v>
      </c>
      <c r="M25" s="424" t="s">
        <v>2052</v>
      </c>
      <c r="N25" s="424"/>
      <c r="O25" s="424"/>
      <c r="Q25" s="47"/>
      <c r="R25" s="47"/>
    </row>
    <row r="26" ht="15.0" customHeight="1">
      <c r="A26" s="424">
        <v>31.0</v>
      </c>
      <c r="B26" s="424" t="s">
        <v>2020</v>
      </c>
      <c r="C26" s="424" t="s">
        <v>2021</v>
      </c>
      <c r="D26" s="424" t="s">
        <v>1327</v>
      </c>
      <c r="E26" s="424" t="s">
        <v>2091</v>
      </c>
      <c r="F26" s="424" t="s">
        <v>2023</v>
      </c>
      <c r="G26" s="424" t="s">
        <v>2037</v>
      </c>
      <c r="H26" s="424" t="s">
        <v>2038</v>
      </c>
      <c r="I26" s="424">
        <v>1.0</v>
      </c>
      <c r="J26" s="424" t="s">
        <v>2026</v>
      </c>
      <c r="K26" s="424" t="s">
        <v>2027</v>
      </c>
      <c r="L26" s="428">
        <v>46216.0</v>
      </c>
      <c r="M26" s="424" t="s">
        <v>2092</v>
      </c>
      <c r="N26" s="424" t="s">
        <v>679</v>
      </c>
      <c r="O26" s="424" t="s">
        <v>1322</v>
      </c>
      <c r="Q26" s="47"/>
      <c r="R26" s="47"/>
    </row>
    <row r="27" ht="15.0" customHeight="1">
      <c r="A27" s="424">
        <v>32.0</v>
      </c>
      <c r="B27" s="424" t="s">
        <v>2020</v>
      </c>
      <c r="C27" s="424" t="s">
        <v>2021</v>
      </c>
      <c r="D27" s="424" t="s">
        <v>2093</v>
      </c>
      <c r="E27" s="424" t="s">
        <v>2094</v>
      </c>
      <c r="F27" s="424" t="s">
        <v>2023</v>
      </c>
      <c r="G27" s="424" t="s">
        <v>2095</v>
      </c>
      <c r="H27" s="424" t="s">
        <v>2096</v>
      </c>
      <c r="I27" s="424">
        <v>1.0</v>
      </c>
      <c r="J27" s="424" t="s">
        <v>2026</v>
      </c>
      <c r="K27" s="424" t="s">
        <v>2097</v>
      </c>
      <c r="L27" s="428">
        <v>46216.0</v>
      </c>
      <c r="M27" s="424" t="s">
        <v>2092</v>
      </c>
      <c r="N27" s="424"/>
      <c r="O27" s="424"/>
      <c r="Q27" s="47"/>
      <c r="R27" s="47"/>
    </row>
    <row r="28" ht="15.0" customHeight="1">
      <c r="A28" s="424">
        <v>33.0</v>
      </c>
      <c r="B28" s="424" t="s">
        <v>2020</v>
      </c>
      <c r="C28" s="424" t="s">
        <v>2021</v>
      </c>
      <c r="D28" s="424" t="s">
        <v>1555</v>
      </c>
      <c r="E28" s="424" t="s">
        <v>2098</v>
      </c>
      <c r="F28" s="424" t="s">
        <v>2023</v>
      </c>
      <c r="G28" s="424" t="s">
        <v>2099</v>
      </c>
      <c r="H28" s="424" t="s">
        <v>2100</v>
      </c>
      <c r="I28" s="424">
        <v>1.0</v>
      </c>
      <c r="J28" s="424" t="s">
        <v>2026</v>
      </c>
      <c r="K28" s="424" t="s">
        <v>2027</v>
      </c>
      <c r="L28" s="428">
        <v>46218.0</v>
      </c>
      <c r="M28" s="424" t="s">
        <v>2052</v>
      </c>
      <c r="N28" s="424"/>
      <c r="O28" s="424"/>
      <c r="Q28" s="47"/>
      <c r="R28" s="47"/>
    </row>
    <row r="29" ht="15.0" customHeight="1">
      <c r="A29" s="424">
        <v>34.0</v>
      </c>
      <c r="B29" s="424" t="s">
        <v>2020</v>
      </c>
      <c r="C29" s="424" t="s">
        <v>2021</v>
      </c>
      <c r="D29" s="424" t="s">
        <v>2101</v>
      </c>
      <c r="E29" s="424" t="s">
        <v>2102</v>
      </c>
      <c r="F29" s="424" t="s">
        <v>2023</v>
      </c>
      <c r="G29" s="424" t="s">
        <v>2045</v>
      </c>
      <c r="H29" s="424" t="s">
        <v>2046</v>
      </c>
      <c r="I29" s="424">
        <v>1.0</v>
      </c>
      <c r="J29" s="424" t="s">
        <v>2026</v>
      </c>
      <c r="K29" s="424"/>
      <c r="L29" s="424"/>
      <c r="M29" s="424"/>
      <c r="N29" s="424"/>
      <c r="O29" s="424"/>
      <c r="Q29" s="47"/>
      <c r="R29" s="47"/>
    </row>
    <row r="30" ht="15.0" customHeight="1">
      <c r="A30" s="424">
        <v>35.0</v>
      </c>
      <c r="B30" s="424" t="s">
        <v>2020</v>
      </c>
      <c r="C30" s="424" t="s">
        <v>2021</v>
      </c>
      <c r="D30" s="424" t="s">
        <v>2103</v>
      </c>
      <c r="E30" s="424" t="s">
        <v>2104</v>
      </c>
      <c r="F30" s="424" t="s">
        <v>2023</v>
      </c>
      <c r="G30" s="424" t="s">
        <v>2099</v>
      </c>
      <c r="H30" s="424" t="s">
        <v>2100</v>
      </c>
      <c r="I30" s="424">
        <v>1.0</v>
      </c>
      <c r="J30" s="424" t="s">
        <v>2026</v>
      </c>
      <c r="K30" s="424"/>
      <c r="L30" s="424"/>
      <c r="M30" s="424"/>
      <c r="N30" s="424"/>
      <c r="O30" s="424"/>
      <c r="Q30" s="47"/>
      <c r="R30" s="47"/>
    </row>
    <row r="31" ht="15.0" customHeight="1">
      <c r="A31" s="424">
        <v>36.0</v>
      </c>
      <c r="B31" s="424" t="s">
        <v>2020</v>
      </c>
      <c r="C31" s="424" t="s">
        <v>2021</v>
      </c>
      <c r="D31" s="424" t="s">
        <v>2105</v>
      </c>
      <c r="E31" s="424" t="s">
        <v>2106</v>
      </c>
      <c r="F31" s="424" t="s">
        <v>2023</v>
      </c>
      <c r="G31" s="424" t="s">
        <v>2061</v>
      </c>
      <c r="H31" s="424" t="s">
        <v>2062</v>
      </c>
      <c r="I31" s="424">
        <v>1.0</v>
      </c>
      <c r="J31" s="424" t="s">
        <v>2026</v>
      </c>
      <c r="K31" s="424"/>
      <c r="L31" s="424"/>
      <c r="M31" s="424"/>
      <c r="N31" s="424"/>
      <c r="O31" s="424"/>
      <c r="Q31" s="47"/>
      <c r="R31" s="47"/>
    </row>
    <row r="32" ht="15.0" customHeight="1">
      <c r="A32" s="424">
        <v>37.0</v>
      </c>
      <c r="B32" s="424" t="s">
        <v>2020</v>
      </c>
      <c r="C32" s="424" t="s">
        <v>2021</v>
      </c>
      <c r="D32" s="424" t="s">
        <v>2107</v>
      </c>
      <c r="E32" s="424" t="s">
        <v>2108</v>
      </c>
      <c r="F32" s="424" t="s">
        <v>2023</v>
      </c>
      <c r="G32" s="424" t="s">
        <v>2085</v>
      </c>
      <c r="H32" s="424" t="s">
        <v>2086</v>
      </c>
      <c r="I32" s="424">
        <v>1.0</v>
      </c>
      <c r="J32" s="424" t="s">
        <v>2026</v>
      </c>
      <c r="K32" s="424"/>
      <c r="L32" s="424"/>
      <c r="M32" s="424"/>
      <c r="N32" s="424"/>
      <c r="O32" s="424"/>
      <c r="Q32" s="47"/>
      <c r="R32" s="47"/>
    </row>
    <row r="33" ht="15.0" customHeight="1">
      <c r="A33" s="424">
        <v>38.0</v>
      </c>
      <c r="B33" s="424" t="s">
        <v>2020</v>
      </c>
      <c r="C33" s="424" t="s">
        <v>2021</v>
      </c>
      <c r="D33" s="424" t="s">
        <v>1496</v>
      </c>
      <c r="E33" s="424" t="s">
        <v>2109</v>
      </c>
      <c r="F33" s="424" t="s">
        <v>2023</v>
      </c>
      <c r="G33" s="424" t="s">
        <v>2065</v>
      </c>
      <c r="H33" s="424" t="s">
        <v>2066</v>
      </c>
      <c r="I33" s="424">
        <v>1.0</v>
      </c>
      <c r="J33" s="424" t="s">
        <v>2026</v>
      </c>
      <c r="K33" s="424" t="s">
        <v>2027</v>
      </c>
      <c r="L33" s="424"/>
      <c r="M33" s="424"/>
      <c r="N33" s="424"/>
      <c r="O33" s="424"/>
      <c r="Q33" s="47"/>
      <c r="R33" s="47"/>
    </row>
    <row r="34" ht="15.0" customHeight="1">
      <c r="A34" s="424">
        <v>39.0</v>
      </c>
      <c r="B34" s="424" t="s">
        <v>2020</v>
      </c>
      <c r="C34" s="424" t="s">
        <v>2021</v>
      </c>
      <c r="D34" s="424" t="s">
        <v>231</v>
      </c>
      <c r="E34" s="424" t="s">
        <v>2110</v>
      </c>
      <c r="F34" s="424" t="s">
        <v>2023</v>
      </c>
      <c r="G34" s="424" t="s">
        <v>2111</v>
      </c>
      <c r="H34" s="424" t="s">
        <v>2112</v>
      </c>
      <c r="I34" s="424">
        <v>1.0</v>
      </c>
      <c r="J34" s="424" t="s">
        <v>2026</v>
      </c>
      <c r="K34" s="424" t="s">
        <v>2027</v>
      </c>
      <c r="L34" s="428">
        <v>46215.0</v>
      </c>
      <c r="M34" s="424" t="s">
        <v>2052</v>
      </c>
      <c r="N34" s="424" t="s">
        <v>227</v>
      </c>
      <c r="O34" s="424" t="s">
        <v>226</v>
      </c>
      <c r="Q34" s="47"/>
      <c r="R34" s="47"/>
    </row>
    <row r="35" ht="15.0" customHeight="1">
      <c r="A35" s="424">
        <v>40.0</v>
      </c>
      <c r="B35" s="424" t="s">
        <v>2020</v>
      </c>
      <c r="C35" s="424" t="s">
        <v>2021</v>
      </c>
      <c r="D35" s="424" t="s">
        <v>1416</v>
      </c>
      <c r="E35" s="424" t="s">
        <v>2113</v>
      </c>
      <c r="F35" s="424" t="s">
        <v>2023</v>
      </c>
      <c r="G35" s="424" t="s">
        <v>2065</v>
      </c>
      <c r="H35" s="424" t="s">
        <v>2066</v>
      </c>
      <c r="I35" s="424">
        <v>1.0</v>
      </c>
      <c r="J35" s="424" t="s">
        <v>2026</v>
      </c>
      <c r="K35" s="424" t="s">
        <v>2027</v>
      </c>
      <c r="L35" s="424"/>
      <c r="M35" s="424"/>
      <c r="N35" s="424"/>
      <c r="O35" s="424"/>
      <c r="Q35" s="47"/>
      <c r="R35" s="47"/>
    </row>
    <row r="36" ht="15.0" customHeight="1">
      <c r="A36" s="424">
        <v>41.0</v>
      </c>
      <c r="B36" s="424" t="s">
        <v>2020</v>
      </c>
      <c r="C36" s="424" t="s">
        <v>2021</v>
      </c>
      <c r="D36" s="424" t="s">
        <v>1575</v>
      </c>
      <c r="E36" s="424" t="s">
        <v>2114</v>
      </c>
      <c r="F36" s="424" t="s">
        <v>2023</v>
      </c>
      <c r="G36" s="424" t="s">
        <v>2037</v>
      </c>
      <c r="H36" s="424" t="s">
        <v>2038</v>
      </c>
      <c r="I36" s="424">
        <v>1.0</v>
      </c>
      <c r="J36" s="424" t="s">
        <v>2026</v>
      </c>
      <c r="K36" s="424" t="s">
        <v>2027</v>
      </c>
      <c r="L36" s="424" t="s">
        <v>2073</v>
      </c>
      <c r="M36" s="424" t="s">
        <v>2074</v>
      </c>
      <c r="N36" s="424"/>
      <c r="O36" s="424"/>
      <c r="Q36" s="47"/>
      <c r="R36" s="47"/>
    </row>
    <row r="37" ht="15.0" customHeight="1">
      <c r="A37" s="424">
        <v>42.0</v>
      </c>
      <c r="B37" s="424" t="s">
        <v>2020</v>
      </c>
      <c r="C37" s="424" t="s">
        <v>2021</v>
      </c>
      <c r="D37" s="424" t="s">
        <v>2115</v>
      </c>
      <c r="E37" s="424" t="s">
        <v>2116</v>
      </c>
      <c r="F37" s="424" t="s">
        <v>2023</v>
      </c>
      <c r="G37" s="424" t="s">
        <v>2099</v>
      </c>
      <c r="H37" s="424" t="s">
        <v>2100</v>
      </c>
      <c r="I37" s="424">
        <v>1.0</v>
      </c>
      <c r="J37" s="424" t="s">
        <v>2026</v>
      </c>
      <c r="K37" s="424" t="s">
        <v>2027</v>
      </c>
      <c r="L37" s="428">
        <v>46218.0</v>
      </c>
      <c r="M37" s="424" t="s">
        <v>2052</v>
      </c>
      <c r="N37" s="424"/>
      <c r="O37" s="424"/>
      <c r="Q37" s="47"/>
      <c r="R37" s="47"/>
    </row>
    <row r="38" ht="15.0" customHeight="1">
      <c r="A38" s="424">
        <v>43.0</v>
      </c>
      <c r="B38" s="424" t="s">
        <v>2020</v>
      </c>
      <c r="C38" s="424" t="s">
        <v>2021</v>
      </c>
      <c r="D38" s="424" t="s">
        <v>1569</v>
      </c>
      <c r="E38" s="424" t="s">
        <v>2117</v>
      </c>
      <c r="F38" s="424" t="s">
        <v>2023</v>
      </c>
      <c r="G38" s="424" t="s">
        <v>2061</v>
      </c>
      <c r="H38" s="424" t="s">
        <v>2062</v>
      </c>
      <c r="I38" s="424">
        <v>1.0</v>
      </c>
      <c r="J38" s="424" t="s">
        <v>2026</v>
      </c>
      <c r="K38" s="424" t="s">
        <v>2027</v>
      </c>
      <c r="L38" s="424" t="s">
        <v>2073</v>
      </c>
      <c r="M38" s="424" t="s">
        <v>2074</v>
      </c>
      <c r="N38" s="424"/>
      <c r="O38" s="424"/>
      <c r="Q38" s="47"/>
      <c r="R38" s="47"/>
    </row>
    <row r="39" ht="15.0" customHeight="1">
      <c r="A39" s="424">
        <v>44.0</v>
      </c>
      <c r="B39" s="424" t="s">
        <v>2020</v>
      </c>
      <c r="C39" s="424" t="s">
        <v>2021</v>
      </c>
      <c r="D39" s="424" t="s">
        <v>1527</v>
      </c>
      <c r="E39" s="424" t="s">
        <v>2118</v>
      </c>
      <c r="F39" s="424" t="s">
        <v>2023</v>
      </c>
      <c r="G39" s="424" t="s">
        <v>2031</v>
      </c>
      <c r="H39" s="424" t="s">
        <v>2032</v>
      </c>
      <c r="I39" s="424">
        <v>1.0</v>
      </c>
      <c r="J39" s="424" t="s">
        <v>2026</v>
      </c>
      <c r="K39" s="424"/>
      <c r="L39" s="424"/>
      <c r="M39" s="424"/>
      <c r="N39" s="424"/>
      <c r="O39" s="424"/>
      <c r="Q39" s="47"/>
      <c r="R39" s="47"/>
    </row>
    <row r="40" ht="15.0" customHeight="1">
      <c r="A40" s="424">
        <v>45.0</v>
      </c>
      <c r="B40" s="424" t="s">
        <v>2020</v>
      </c>
      <c r="C40" s="424" t="s">
        <v>2021</v>
      </c>
      <c r="D40" s="424" t="s">
        <v>2119</v>
      </c>
      <c r="E40" s="424" t="s">
        <v>2120</v>
      </c>
      <c r="F40" s="424" t="s">
        <v>2023</v>
      </c>
      <c r="G40" s="424" t="s">
        <v>2095</v>
      </c>
      <c r="H40" s="424" t="s">
        <v>2096</v>
      </c>
      <c r="I40" s="424">
        <v>1.0</v>
      </c>
      <c r="J40" s="424" t="s">
        <v>2026</v>
      </c>
      <c r="K40" s="424"/>
      <c r="L40" s="424"/>
      <c r="M40" s="424"/>
      <c r="N40" s="424"/>
      <c r="O40" s="424"/>
      <c r="Q40" s="47"/>
      <c r="R40" s="47"/>
    </row>
    <row r="41" ht="15.0" customHeight="1">
      <c r="A41" s="424">
        <v>46.0</v>
      </c>
      <c r="B41" s="424" t="s">
        <v>2020</v>
      </c>
      <c r="C41" s="424" t="s">
        <v>2021</v>
      </c>
      <c r="D41" s="424" t="s">
        <v>1548</v>
      </c>
      <c r="E41" s="424" t="s">
        <v>2121</v>
      </c>
      <c r="F41" s="424" t="s">
        <v>2023</v>
      </c>
      <c r="G41" s="424" t="s">
        <v>2045</v>
      </c>
      <c r="H41" s="424" t="s">
        <v>2046</v>
      </c>
      <c r="I41" s="424">
        <v>1.0</v>
      </c>
      <c r="J41" s="424" t="s">
        <v>2026</v>
      </c>
      <c r="K41" s="424"/>
      <c r="L41" s="424"/>
      <c r="M41" s="424"/>
      <c r="N41" s="424"/>
      <c r="O41" s="424"/>
      <c r="Q41" s="47"/>
      <c r="R41" s="47"/>
    </row>
    <row r="42" ht="15.0" customHeight="1">
      <c r="A42" s="424">
        <v>47.0</v>
      </c>
      <c r="B42" s="424" t="s">
        <v>2020</v>
      </c>
      <c r="C42" s="424" t="s">
        <v>2021</v>
      </c>
      <c r="D42" s="424" t="s">
        <v>2122</v>
      </c>
      <c r="E42" s="424" t="s">
        <v>2123</v>
      </c>
      <c r="F42" s="424" t="s">
        <v>2023</v>
      </c>
      <c r="G42" s="424" t="s">
        <v>2111</v>
      </c>
      <c r="H42" s="424" t="s">
        <v>2112</v>
      </c>
      <c r="I42" s="424">
        <v>1.0</v>
      </c>
      <c r="J42" s="424" t="s">
        <v>2026</v>
      </c>
      <c r="K42" s="424"/>
      <c r="L42" s="424"/>
      <c r="M42" s="424"/>
      <c r="N42" s="424"/>
      <c r="O42" s="424"/>
      <c r="Q42" s="47"/>
      <c r="R42" s="47"/>
    </row>
    <row r="43" ht="15.0" customHeight="1">
      <c r="A43" s="424">
        <v>48.0</v>
      </c>
      <c r="B43" s="424" t="s">
        <v>2020</v>
      </c>
      <c r="C43" s="424" t="s">
        <v>2021</v>
      </c>
      <c r="D43" s="424" t="s">
        <v>1543</v>
      </c>
      <c r="E43" s="424" t="s">
        <v>2124</v>
      </c>
      <c r="F43" s="424" t="s">
        <v>2023</v>
      </c>
      <c r="G43" s="424" t="s">
        <v>2037</v>
      </c>
      <c r="H43" s="424" t="s">
        <v>2038</v>
      </c>
      <c r="I43" s="424">
        <v>1.0</v>
      </c>
      <c r="J43" s="424" t="s">
        <v>2026</v>
      </c>
      <c r="K43" s="424"/>
      <c r="L43" s="424"/>
      <c r="M43" s="424"/>
      <c r="N43" s="424"/>
      <c r="O43" s="424"/>
      <c r="Q43" s="47"/>
      <c r="R43" s="47"/>
    </row>
    <row r="44" ht="15.0" customHeight="1">
      <c r="A44" s="424">
        <v>49.0</v>
      </c>
      <c r="B44" s="424" t="s">
        <v>2020</v>
      </c>
      <c r="C44" s="424" t="s">
        <v>2021</v>
      </c>
      <c r="D44" s="424" t="s">
        <v>1522</v>
      </c>
      <c r="E44" s="424" t="s">
        <v>2125</v>
      </c>
      <c r="F44" s="424" t="s">
        <v>2023</v>
      </c>
      <c r="G44" s="424" t="s">
        <v>2099</v>
      </c>
      <c r="H44" s="424" t="s">
        <v>2100</v>
      </c>
      <c r="I44" s="424">
        <v>1.0</v>
      </c>
      <c r="J44" s="424" t="s">
        <v>2026</v>
      </c>
      <c r="K44" s="424"/>
      <c r="L44" s="424"/>
      <c r="M44" s="424"/>
      <c r="N44" s="424"/>
      <c r="O44" s="424"/>
      <c r="Q44" s="47"/>
      <c r="R44" s="47"/>
    </row>
    <row r="45" ht="15.0" customHeight="1">
      <c r="A45" s="424">
        <v>50.0</v>
      </c>
      <c r="B45" s="424" t="s">
        <v>2020</v>
      </c>
      <c r="C45" s="424" t="s">
        <v>2021</v>
      </c>
      <c r="D45" s="424" t="s">
        <v>1408</v>
      </c>
      <c r="E45" s="424" t="s">
        <v>2126</v>
      </c>
      <c r="F45" s="424" t="s">
        <v>2023</v>
      </c>
      <c r="G45" s="424" t="s">
        <v>2041</v>
      </c>
      <c r="H45" s="424" t="s">
        <v>2042</v>
      </c>
      <c r="I45" s="424">
        <v>1.0</v>
      </c>
      <c r="J45" s="424" t="s">
        <v>2026</v>
      </c>
      <c r="K45" s="424" t="s">
        <v>2027</v>
      </c>
      <c r="L45" s="424"/>
      <c r="M45" s="424"/>
      <c r="N45" s="424"/>
      <c r="O45" s="424"/>
      <c r="Q45" s="47"/>
      <c r="R45" s="47"/>
    </row>
    <row r="46" ht="15.0" customHeight="1">
      <c r="A46" s="424">
        <v>51.0</v>
      </c>
      <c r="B46" s="424" t="s">
        <v>2020</v>
      </c>
      <c r="C46" s="424" t="s">
        <v>2021</v>
      </c>
      <c r="D46" s="424" t="s">
        <v>552</v>
      </c>
      <c r="E46" s="424" t="s">
        <v>2127</v>
      </c>
      <c r="F46" s="424" t="s">
        <v>2023</v>
      </c>
      <c r="G46" s="424" t="s">
        <v>2076</v>
      </c>
      <c r="H46" s="424" t="s">
        <v>2077</v>
      </c>
      <c r="I46" s="424">
        <v>1.0</v>
      </c>
      <c r="J46" s="424" t="s">
        <v>2026</v>
      </c>
      <c r="K46" s="424"/>
      <c r="L46" s="424"/>
      <c r="M46" s="424"/>
      <c r="N46" s="424"/>
      <c r="O46" s="424"/>
      <c r="Q46" s="47"/>
      <c r="R46" s="47"/>
    </row>
    <row r="47" ht="15.0" customHeight="1">
      <c r="A47" s="424">
        <v>52.0</v>
      </c>
      <c r="B47" s="424" t="s">
        <v>2020</v>
      </c>
      <c r="C47" s="424" t="s">
        <v>2021</v>
      </c>
      <c r="D47" s="424" t="s">
        <v>1562</v>
      </c>
      <c r="E47" s="424" t="s">
        <v>2128</v>
      </c>
      <c r="F47" s="424" t="s">
        <v>2023</v>
      </c>
      <c r="G47" s="424" t="s">
        <v>2041</v>
      </c>
      <c r="H47" s="424" t="s">
        <v>2042</v>
      </c>
      <c r="I47" s="424">
        <v>1.0</v>
      </c>
      <c r="J47" s="424" t="s">
        <v>2026</v>
      </c>
      <c r="K47" s="424" t="s">
        <v>2027</v>
      </c>
      <c r="L47" s="424" t="s">
        <v>2073</v>
      </c>
      <c r="M47" s="424" t="s">
        <v>2074</v>
      </c>
      <c r="N47" s="424"/>
      <c r="O47" s="424"/>
      <c r="Q47" s="47"/>
      <c r="R47" s="47"/>
    </row>
    <row r="48" ht="15.0" customHeight="1">
      <c r="A48" s="424">
        <v>53.0</v>
      </c>
      <c r="B48" s="424" t="s">
        <v>2020</v>
      </c>
      <c r="C48" s="424" t="s">
        <v>2021</v>
      </c>
      <c r="D48" s="424" t="s">
        <v>2129</v>
      </c>
      <c r="E48" s="424" t="s">
        <v>2130</v>
      </c>
      <c r="F48" s="424" t="s">
        <v>2023</v>
      </c>
      <c r="G48" s="424" t="s">
        <v>2057</v>
      </c>
      <c r="H48" s="424" t="s">
        <v>2058</v>
      </c>
      <c r="I48" s="424">
        <v>1.0</v>
      </c>
      <c r="J48" s="424" t="s">
        <v>2026</v>
      </c>
      <c r="K48" s="424"/>
      <c r="L48" s="424"/>
      <c r="M48" s="424"/>
      <c r="N48" s="424"/>
      <c r="O48" s="424"/>
      <c r="Q48" s="47"/>
      <c r="R48" s="47"/>
    </row>
    <row r="49" ht="15.0" customHeight="1">
      <c r="A49" s="424">
        <v>54.0</v>
      </c>
      <c r="B49" s="424" t="s">
        <v>2020</v>
      </c>
      <c r="C49" s="424" t="s">
        <v>2021</v>
      </c>
      <c r="D49" s="424" t="s">
        <v>2131</v>
      </c>
      <c r="E49" s="424" t="s">
        <v>2132</v>
      </c>
      <c r="F49" s="424" t="s">
        <v>2023</v>
      </c>
      <c r="G49" s="424" t="s">
        <v>2045</v>
      </c>
      <c r="H49" s="424" t="s">
        <v>2046</v>
      </c>
      <c r="I49" s="424">
        <v>1.0</v>
      </c>
      <c r="J49" s="424" t="s">
        <v>2026</v>
      </c>
      <c r="K49" s="424"/>
      <c r="L49" s="424"/>
      <c r="M49" s="424"/>
      <c r="N49" s="424"/>
      <c r="O49" s="424"/>
      <c r="Q49" s="47"/>
      <c r="R49" s="47"/>
    </row>
    <row r="50" ht="15.0" customHeight="1">
      <c r="A50" s="424">
        <v>55.0</v>
      </c>
      <c r="B50" s="424" t="s">
        <v>2020</v>
      </c>
      <c r="C50" s="424" t="s">
        <v>2021</v>
      </c>
      <c r="D50" s="424" t="s">
        <v>2133</v>
      </c>
      <c r="E50" s="424" t="s">
        <v>2134</v>
      </c>
      <c r="F50" s="424" t="s">
        <v>2023</v>
      </c>
      <c r="G50" s="424" t="s">
        <v>2079</v>
      </c>
      <c r="H50" s="424" t="s">
        <v>2080</v>
      </c>
      <c r="I50" s="424">
        <v>1.0</v>
      </c>
      <c r="J50" s="424" t="s">
        <v>2026</v>
      </c>
      <c r="K50" s="424"/>
      <c r="L50" s="424"/>
      <c r="M50" s="424"/>
      <c r="N50" s="424"/>
      <c r="O50" s="424"/>
      <c r="Q50" s="47"/>
      <c r="R50" s="47"/>
    </row>
    <row r="51" ht="15.0" customHeight="1">
      <c r="A51" s="424">
        <v>56.0</v>
      </c>
      <c r="B51" s="424" t="s">
        <v>2020</v>
      </c>
      <c r="C51" s="424" t="s">
        <v>2021</v>
      </c>
      <c r="D51" s="424" t="s">
        <v>2135</v>
      </c>
      <c r="E51" s="424" t="s">
        <v>2136</v>
      </c>
      <c r="F51" s="424" t="s">
        <v>2023</v>
      </c>
      <c r="G51" s="424" t="s">
        <v>2037</v>
      </c>
      <c r="H51" s="424" t="s">
        <v>2038</v>
      </c>
      <c r="I51" s="424">
        <v>1.0</v>
      </c>
      <c r="J51" s="424" t="s">
        <v>2026</v>
      </c>
      <c r="K51" s="424"/>
      <c r="L51" s="424"/>
      <c r="M51" s="424"/>
      <c r="N51" s="424"/>
      <c r="O51" s="424"/>
      <c r="Q51" s="47"/>
      <c r="R51" s="47"/>
    </row>
    <row r="52" ht="15.0" customHeight="1">
      <c r="A52" s="424">
        <v>57.0</v>
      </c>
      <c r="B52" s="424" t="s">
        <v>2020</v>
      </c>
      <c r="C52" s="424" t="s">
        <v>2021</v>
      </c>
      <c r="D52" s="424" t="s">
        <v>2137</v>
      </c>
      <c r="E52" s="424" t="s">
        <v>2138</v>
      </c>
      <c r="F52" s="424" t="s">
        <v>2023</v>
      </c>
      <c r="G52" s="424" t="s">
        <v>2065</v>
      </c>
      <c r="H52" s="424" t="s">
        <v>2066</v>
      </c>
      <c r="I52" s="424">
        <v>1.0</v>
      </c>
      <c r="J52" s="424" t="s">
        <v>2026</v>
      </c>
      <c r="K52" s="424"/>
      <c r="L52" s="424"/>
      <c r="M52" s="424"/>
      <c r="N52" s="424"/>
      <c r="O52" s="424"/>
      <c r="Q52" s="47"/>
      <c r="R52" s="47"/>
    </row>
    <row r="53" ht="15.0" customHeight="1">
      <c r="A53" s="424">
        <v>58.0</v>
      </c>
      <c r="B53" s="424" t="s">
        <v>2020</v>
      </c>
      <c r="C53" s="424" t="s">
        <v>2021</v>
      </c>
      <c r="D53" s="424" t="s">
        <v>2139</v>
      </c>
      <c r="E53" s="424" t="s">
        <v>2140</v>
      </c>
      <c r="F53" s="424" t="s">
        <v>2023</v>
      </c>
      <c r="G53" s="424" t="s">
        <v>2085</v>
      </c>
      <c r="H53" s="424" t="s">
        <v>2086</v>
      </c>
      <c r="I53" s="424">
        <v>1.0</v>
      </c>
      <c r="J53" s="424" t="s">
        <v>2026</v>
      </c>
      <c r="K53" s="424"/>
      <c r="L53" s="424"/>
      <c r="M53" s="424"/>
      <c r="N53" s="424"/>
      <c r="O53" s="424"/>
      <c r="Q53" s="47"/>
      <c r="R53" s="47"/>
    </row>
    <row r="54" ht="15.0" customHeight="1">
      <c r="A54" s="424">
        <v>59.0</v>
      </c>
      <c r="B54" s="424" t="s">
        <v>2020</v>
      </c>
      <c r="C54" s="424" t="s">
        <v>2021</v>
      </c>
      <c r="D54" s="424" t="s">
        <v>2141</v>
      </c>
      <c r="E54" s="424" t="s">
        <v>2142</v>
      </c>
      <c r="F54" s="424" t="s">
        <v>2023</v>
      </c>
      <c r="G54" s="424" t="s">
        <v>2041</v>
      </c>
      <c r="H54" s="424" t="s">
        <v>2042</v>
      </c>
      <c r="I54" s="424">
        <v>1.0</v>
      </c>
      <c r="J54" s="424" t="s">
        <v>2026</v>
      </c>
      <c r="K54" s="424"/>
      <c r="L54" s="424"/>
      <c r="M54" s="424"/>
      <c r="N54" s="424"/>
      <c r="O54" s="424"/>
      <c r="Q54" s="47"/>
      <c r="R54" s="47"/>
    </row>
    <row r="55" ht="15.0" customHeight="1">
      <c r="A55" s="424">
        <v>60.0</v>
      </c>
      <c r="B55" s="424" t="s">
        <v>2020</v>
      </c>
      <c r="C55" s="424" t="s">
        <v>2021</v>
      </c>
      <c r="D55" s="424" t="s">
        <v>1458</v>
      </c>
      <c r="E55" s="424" t="s">
        <v>2143</v>
      </c>
      <c r="F55" s="424" t="s">
        <v>2023</v>
      </c>
      <c r="G55" s="424" t="s">
        <v>2057</v>
      </c>
      <c r="H55" s="424" t="s">
        <v>2058</v>
      </c>
      <c r="I55" s="424">
        <v>1.0</v>
      </c>
      <c r="J55" s="424" t="s">
        <v>2026</v>
      </c>
      <c r="K55" s="424" t="s">
        <v>2027</v>
      </c>
      <c r="L55" s="424"/>
      <c r="M55" s="424"/>
      <c r="N55" s="424"/>
      <c r="O55" s="424"/>
      <c r="Q55" s="47"/>
      <c r="R55" s="47"/>
    </row>
    <row r="56" ht="15.0" customHeight="1">
      <c r="A56" s="424">
        <v>61.0</v>
      </c>
      <c r="B56" s="424" t="s">
        <v>2020</v>
      </c>
      <c r="C56" s="424" t="s">
        <v>2021</v>
      </c>
      <c r="D56" s="424" t="s">
        <v>2144</v>
      </c>
      <c r="E56" s="424" t="s">
        <v>2145</v>
      </c>
      <c r="F56" s="424" t="s">
        <v>2023</v>
      </c>
      <c r="G56" s="424" t="s">
        <v>2099</v>
      </c>
      <c r="H56" s="424" t="s">
        <v>2100</v>
      </c>
      <c r="I56" s="424">
        <v>1.0</v>
      </c>
      <c r="J56" s="424" t="s">
        <v>2026</v>
      </c>
      <c r="K56" s="424"/>
      <c r="L56" s="424"/>
      <c r="M56" s="424"/>
      <c r="N56" s="424"/>
      <c r="O56" s="424"/>
      <c r="Q56" s="47"/>
      <c r="R56" s="47"/>
    </row>
    <row r="57" ht="15.0" customHeight="1">
      <c r="A57" s="424">
        <v>62.0</v>
      </c>
      <c r="B57" s="424" t="s">
        <v>2020</v>
      </c>
      <c r="C57" s="424" t="s">
        <v>2021</v>
      </c>
      <c r="D57" s="424" t="s">
        <v>2141</v>
      </c>
      <c r="E57" s="424" t="s">
        <v>2142</v>
      </c>
      <c r="F57" s="424" t="s">
        <v>2023</v>
      </c>
      <c r="G57" s="424" t="s">
        <v>2041</v>
      </c>
      <c r="H57" s="424" t="s">
        <v>2042</v>
      </c>
      <c r="I57" s="424">
        <v>1.0</v>
      </c>
      <c r="J57" s="424" t="s">
        <v>2026</v>
      </c>
      <c r="K57" s="424"/>
      <c r="L57" s="424"/>
      <c r="M57" s="424"/>
      <c r="N57" s="424"/>
      <c r="O57" s="424"/>
      <c r="Q57" s="47"/>
      <c r="R57" s="47"/>
    </row>
    <row r="58" ht="15.0" customHeight="1">
      <c r="A58" s="424">
        <v>63.0</v>
      </c>
      <c r="B58" s="424" t="s">
        <v>2020</v>
      </c>
      <c r="C58" s="424" t="s">
        <v>2021</v>
      </c>
      <c r="D58" s="424" t="s">
        <v>2146</v>
      </c>
      <c r="E58" s="424" t="s">
        <v>2147</v>
      </c>
      <c r="F58" s="424" t="s">
        <v>2023</v>
      </c>
      <c r="G58" s="424" t="s">
        <v>2111</v>
      </c>
      <c r="H58" s="424" t="s">
        <v>2112</v>
      </c>
      <c r="I58" s="424">
        <v>1.0</v>
      </c>
      <c r="J58" s="424" t="s">
        <v>2026</v>
      </c>
      <c r="K58" s="424" t="s">
        <v>2027</v>
      </c>
      <c r="L58" s="424" t="s">
        <v>2051</v>
      </c>
      <c r="M58" s="424" t="s">
        <v>2052</v>
      </c>
      <c r="N58" s="424"/>
      <c r="O58" s="424"/>
      <c r="Q58" s="47"/>
      <c r="R58" s="47"/>
    </row>
    <row r="59" ht="15.0" customHeight="1">
      <c r="A59" s="424">
        <v>64.0</v>
      </c>
      <c r="B59" s="424" t="s">
        <v>2020</v>
      </c>
      <c r="C59" s="424" t="s">
        <v>2021</v>
      </c>
      <c r="D59" s="424" t="s">
        <v>1400</v>
      </c>
      <c r="E59" s="424" t="s">
        <v>2148</v>
      </c>
      <c r="F59" s="424" t="s">
        <v>2023</v>
      </c>
      <c r="G59" s="424" t="s">
        <v>2065</v>
      </c>
      <c r="H59" s="424" t="s">
        <v>2066</v>
      </c>
      <c r="I59" s="424">
        <v>1.0</v>
      </c>
      <c r="J59" s="424" t="s">
        <v>2026</v>
      </c>
      <c r="K59" s="424" t="s">
        <v>2027</v>
      </c>
      <c r="L59" s="424" t="s">
        <v>2149</v>
      </c>
      <c r="M59" s="424" t="s">
        <v>2092</v>
      </c>
      <c r="N59" s="424"/>
      <c r="O59" s="424"/>
      <c r="Q59" s="47"/>
      <c r="R59" s="47"/>
    </row>
    <row r="60" ht="15.0" customHeight="1">
      <c r="A60" s="424">
        <v>65.0</v>
      </c>
      <c r="B60" s="424" t="s">
        <v>2020</v>
      </c>
      <c r="C60" s="424" t="s">
        <v>2021</v>
      </c>
      <c r="D60" s="424" t="s">
        <v>1384</v>
      </c>
      <c r="E60" s="424" t="s">
        <v>2150</v>
      </c>
      <c r="F60" s="424" t="s">
        <v>2023</v>
      </c>
      <c r="G60" s="424" t="s">
        <v>2095</v>
      </c>
      <c r="H60" s="424" t="s">
        <v>2096</v>
      </c>
      <c r="I60" s="424">
        <v>1.0</v>
      </c>
      <c r="J60" s="424" t="s">
        <v>2026</v>
      </c>
      <c r="K60" s="424"/>
      <c r="L60" s="424"/>
      <c r="M60" s="424"/>
      <c r="N60" s="424"/>
      <c r="O60" s="424"/>
      <c r="Q60" s="47"/>
      <c r="R60" s="47"/>
    </row>
    <row r="61" ht="15.0" customHeight="1">
      <c r="A61" s="424">
        <v>66.0</v>
      </c>
      <c r="B61" s="424" t="s">
        <v>2020</v>
      </c>
      <c r="C61" s="424" t="s">
        <v>2021</v>
      </c>
      <c r="D61" s="424" t="s">
        <v>2151</v>
      </c>
      <c r="E61" s="424" t="s">
        <v>2152</v>
      </c>
      <c r="F61" s="424" t="s">
        <v>2023</v>
      </c>
      <c r="G61" s="424" t="s">
        <v>2085</v>
      </c>
      <c r="H61" s="424" t="s">
        <v>2086</v>
      </c>
      <c r="I61" s="424">
        <v>1.0</v>
      </c>
      <c r="J61" s="424" t="s">
        <v>2026</v>
      </c>
      <c r="K61" s="424"/>
      <c r="L61" s="424"/>
      <c r="M61" s="424"/>
      <c r="N61" s="424"/>
      <c r="O61" s="424"/>
      <c r="Q61" s="47"/>
      <c r="R61" s="47"/>
    </row>
    <row r="62" ht="15.0" customHeight="1">
      <c r="A62" s="424">
        <v>67.0</v>
      </c>
      <c r="B62" s="424" t="s">
        <v>2020</v>
      </c>
      <c r="C62" s="424" t="s">
        <v>2021</v>
      </c>
      <c r="D62" s="424" t="s">
        <v>1376</v>
      </c>
      <c r="E62" s="424" t="s">
        <v>2153</v>
      </c>
      <c r="F62" s="424" t="s">
        <v>2023</v>
      </c>
      <c r="G62" s="424" t="s">
        <v>2031</v>
      </c>
      <c r="H62" s="424" t="s">
        <v>2032</v>
      </c>
      <c r="I62" s="424">
        <v>1.0</v>
      </c>
      <c r="J62" s="424" t="s">
        <v>2026</v>
      </c>
      <c r="K62" s="424"/>
      <c r="L62" s="424"/>
      <c r="M62" s="424"/>
      <c r="N62" s="424"/>
      <c r="O62" s="424"/>
      <c r="Q62" s="47"/>
      <c r="R62" s="47"/>
    </row>
    <row r="63" ht="15.0" customHeight="1">
      <c r="A63" s="424">
        <v>68.0</v>
      </c>
      <c r="B63" s="424" t="s">
        <v>2020</v>
      </c>
      <c r="C63" s="424" t="s">
        <v>2021</v>
      </c>
      <c r="D63" s="424" t="s">
        <v>2154</v>
      </c>
      <c r="E63" s="424" t="s">
        <v>2155</v>
      </c>
      <c r="F63" s="424" t="s">
        <v>2023</v>
      </c>
      <c r="G63" s="424" t="s">
        <v>2085</v>
      </c>
      <c r="H63" s="424" t="s">
        <v>2086</v>
      </c>
      <c r="I63" s="424">
        <v>1.0</v>
      </c>
      <c r="J63" s="424" t="s">
        <v>2026</v>
      </c>
      <c r="K63" s="424"/>
      <c r="L63" s="424"/>
      <c r="M63" s="424"/>
      <c r="N63" s="424"/>
      <c r="O63" s="424"/>
      <c r="Q63" s="47"/>
      <c r="R63" s="47"/>
    </row>
    <row r="64" ht="15.0" customHeight="1">
      <c r="A64" s="424">
        <v>69.0</v>
      </c>
      <c r="B64" s="424" t="s">
        <v>2020</v>
      </c>
      <c r="C64" s="424"/>
      <c r="D64" s="424" t="s">
        <v>567</v>
      </c>
      <c r="E64" s="424" t="s">
        <v>2156</v>
      </c>
      <c r="F64" s="424" t="s">
        <v>2023</v>
      </c>
      <c r="G64" s="424" t="s">
        <v>2157</v>
      </c>
      <c r="H64" s="424" t="s">
        <v>2158</v>
      </c>
      <c r="I64" s="424">
        <v>1.0</v>
      </c>
      <c r="J64" s="424" t="s">
        <v>2026</v>
      </c>
      <c r="K64" s="424"/>
      <c r="L64" s="424"/>
      <c r="M64" s="424"/>
      <c r="N64" s="424"/>
      <c r="O64" s="424"/>
      <c r="Q64" s="47"/>
      <c r="R64" s="47"/>
    </row>
    <row r="65" ht="15.0" customHeight="1">
      <c r="A65" s="424">
        <v>70.0</v>
      </c>
      <c r="B65" s="424" t="s">
        <v>2020</v>
      </c>
      <c r="C65" s="424" t="s">
        <v>2021</v>
      </c>
      <c r="D65" s="424" t="s">
        <v>307</v>
      </c>
      <c r="E65" s="424" t="s">
        <v>2159</v>
      </c>
      <c r="F65" s="424" t="s">
        <v>2023</v>
      </c>
      <c r="G65" s="424" t="s">
        <v>2045</v>
      </c>
      <c r="H65" s="424" t="s">
        <v>2046</v>
      </c>
      <c r="I65" s="424">
        <v>1.0</v>
      </c>
      <c r="J65" s="424" t="s">
        <v>2026</v>
      </c>
      <c r="K65" s="424" t="s">
        <v>2027</v>
      </c>
      <c r="L65" s="424" t="s">
        <v>2160</v>
      </c>
      <c r="M65" s="424" t="s">
        <v>2052</v>
      </c>
      <c r="N65" s="424" t="s">
        <v>302</v>
      </c>
      <c r="O65" s="424" t="s">
        <v>301</v>
      </c>
      <c r="Q65" s="47"/>
      <c r="R65" s="47"/>
    </row>
    <row r="66" ht="15.0" customHeight="1">
      <c r="A66" s="424"/>
      <c r="B66" s="424" t="s">
        <v>2020</v>
      </c>
      <c r="C66" s="424"/>
      <c r="D66" s="424" t="s">
        <v>2161</v>
      </c>
      <c r="E66" s="424" t="s">
        <v>2162</v>
      </c>
      <c r="F66" s="424" t="s">
        <v>2023</v>
      </c>
      <c r="G66" s="424" t="s">
        <v>2163</v>
      </c>
      <c r="H66" s="424" t="s">
        <v>2164</v>
      </c>
      <c r="I66" s="424">
        <v>1.0</v>
      </c>
      <c r="J66" s="424" t="s">
        <v>2026</v>
      </c>
      <c r="K66" s="424" t="s">
        <v>2027</v>
      </c>
      <c r="L66" s="424" t="s">
        <v>2051</v>
      </c>
      <c r="M66" s="424" t="s">
        <v>2052</v>
      </c>
      <c r="N66" s="424"/>
      <c r="O66" s="424"/>
      <c r="Q66" s="47"/>
      <c r="R66" s="47"/>
    </row>
    <row r="67" ht="15.0" customHeight="1">
      <c r="A67" s="424"/>
      <c r="B67" s="424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Q67" s="47"/>
      <c r="R67" s="47"/>
    </row>
    <row r="68" ht="15.0" customHeight="1">
      <c r="A68" s="424"/>
      <c r="B68" s="424"/>
      <c r="C68" s="424"/>
      <c r="D68" s="424"/>
      <c r="E68" s="424"/>
      <c r="F68" s="424"/>
      <c r="G68" s="424"/>
      <c r="H68" s="424" t="s">
        <v>1771</v>
      </c>
      <c r="I68" s="424">
        <v>63.0</v>
      </c>
      <c r="J68" s="424"/>
      <c r="K68" s="424"/>
      <c r="L68" s="424"/>
      <c r="M68" s="424"/>
      <c r="N68" s="424"/>
      <c r="O68" s="424"/>
      <c r="Q68" s="47"/>
      <c r="R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Q69" s="47"/>
      <c r="R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Q70" s="47"/>
      <c r="R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Q71" s="47"/>
      <c r="R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Q72" s="47"/>
      <c r="R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Q73" s="47"/>
      <c r="R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Q74" s="47"/>
      <c r="R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Q75" s="47"/>
      <c r="R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Q76" s="47"/>
      <c r="R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Q77" s="47"/>
      <c r="R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Q78" s="47"/>
      <c r="R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Q79" s="47"/>
      <c r="R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Q80" s="47"/>
      <c r="R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Q81" s="47"/>
      <c r="R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Q82" s="47"/>
      <c r="R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Q83" s="47"/>
      <c r="R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Q84" s="47"/>
      <c r="R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Q85" s="47"/>
      <c r="R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Q86" s="47"/>
      <c r="R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Q87" s="47"/>
      <c r="R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Q88" s="47"/>
      <c r="R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Q89" s="47"/>
      <c r="R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Q90" s="47"/>
      <c r="R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Q91" s="47"/>
      <c r="R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Q92" s="47"/>
      <c r="R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Q93" s="47"/>
      <c r="R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Q94" s="47"/>
      <c r="R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Q95" s="47"/>
      <c r="R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Q96" s="47"/>
      <c r="R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Q97" s="47"/>
      <c r="R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Q98" s="47"/>
      <c r="R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Q99" s="47"/>
      <c r="R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Q100" s="47"/>
      <c r="R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Q101" s="47"/>
      <c r="R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Q102" s="47"/>
      <c r="R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Q103" s="47"/>
      <c r="R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Q104" s="47"/>
      <c r="R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Q105" s="47"/>
      <c r="R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Q106" s="47"/>
      <c r="R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Q107" s="47"/>
      <c r="R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Q108" s="47"/>
      <c r="R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Q109" s="47"/>
      <c r="R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Q110" s="47"/>
      <c r="R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Q111" s="47"/>
      <c r="R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Q112" s="47"/>
      <c r="R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Q113" s="47"/>
      <c r="R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Q114" s="47"/>
      <c r="R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Q115" s="47"/>
      <c r="R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Q116" s="47"/>
      <c r="R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Q117" s="47"/>
      <c r="R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Q118" s="47"/>
      <c r="R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Q119" s="47"/>
      <c r="R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Q120" s="47"/>
      <c r="R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Q121" s="47"/>
      <c r="R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Q122" s="47"/>
      <c r="R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Q123" s="47"/>
      <c r="R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Q124" s="47"/>
      <c r="R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Q125" s="47"/>
      <c r="R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Q126" s="47"/>
      <c r="R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Q127" s="47"/>
      <c r="R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Q128" s="47"/>
      <c r="R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Q129" s="47"/>
      <c r="R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Q130" s="47"/>
      <c r="R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Q131" s="47"/>
      <c r="R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Q132" s="47"/>
      <c r="R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Q133" s="47"/>
      <c r="R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Q134" s="47"/>
      <c r="R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Q135" s="47"/>
      <c r="R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Q136" s="47"/>
      <c r="R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Q137" s="47"/>
      <c r="R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Q138" s="47"/>
      <c r="R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Q139" s="47"/>
      <c r="R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Q140" s="47"/>
      <c r="R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Q141" s="47"/>
      <c r="R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Q142" s="47"/>
      <c r="R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Q143" s="47"/>
      <c r="R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Q144" s="47"/>
      <c r="R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Q145" s="47"/>
      <c r="R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Q146" s="47"/>
      <c r="R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Q147" s="47"/>
      <c r="R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Q148" s="47"/>
      <c r="R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Q149" s="47"/>
      <c r="R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Q150" s="47"/>
      <c r="R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Q151" s="47"/>
      <c r="R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Q152" s="47"/>
      <c r="R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Q153" s="47"/>
      <c r="R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Q154" s="47"/>
      <c r="R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Q155" s="47"/>
      <c r="R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Q156" s="47"/>
      <c r="R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Q157" s="47"/>
      <c r="R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Q158" s="47"/>
      <c r="R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Q159" s="47"/>
      <c r="R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Q160" s="47"/>
      <c r="R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Q161" s="47"/>
      <c r="R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Q162" s="47"/>
      <c r="R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Q163" s="47"/>
      <c r="R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Q164" s="47"/>
      <c r="R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Q165" s="47"/>
      <c r="R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Q166" s="47"/>
      <c r="R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Q167" s="47"/>
      <c r="R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Q168" s="47"/>
      <c r="R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Q169" s="47"/>
      <c r="R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Q170" s="47"/>
      <c r="R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Q171" s="47"/>
      <c r="R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Q172" s="47"/>
      <c r="R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Q173" s="47"/>
      <c r="R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Q174" s="47"/>
      <c r="R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Q175" s="47"/>
      <c r="R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Q176" s="47"/>
      <c r="R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Q177" s="47"/>
      <c r="R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Q178" s="47"/>
      <c r="R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Q179" s="47"/>
      <c r="R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Q180" s="47"/>
      <c r="R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Q181" s="47"/>
      <c r="R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Q182" s="47"/>
      <c r="R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Q183" s="47"/>
      <c r="R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Q184" s="47"/>
      <c r="R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Q185" s="47"/>
      <c r="R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Q186" s="47"/>
      <c r="R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Q187" s="47"/>
      <c r="R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Q188" s="47"/>
      <c r="R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Q189" s="47"/>
      <c r="R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Q190" s="47"/>
      <c r="R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Q191" s="47"/>
      <c r="R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Q192" s="47"/>
      <c r="R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Q193" s="47"/>
      <c r="R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Q194" s="47"/>
      <c r="R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Q195" s="47"/>
      <c r="R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Q196" s="47"/>
      <c r="R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Q197" s="47"/>
      <c r="R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Q198" s="47"/>
      <c r="R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Q199" s="47"/>
      <c r="R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Q200" s="47"/>
      <c r="R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Q201" s="47"/>
      <c r="R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Q202" s="47"/>
      <c r="R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Q203" s="47"/>
      <c r="R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Q204" s="47"/>
      <c r="R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Q205" s="47"/>
      <c r="R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Q206" s="47"/>
      <c r="R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Q207" s="47"/>
      <c r="R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Q208" s="47"/>
      <c r="R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Q209" s="47"/>
      <c r="R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Q210" s="47"/>
      <c r="R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Q211" s="47"/>
      <c r="R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Q212" s="47"/>
      <c r="R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Q213" s="47"/>
      <c r="R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Q214" s="47"/>
      <c r="R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Q215" s="47"/>
      <c r="R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Q216" s="47"/>
      <c r="R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Q217" s="47"/>
      <c r="R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Q218" s="47"/>
      <c r="R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Q219" s="47"/>
      <c r="R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Q220" s="47"/>
      <c r="R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Q221" s="47"/>
      <c r="R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Q222" s="47"/>
      <c r="R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Q223" s="47"/>
      <c r="R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Q224" s="47"/>
      <c r="R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Q225" s="47"/>
      <c r="R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Q226" s="47"/>
      <c r="R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Q227" s="47"/>
      <c r="R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Q228" s="47"/>
      <c r="R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Q229" s="47"/>
      <c r="R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Q230" s="47"/>
      <c r="R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Q231" s="47"/>
      <c r="R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Q232" s="47"/>
      <c r="R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Q233" s="47"/>
      <c r="R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Q234" s="47"/>
      <c r="R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Q235" s="47"/>
      <c r="R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Q236" s="47"/>
      <c r="R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Q237" s="47"/>
      <c r="R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Q238" s="47"/>
      <c r="R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Q239" s="47"/>
      <c r="R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Q240" s="47"/>
      <c r="R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Q241" s="47"/>
      <c r="R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Q242" s="47"/>
      <c r="R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Q243" s="47"/>
      <c r="R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Q244" s="47"/>
      <c r="R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Q245" s="47"/>
      <c r="R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Q246" s="47"/>
      <c r="R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Q247" s="47"/>
      <c r="R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Q248" s="47"/>
      <c r="R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Q249" s="47"/>
      <c r="R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Q250" s="47"/>
      <c r="R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Q251" s="47"/>
      <c r="R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Q252" s="47"/>
      <c r="R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Q253" s="47"/>
      <c r="R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Q254" s="47"/>
      <c r="R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Q255" s="47"/>
      <c r="R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Q256" s="47"/>
      <c r="R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Q257" s="47"/>
      <c r="R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Q258" s="47"/>
      <c r="R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Q259" s="47"/>
      <c r="R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Q260" s="47"/>
      <c r="R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Q261" s="47"/>
      <c r="R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Q262" s="47"/>
      <c r="R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Q263" s="47"/>
      <c r="R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Q264" s="47"/>
      <c r="R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Q265" s="47"/>
      <c r="R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Q266" s="47"/>
      <c r="R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Q267" s="47"/>
      <c r="R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Q268" s="47"/>
      <c r="R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Q269" s="47"/>
      <c r="R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Q270" s="47"/>
      <c r="R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Q271" s="47"/>
      <c r="R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Q272" s="47"/>
      <c r="R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Q273" s="47"/>
      <c r="R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Q274" s="47"/>
      <c r="R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Q275" s="47"/>
      <c r="R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Q276" s="47"/>
      <c r="R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Q277" s="47"/>
      <c r="R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Q278" s="47"/>
      <c r="R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Q279" s="47"/>
      <c r="R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Q280" s="47"/>
      <c r="R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Q281" s="47"/>
      <c r="R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Q282" s="47"/>
      <c r="R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Q283" s="47"/>
      <c r="R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Q284" s="47"/>
      <c r="R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Q285" s="47"/>
      <c r="R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Q286" s="47"/>
      <c r="R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Q287" s="47"/>
      <c r="R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Q288" s="47"/>
      <c r="R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Q289" s="47"/>
      <c r="R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Q290" s="47"/>
      <c r="R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Q291" s="47"/>
      <c r="R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Q292" s="47"/>
      <c r="R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Q293" s="47"/>
      <c r="R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Q294" s="47"/>
      <c r="R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Q295" s="47"/>
      <c r="R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Q296" s="47"/>
      <c r="R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Q297" s="47"/>
      <c r="R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Q298" s="47"/>
      <c r="R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Q299" s="47"/>
      <c r="R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Q300" s="47"/>
      <c r="R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Q301" s="47"/>
      <c r="R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Q302" s="47"/>
      <c r="R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Q303" s="47"/>
      <c r="R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Q304" s="47"/>
      <c r="R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Q305" s="47"/>
      <c r="R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Q306" s="47"/>
      <c r="R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Q307" s="47"/>
      <c r="R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Q308" s="47"/>
      <c r="R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Q309" s="47"/>
      <c r="R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Q310" s="47"/>
      <c r="R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Q311" s="47"/>
      <c r="R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Q312" s="47"/>
      <c r="R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Q313" s="47"/>
      <c r="R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Q314" s="47"/>
      <c r="R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Q315" s="47"/>
      <c r="R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Q316" s="47"/>
      <c r="R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Q317" s="47"/>
      <c r="R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Q318" s="47"/>
      <c r="R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Q319" s="47"/>
      <c r="R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Q320" s="47"/>
      <c r="R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Q321" s="47"/>
      <c r="R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Q322" s="47"/>
      <c r="R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Q323" s="47"/>
      <c r="R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Q324" s="47"/>
      <c r="R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Q325" s="47"/>
      <c r="R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Q326" s="47"/>
      <c r="R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Q327" s="47"/>
      <c r="R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Q328" s="47"/>
      <c r="R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Q329" s="47"/>
      <c r="R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Q330" s="47"/>
      <c r="R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Q331" s="47"/>
      <c r="R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Q332" s="47"/>
      <c r="R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Q333" s="47"/>
      <c r="R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Q334" s="47"/>
      <c r="R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Q335" s="47"/>
      <c r="R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Q336" s="47"/>
      <c r="R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Q337" s="47"/>
      <c r="R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Q338" s="47"/>
      <c r="R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Q339" s="47"/>
      <c r="R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Q340" s="47"/>
      <c r="R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Q341" s="47"/>
      <c r="R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Q342" s="47"/>
      <c r="R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Q343" s="47"/>
      <c r="R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Q344" s="47"/>
      <c r="R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Q345" s="47"/>
      <c r="R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Q346" s="47"/>
      <c r="R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Q347" s="47"/>
      <c r="R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Q348" s="47"/>
      <c r="R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Q349" s="47"/>
      <c r="R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Q350" s="47"/>
      <c r="R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Q351" s="47"/>
      <c r="R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Q352" s="47"/>
      <c r="R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Q353" s="47"/>
      <c r="R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Q354" s="47"/>
      <c r="R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Q355" s="47"/>
      <c r="R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Q356" s="47"/>
      <c r="R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Q357" s="47"/>
      <c r="R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Q358" s="47"/>
      <c r="R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Q359" s="47"/>
      <c r="R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Q360" s="47"/>
      <c r="R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Q361" s="47"/>
      <c r="R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Q362" s="47"/>
      <c r="R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Q363" s="47"/>
      <c r="R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Q364" s="47"/>
      <c r="R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Q365" s="47"/>
      <c r="R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Q366" s="47"/>
      <c r="R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Q367" s="47"/>
      <c r="R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Q368" s="47"/>
      <c r="R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Q369" s="47"/>
      <c r="R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Q370" s="47"/>
      <c r="R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Q371" s="47"/>
      <c r="R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Q372" s="47"/>
      <c r="R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Q373" s="47"/>
      <c r="R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Q374" s="47"/>
      <c r="R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Q375" s="47"/>
      <c r="R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Q376" s="47"/>
      <c r="R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Q377" s="47"/>
      <c r="R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Q378" s="47"/>
      <c r="R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Q379" s="47"/>
      <c r="R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Q380" s="47"/>
      <c r="R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Q381" s="47"/>
      <c r="R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Q382" s="47"/>
      <c r="R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Q383" s="47"/>
      <c r="R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Q384" s="47"/>
      <c r="R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Q385" s="47"/>
      <c r="R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Q386" s="47"/>
      <c r="R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Q387" s="47"/>
      <c r="R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Q388" s="47"/>
      <c r="R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Q389" s="47"/>
      <c r="R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Q390" s="47"/>
      <c r="R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Q391" s="47"/>
      <c r="R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Q392" s="47"/>
      <c r="R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Q393" s="47"/>
      <c r="R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Q394" s="47"/>
      <c r="R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Q395" s="47"/>
      <c r="R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Q396" s="47"/>
      <c r="R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Q397" s="47"/>
      <c r="R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Q398" s="47"/>
      <c r="R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Q399" s="47"/>
      <c r="R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Q400" s="47"/>
      <c r="R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Q401" s="47"/>
      <c r="R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Q402" s="47"/>
      <c r="R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Q403" s="47"/>
      <c r="R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Q404" s="47"/>
      <c r="R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Q405" s="47"/>
      <c r="R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Q406" s="47"/>
      <c r="R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Q407" s="47"/>
      <c r="R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Q408" s="47"/>
      <c r="R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Q409" s="47"/>
      <c r="R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Q410" s="47"/>
      <c r="R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Q411" s="47"/>
      <c r="R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Q412" s="47"/>
      <c r="R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Q413" s="47"/>
      <c r="R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Q414" s="47"/>
      <c r="R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Q415" s="47"/>
      <c r="R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Q416" s="47"/>
      <c r="R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Q417" s="47"/>
      <c r="R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Q418" s="47"/>
      <c r="R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Q419" s="47"/>
      <c r="R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Q420" s="47"/>
      <c r="R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Q421" s="47"/>
      <c r="R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Q422" s="47"/>
      <c r="R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Q423" s="47"/>
      <c r="R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Q424" s="47"/>
      <c r="R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Q425" s="47"/>
      <c r="R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Q426" s="47"/>
      <c r="R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Q427" s="47"/>
      <c r="R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Q428" s="47"/>
      <c r="R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Q429" s="47"/>
      <c r="R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Q430" s="47"/>
      <c r="R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Q431" s="47"/>
      <c r="R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Q432" s="47"/>
      <c r="R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Q433" s="47"/>
      <c r="R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Q434" s="47"/>
      <c r="R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Q435" s="47"/>
      <c r="R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Q436" s="47"/>
      <c r="R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Q437" s="47"/>
      <c r="R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Q438" s="47"/>
      <c r="R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Q439" s="47"/>
      <c r="R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Q440" s="47"/>
      <c r="R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Q441" s="47"/>
      <c r="R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Q442" s="47"/>
      <c r="R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Q443" s="47"/>
      <c r="R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Q444" s="47"/>
      <c r="R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Q445" s="47"/>
      <c r="R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Q446" s="47"/>
      <c r="R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Q447" s="47"/>
      <c r="R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Q448" s="47"/>
      <c r="R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Q449" s="47"/>
      <c r="R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Q450" s="47"/>
      <c r="R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Q451" s="47"/>
      <c r="R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Q452" s="47"/>
      <c r="R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Q453" s="47"/>
      <c r="R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Q454" s="47"/>
      <c r="R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Q455" s="47"/>
      <c r="R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Q456" s="47"/>
      <c r="R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Q457" s="47"/>
      <c r="R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Q458" s="47"/>
      <c r="R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Q459" s="47"/>
      <c r="R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Q460" s="47"/>
      <c r="R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Q461" s="47"/>
      <c r="R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Q462" s="47"/>
      <c r="R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Q463" s="47"/>
      <c r="R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Q464" s="47"/>
      <c r="R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Q465" s="47"/>
      <c r="R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Q466" s="47"/>
      <c r="R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Q467" s="47"/>
      <c r="R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Q468" s="47"/>
      <c r="R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Q469" s="47"/>
      <c r="R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Q470" s="47"/>
      <c r="R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Q471" s="47"/>
      <c r="R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Q472" s="47"/>
      <c r="R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Q473" s="47"/>
      <c r="R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Q474" s="47"/>
      <c r="R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Q475" s="47"/>
      <c r="R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Q476" s="47"/>
      <c r="R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Q477" s="47"/>
      <c r="R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Q478" s="47"/>
      <c r="R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Q479" s="47"/>
      <c r="R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Q480" s="47"/>
      <c r="R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Q481" s="47"/>
      <c r="R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Q482" s="47"/>
      <c r="R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Q483" s="47"/>
      <c r="R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Q484" s="47"/>
      <c r="R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Q485" s="47"/>
      <c r="R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Q486" s="47"/>
      <c r="R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Q487" s="47"/>
      <c r="R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Q488" s="47"/>
      <c r="R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Q489" s="47"/>
      <c r="R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Q490" s="47"/>
      <c r="R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Q491" s="47"/>
      <c r="R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Q492" s="47"/>
      <c r="R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Q493" s="47"/>
      <c r="R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Q494" s="47"/>
      <c r="R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Q495" s="47"/>
      <c r="R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Q496" s="47"/>
      <c r="R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Q497" s="47"/>
      <c r="R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Q498" s="47"/>
      <c r="R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Q499" s="47"/>
      <c r="R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Q500" s="47"/>
      <c r="R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Q501" s="47"/>
      <c r="R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Q502" s="47"/>
      <c r="R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Q503" s="47"/>
      <c r="R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Q504" s="47"/>
      <c r="R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Q505" s="47"/>
      <c r="R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Q506" s="47"/>
      <c r="R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Q507" s="47"/>
      <c r="R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Q508" s="47"/>
      <c r="R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Q509" s="47"/>
      <c r="R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Q510" s="47"/>
      <c r="R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Q511" s="47"/>
      <c r="R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Q512" s="47"/>
      <c r="R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Q513" s="47"/>
      <c r="R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Q514" s="47"/>
      <c r="R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Q515" s="47"/>
      <c r="R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Q516" s="47"/>
      <c r="R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Q517" s="47"/>
      <c r="R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Q518" s="47"/>
      <c r="R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Q519" s="47"/>
      <c r="R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Q520" s="47"/>
      <c r="R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Q521" s="47"/>
      <c r="R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Q522" s="47"/>
      <c r="R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Q523" s="47"/>
      <c r="R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Q524" s="47"/>
      <c r="R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Q525" s="47"/>
      <c r="R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Q526" s="47"/>
      <c r="R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Q527" s="47"/>
      <c r="R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Q528" s="47"/>
      <c r="R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Q529" s="47"/>
      <c r="R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Q530" s="47"/>
      <c r="R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Q531" s="47"/>
      <c r="R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Q532" s="47"/>
      <c r="R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Q533" s="47"/>
      <c r="R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Q534" s="47"/>
      <c r="R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Q535" s="47"/>
      <c r="R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Q536" s="47"/>
      <c r="R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Q537" s="47"/>
      <c r="R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Q538" s="47"/>
      <c r="R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Q539" s="47"/>
      <c r="R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Q540" s="47"/>
      <c r="R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Q541" s="47"/>
      <c r="R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Q542" s="47"/>
      <c r="R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Q543" s="47"/>
      <c r="R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Q544" s="47"/>
      <c r="R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Q545" s="47"/>
      <c r="R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Q546" s="47"/>
      <c r="R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Q547" s="47"/>
      <c r="R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Q548" s="47"/>
      <c r="R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Q549" s="47"/>
      <c r="R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Q550" s="47"/>
      <c r="R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Q551" s="47"/>
      <c r="R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Q552" s="47"/>
      <c r="R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Q553" s="47"/>
      <c r="R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Q554" s="47"/>
      <c r="R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Q555" s="47"/>
      <c r="R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Q556" s="47"/>
      <c r="R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Q557" s="47"/>
      <c r="R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Q558" s="47"/>
      <c r="R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Q559" s="47"/>
      <c r="R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Q560" s="47"/>
      <c r="R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Q561" s="47"/>
      <c r="R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Q562" s="47"/>
      <c r="R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Q563" s="47"/>
      <c r="R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Q564" s="47"/>
      <c r="R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Q565" s="47"/>
      <c r="R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Q566" s="47"/>
      <c r="R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Q567" s="47"/>
      <c r="R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Q568" s="47"/>
      <c r="R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Q569" s="47"/>
      <c r="R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Q570" s="47"/>
      <c r="R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Q571" s="47"/>
      <c r="R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Q572" s="47"/>
      <c r="R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Q573" s="47"/>
      <c r="R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Q574" s="47"/>
      <c r="R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Q575" s="47"/>
      <c r="R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Q576" s="47"/>
      <c r="R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Q577" s="47"/>
      <c r="R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Q578" s="47"/>
      <c r="R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Q579" s="47"/>
      <c r="R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Q580" s="47"/>
      <c r="R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Q581" s="47"/>
      <c r="R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Q582" s="47"/>
      <c r="R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Q583" s="47"/>
      <c r="R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Q584" s="47"/>
      <c r="R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Q585" s="47"/>
      <c r="R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Q586" s="47"/>
      <c r="R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Q587" s="47"/>
      <c r="R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Q588" s="47"/>
      <c r="R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Q589" s="47"/>
      <c r="R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Q590" s="47"/>
      <c r="R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Q591" s="47"/>
      <c r="R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Q592" s="47"/>
      <c r="R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Q593" s="47"/>
      <c r="R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Q594" s="47"/>
      <c r="R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Q595" s="47"/>
      <c r="R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Q596" s="47"/>
      <c r="R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Q597" s="47"/>
      <c r="R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Q598" s="47"/>
      <c r="R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Q599" s="47"/>
      <c r="R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Q600" s="47"/>
      <c r="R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Q601" s="47"/>
      <c r="R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Q602" s="47"/>
      <c r="R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Q603" s="47"/>
      <c r="R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Q604" s="47"/>
      <c r="R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Q605" s="47"/>
      <c r="R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Q606" s="47"/>
      <c r="R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Q607" s="47"/>
      <c r="R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Q608" s="47"/>
      <c r="R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Q609" s="47"/>
      <c r="R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Q610" s="47"/>
      <c r="R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Q611" s="47"/>
      <c r="R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Q612" s="47"/>
      <c r="R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Q613" s="47"/>
      <c r="R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Q614" s="47"/>
      <c r="R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Q615" s="47"/>
      <c r="R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Q616" s="47"/>
      <c r="R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Q617" s="47"/>
      <c r="R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Q618" s="47"/>
      <c r="R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Q619" s="47"/>
      <c r="R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Q620" s="47"/>
      <c r="R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Q621" s="47"/>
      <c r="R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Q622" s="47"/>
      <c r="R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Q623" s="47"/>
      <c r="R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Q624" s="47"/>
      <c r="R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Q625" s="47"/>
      <c r="R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Q626" s="47"/>
      <c r="R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Q627" s="47"/>
      <c r="R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Q628" s="47"/>
      <c r="R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Q629" s="47"/>
      <c r="R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Q630" s="47"/>
      <c r="R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Q631" s="47"/>
      <c r="R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Q632" s="47"/>
      <c r="R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Q633" s="47"/>
      <c r="R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Q634" s="47"/>
      <c r="R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Q635" s="47"/>
      <c r="R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Q636" s="47"/>
      <c r="R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Q637" s="47"/>
      <c r="R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Q638" s="47"/>
      <c r="R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Q639" s="47"/>
      <c r="R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Q640" s="47"/>
      <c r="R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Q641" s="47"/>
      <c r="R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Q642" s="47"/>
      <c r="R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Q643" s="47"/>
      <c r="R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Q644" s="47"/>
      <c r="R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Q645" s="47"/>
      <c r="R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Q646" s="47"/>
      <c r="R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Q647" s="47"/>
      <c r="R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Q648" s="47"/>
      <c r="R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Q649" s="47"/>
      <c r="R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Q650" s="47"/>
      <c r="R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Q651" s="47"/>
      <c r="R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Q652" s="47"/>
      <c r="R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Q653" s="47"/>
      <c r="R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Q654" s="47"/>
      <c r="R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Q655" s="47"/>
      <c r="R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Q656" s="47"/>
      <c r="R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Q657" s="47"/>
      <c r="R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Q658" s="47"/>
      <c r="R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Q659" s="47"/>
      <c r="R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Q660" s="47"/>
      <c r="R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Q661" s="47"/>
      <c r="R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Q662" s="47"/>
      <c r="R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Q663" s="47"/>
      <c r="R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Q664" s="47"/>
      <c r="R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Q665" s="47"/>
      <c r="R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Q666" s="47"/>
      <c r="R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Q667" s="47"/>
      <c r="R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Q668" s="47"/>
      <c r="R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Q669" s="47"/>
      <c r="R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Q670" s="47"/>
      <c r="R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Q671" s="47"/>
      <c r="R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Q672" s="47"/>
      <c r="R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Q673" s="47"/>
      <c r="R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Q674" s="47"/>
      <c r="R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Q675" s="47"/>
      <c r="R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Q676" s="47"/>
      <c r="R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Q677" s="47"/>
      <c r="R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Q678" s="47"/>
      <c r="R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Q679" s="47"/>
      <c r="R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Q680" s="47"/>
      <c r="R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Q681" s="47"/>
      <c r="R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Q682" s="47"/>
      <c r="R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Q683" s="47"/>
      <c r="R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Q684" s="47"/>
      <c r="R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Q685" s="47"/>
      <c r="R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Q686" s="47"/>
      <c r="R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Q687" s="47"/>
      <c r="R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Q688" s="47"/>
      <c r="R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Q689" s="47"/>
      <c r="R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Q690" s="47"/>
      <c r="R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Q691" s="47"/>
      <c r="R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Q692" s="47"/>
      <c r="R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Q693" s="47"/>
      <c r="R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Q694" s="47"/>
      <c r="R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Q695" s="47"/>
      <c r="R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Q696" s="47"/>
      <c r="R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Q697" s="47"/>
      <c r="R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Q698" s="47"/>
      <c r="R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Q699" s="47"/>
      <c r="R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Q700" s="47"/>
      <c r="R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Q701" s="47"/>
      <c r="R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Q702" s="47"/>
      <c r="R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Q703" s="47"/>
      <c r="R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Q704" s="47"/>
      <c r="R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Q705" s="47"/>
      <c r="R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Q706" s="47"/>
      <c r="R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Q707" s="47"/>
      <c r="R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Q708" s="47"/>
      <c r="R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Q709" s="47"/>
      <c r="R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Q710" s="47"/>
      <c r="R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Q711" s="47"/>
      <c r="R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Q712" s="47"/>
      <c r="R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Q713" s="47"/>
      <c r="R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Q714" s="47"/>
      <c r="R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Q715" s="47"/>
      <c r="R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Q716" s="47"/>
      <c r="R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Q717" s="47"/>
      <c r="R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Q718" s="47"/>
      <c r="R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Q719" s="47"/>
      <c r="R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Q720" s="47"/>
      <c r="R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Q721" s="47"/>
      <c r="R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Q722" s="47"/>
      <c r="R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Q723" s="47"/>
      <c r="R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Q724" s="47"/>
      <c r="R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Q725" s="47"/>
      <c r="R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Q726" s="47"/>
      <c r="R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Q727" s="47"/>
      <c r="R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Q728" s="47"/>
      <c r="R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Q729" s="47"/>
      <c r="R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Q730" s="47"/>
      <c r="R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Q731" s="47"/>
      <c r="R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Q732" s="47"/>
      <c r="R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Q733" s="47"/>
      <c r="R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Q734" s="47"/>
      <c r="R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Q735" s="47"/>
      <c r="R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Q736" s="47"/>
      <c r="R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Q737" s="47"/>
      <c r="R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Q738" s="47"/>
      <c r="R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Q739" s="47"/>
      <c r="R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Q740" s="47"/>
      <c r="R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Q741" s="47"/>
      <c r="R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Q742" s="47"/>
      <c r="R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Q743" s="47"/>
      <c r="R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Q744" s="47"/>
      <c r="R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Q745" s="47"/>
      <c r="R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Q746" s="47"/>
      <c r="R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Q747" s="47"/>
      <c r="R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Q748" s="47"/>
      <c r="R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Q749" s="47"/>
      <c r="R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Q750" s="47"/>
      <c r="R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Q751" s="47"/>
      <c r="R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Q752" s="47"/>
      <c r="R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Q753" s="47"/>
      <c r="R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Q754" s="47"/>
      <c r="R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Q755" s="47"/>
      <c r="R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Q756" s="47"/>
      <c r="R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Q757" s="47"/>
      <c r="R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Q758" s="47"/>
      <c r="R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Q759" s="47"/>
      <c r="R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Q760" s="47"/>
      <c r="R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Q761" s="47"/>
      <c r="R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Q762" s="47"/>
      <c r="R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Q763" s="47"/>
      <c r="R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Q764" s="47"/>
      <c r="R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Q765" s="47"/>
      <c r="R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Q766" s="47"/>
      <c r="R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Q767" s="47"/>
      <c r="R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Q768" s="47"/>
      <c r="R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Q769" s="47"/>
      <c r="R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Q770" s="47"/>
      <c r="R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Q771" s="47"/>
      <c r="R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Q772" s="47"/>
      <c r="R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Q773" s="47"/>
      <c r="R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Q774" s="47"/>
      <c r="R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Q775" s="47"/>
      <c r="R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Q776" s="47"/>
      <c r="R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Q777" s="47"/>
      <c r="R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Q778" s="47"/>
      <c r="R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Q779" s="47"/>
      <c r="R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Q780" s="47"/>
      <c r="R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Q781" s="47"/>
      <c r="R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Q782" s="47"/>
      <c r="R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Q783" s="47"/>
      <c r="R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Q784" s="47"/>
      <c r="R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Q785" s="47"/>
      <c r="R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Q786" s="47"/>
      <c r="R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Q787" s="47"/>
      <c r="R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Q788" s="47"/>
      <c r="R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Q789" s="47"/>
      <c r="R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Q790" s="47"/>
      <c r="R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Q791" s="47"/>
      <c r="R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Q792" s="47"/>
      <c r="R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Q793" s="47"/>
      <c r="R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Q794" s="47"/>
      <c r="R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Q795" s="47"/>
      <c r="R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Q796" s="47"/>
      <c r="R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Q797" s="47"/>
      <c r="R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Q798" s="47"/>
      <c r="R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Q799" s="47"/>
      <c r="R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Q800" s="47"/>
      <c r="R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Q801" s="47"/>
      <c r="R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Q802" s="47"/>
      <c r="R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Q803" s="47"/>
      <c r="R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Q804" s="47"/>
      <c r="R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Q805" s="47"/>
      <c r="R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Q806" s="47"/>
      <c r="R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Q807" s="47"/>
      <c r="R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Q808" s="47"/>
      <c r="R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Q809" s="47"/>
      <c r="R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Q810" s="47"/>
      <c r="R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Q811" s="47"/>
      <c r="R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Q812" s="47"/>
      <c r="R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Q813" s="47"/>
      <c r="R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Q814" s="47"/>
      <c r="R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Q815" s="47"/>
      <c r="R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Q816" s="47"/>
      <c r="R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Q817" s="47"/>
      <c r="R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Q818" s="47"/>
      <c r="R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Q819" s="47"/>
      <c r="R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Q820" s="47"/>
      <c r="R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Q821" s="47"/>
      <c r="R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Q822" s="47"/>
      <c r="R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Q823" s="47"/>
      <c r="R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Q824" s="47"/>
      <c r="R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Q825" s="47"/>
      <c r="R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Q826" s="47"/>
      <c r="R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Q827" s="47"/>
      <c r="R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Q828" s="47"/>
      <c r="R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Q829" s="47"/>
      <c r="R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Q830" s="47"/>
      <c r="R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Q831" s="47"/>
      <c r="R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Q832" s="47"/>
      <c r="R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Q833" s="47"/>
      <c r="R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Q834" s="47"/>
      <c r="R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Q835" s="47"/>
      <c r="R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Q836" s="47"/>
      <c r="R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Q837" s="47"/>
      <c r="R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Q838" s="47"/>
      <c r="R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Q839" s="47"/>
      <c r="R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Q840" s="47"/>
      <c r="R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Q841" s="47"/>
      <c r="R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Q842" s="47"/>
      <c r="R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Q843" s="47"/>
      <c r="R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Q844" s="47"/>
      <c r="R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Q845" s="47"/>
      <c r="R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Q846" s="47"/>
      <c r="R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Q847" s="47"/>
      <c r="R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Q848" s="47"/>
      <c r="R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Q849" s="47"/>
      <c r="R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Q850" s="47"/>
      <c r="R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Q851" s="47"/>
      <c r="R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Q852" s="47"/>
      <c r="R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Q853" s="47"/>
      <c r="R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Q854" s="47"/>
      <c r="R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Q855" s="47"/>
      <c r="R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Q856" s="47"/>
      <c r="R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Q857" s="47"/>
      <c r="R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Q858" s="47"/>
      <c r="R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Q859" s="47"/>
      <c r="R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Q860" s="47"/>
      <c r="R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Q861" s="47"/>
      <c r="R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Q862" s="47"/>
      <c r="R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Q863" s="47"/>
      <c r="R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Q864" s="47"/>
      <c r="R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Q865" s="47"/>
      <c r="R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Q866" s="47"/>
      <c r="R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Q867" s="47"/>
      <c r="R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Q868" s="47"/>
      <c r="R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Q869" s="47"/>
      <c r="R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Q870" s="47"/>
      <c r="R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Q871" s="47"/>
      <c r="R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Q872" s="47"/>
      <c r="R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Q873" s="47"/>
      <c r="R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Q874" s="47"/>
      <c r="R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Q875" s="47"/>
      <c r="R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Q876" s="47"/>
      <c r="R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Q877" s="47"/>
      <c r="R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Q878" s="47"/>
      <c r="R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Q879" s="47"/>
      <c r="R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Q880" s="47"/>
      <c r="R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Q881" s="47"/>
      <c r="R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Q882" s="47"/>
      <c r="R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Q883" s="47"/>
      <c r="R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Q884" s="47"/>
      <c r="R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Q885" s="47"/>
      <c r="R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Q886" s="47"/>
      <c r="R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Q887" s="47"/>
      <c r="R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Q888" s="47"/>
      <c r="R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Q889" s="47"/>
      <c r="R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Q890" s="47"/>
      <c r="R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Q891" s="47"/>
      <c r="R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Q892" s="47"/>
      <c r="R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Q893" s="47"/>
      <c r="R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Q894" s="47"/>
      <c r="R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Q895" s="47"/>
      <c r="R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Q896" s="47"/>
      <c r="R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Q897" s="47"/>
      <c r="R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Q898" s="47"/>
      <c r="R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Q899" s="47"/>
      <c r="R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Q900" s="47"/>
      <c r="R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Q901" s="47"/>
      <c r="R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Q902" s="47"/>
      <c r="R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Q903" s="47"/>
      <c r="R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Q904" s="47"/>
      <c r="R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Q905" s="47"/>
      <c r="R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Q906" s="47"/>
      <c r="R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Q907" s="47"/>
      <c r="R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Q908" s="47"/>
      <c r="R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Q909" s="47"/>
      <c r="R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Q910" s="47"/>
      <c r="R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Q911" s="47"/>
      <c r="R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Q912" s="47"/>
      <c r="R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Q913" s="47"/>
      <c r="R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Q914" s="47"/>
      <c r="R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Q915" s="47"/>
      <c r="R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Q916" s="47"/>
      <c r="R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Q917" s="47"/>
      <c r="R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Q918" s="47"/>
      <c r="R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Q919" s="47"/>
      <c r="R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Q920" s="47"/>
      <c r="R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Q921" s="47"/>
      <c r="R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Q922" s="47"/>
      <c r="R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Q923" s="47"/>
      <c r="R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Q924" s="47"/>
      <c r="R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Q925" s="47"/>
      <c r="R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Q926" s="47"/>
      <c r="R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Q927" s="47"/>
      <c r="R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Q928" s="47"/>
      <c r="R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Q929" s="47"/>
      <c r="R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Q930" s="47"/>
      <c r="R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Q931" s="47"/>
      <c r="R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Q932" s="47"/>
      <c r="R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Q933" s="47"/>
      <c r="R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Q934" s="47"/>
      <c r="R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Q935" s="47"/>
      <c r="R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Q936" s="47"/>
      <c r="R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Q937" s="47"/>
      <c r="R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Q938" s="47"/>
      <c r="R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Q939" s="47"/>
      <c r="R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Q940" s="47"/>
      <c r="R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Q941" s="47"/>
      <c r="R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Q942" s="47"/>
      <c r="R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Q943" s="47"/>
      <c r="R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Q944" s="47"/>
      <c r="R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Q945" s="47"/>
      <c r="R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Q946" s="47"/>
      <c r="R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Q947" s="47"/>
      <c r="R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Q948" s="47"/>
      <c r="R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Q949" s="47"/>
      <c r="R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Q950" s="47"/>
      <c r="R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Q951" s="47"/>
      <c r="R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Q952" s="47"/>
      <c r="R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Q953" s="47"/>
      <c r="R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Q954" s="47"/>
      <c r="R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Q955" s="47"/>
      <c r="R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Q956" s="47"/>
      <c r="R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Q957" s="47"/>
      <c r="R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Q958" s="47"/>
      <c r="R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Q959" s="47"/>
      <c r="R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Q960" s="47"/>
      <c r="R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Q961" s="47"/>
      <c r="R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Q962" s="47"/>
      <c r="R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Q963" s="47"/>
      <c r="R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Q964" s="47"/>
      <c r="R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Q965" s="47"/>
      <c r="R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Q966" s="47"/>
      <c r="R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Q967" s="47"/>
      <c r="R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Q968" s="47"/>
      <c r="R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Q969" s="47"/>
      <c r="R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Q970" s="47"/>
      <c r="R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Q971" s="47"/>
      <c r="R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Q972" s="47"/>
      <c r="R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Q973" s="47"/>
      <c r="R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Q974" s="47"/>
      <c r="R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Q975" s="47"/>
      <c r="R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Q976" s="47"/>
      <c r="R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Q977" s="47"/>
      <c r="R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Q978" s="47"/>
      <c r="R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Q979" s="47"/>
      <c r="R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Q980" s="47"/>
      <c r="R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Q981" s="47"/>
      <c r="R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Q982" s="47"/>
      <c r="R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Q983" s="47"/>
      <c r="R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Q984" s="47"/>
      <c r="R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Q985" s="47"/>
      <c r="R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Q986" s="47"/>
      <c r="R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Q987" s="47"/>
      <c r="R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Q988" s="47"/>
      <c r="R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Q989" s="47"/>
      <c r="R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Q990" s="47"/>
      <c r="R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Q991" s="47"/>
      <c r="R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Q992" s="47"/>
      <c r="R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Q993" s="47"/>
      <c r="R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Q994" s="47"/>
      <c r="R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Q995" s="47"/>
      <c r="R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Q996" s="47"/>
      <c r="R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Q997" s="47"/>
      <c r="R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Q998" s="47"/>
      <c r="R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Q999" s="47"/>
      <c r="R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Q1000" s="47"/>
      <c r="R1000" s="47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0" width="14.0"/>
    <col customWidth="1" min="11" max="26" width="8.71"/>
  </cols>
  <sheetData>
    <row r="1" ht="15.0" customHeight="1">
      <c r="A1" s="424" t="s">
        <v>2165</v>
      </c>
      <c r="B1" s="424"/>
      <c r="C1" s="424"/>
      <c r="D1" s="424"/>
      <c r="E1" s="424"/>
      <c r="F1" s="424"/>
      <c r="G1" s="424"/>
      <c r="H1" s="424"/>
      <c r="I1" s="424"/>
      <c r="J1" s="424"/>
    </row>
    <row r="2" ht="23.25" customHeight="1">
      <c r="A2" s="92" t="s">
        <v>144</v>
      </c>
      <c r="B2" s="92" t="s">
        <v>2012</v>
      </c>
      <c r="C2" s="92" t="s">
        <v>2013</v>
      </c>
      <c r="D2" s="92" t="s">
        <v>160</v>
      </c>
      <c r="E2" s="92" t="s">
        <v>2014</v>
      </c>
      <c r="F2" s="92" t="s">
        <v>2015</v>
      </c>
      <c r="G2" s="92" t="s">
        <v>173</v>
      </c>
      <c r="H2" s="92" t="s">
        <v>173</v>
      </c>
      <c r="I2" s="92" t="s">
        <v>1906</v>
      </c>
      <c r="J2" s="92" t="s">
        <v>1908</v>
      </c>
    </row>
    <row r="3" ht="15.0" customHeight="1">
      <c r="A3" s="424">
        <v>1.0</v>
      </c>
      <c r="B3" s="424" t="s">
        <v>2020</v>
      </c>
      <c r="C3" s="424" t="s">
        <v>2021</v>
      </c>
      <c r="D3" s="424" t="s">
        <v>2166</v>
      </c>
      <c r="E3" s="424" t="s">
        <v>2167</v>
      </c>
      <c r="F3" s="424" t="s">
        <v>2023</v>
      </c>
      <c r="G3" s="424" t="s">
        <v>2079</v>
      </c>
      <c r="H3" s="424" t="s">
        <v>2080</v>
      </c>
      <c r="I3" s="424">
        <v>1.0</v>
      </c>
      <c r="J3" s="424" t="s">
        <v>2168</v>
      </c>
    </row>
    <row r="4" ht="15.0" customHeight="1">
      <c r="A4" s="424">
        <v>2.0</v>
      </c>
      <c r="B4" s="424" t="s">
        <v>2020</v>
      </c>
      <c r="C4" s="424" t="s">
        <v>2021</v>
      </c>
      <c r="D4" s="424" t="s">
        <v>1601</v>
      </c>
      <c r="E4" s="424" t="s">
        <v>2169</v>
      </c>
      <c r="F4" s="424" t="s">
        <v>2023</v>
      </c>
      <c r="G4" s="424" t="s">
        <v>2170</v>
      </c>
      <c r="H4" s="424" t="s">
        <v>2171</v>
      </c>
      <c r="I4" s="424">
        <v>1.0</v>
      </c>
      <c r="J4" s="424" t="s">
        <v>2168</v>
      </c>
    </row>
    <row r="5" ht="15.0" customHeight="1">
      <c r="A5" s="424">
        <v>3.0</v>
      </c>
      <c r="B5" s="424" t="s">
        <v>2020</v>
      </c>
      <c r="C5" s="424" t="s">
        <v>2021</v>
      </c>
      <c r="D5" s="424" t="s">
        <v>2172</v>
      </c>
      <c r="E5" s="424" t="s">
        <v>2173</v>
      </c>
      <c r="F5" s="424" t="s">
        <v>2023</v>
      </c>
      <c r="G5" s="424" t="s">
        <v>2076</v>
      </c>
      <c r="H5" s="424" t="s">
        <v>2077</v>
      </c>
      <c r="I5" s="424">
        <v>1.0</v>
      </c>
      <c r="J5" s="424" t="s">
        <v>2168</v>
      </c>
    </row>
    <row r="6" ht="15.0" customHeight="1">
      <c r="A6" s="424">
        <v>4.0</v>
      </c>
      <c r="B6" s="424" t="s">
        <v>2020</v>
      </c>
      <c r="C6" s="424" t="s">
        <v>2021</v>
      </c>
      <c r="D6" s="424" t="s">
        <v>652</v>
      </c>
      <c r="E6" s="424" t="s">
        <v>2174</v>
      </c>
      <c r="F6" s="424" t="s">
        <v>2023</v>
      </c>
      <c r="G6" s="424" t="s">
        <v>2061</v>
      </c>
      <c r="H6" s="424" t="s">
        <v>2062</v>
      </c>
      <c r="I6" s="424">
        <v>1.0</v>
      </c>
      <c r="J6" s="424" t="s">
        <v>2168</v>
      </c>
    </row>
    <row r="7" ht="15.0" customHeight="1">
      <c r="A7" s="424">
        <v>5.0</v>
      </c>
      <c r="B7" s="424" t="s">
        <v>2020</v>
      </c>
      <c r="C7" s="424" t="s">
        <v>2021</v>
      </c>
      <c r="D7" s="424" t="s">
        <v>2175</v>
      </c>
      <c r="E7" s="424" t="s">
        <v>2176</v>
      </c>
      <c r="F7" s="424" t="s">
        <v>2023</v>
      </c>
      <c r="G7" s="424" t="s">
        <v>2024</v>
      </c>
      <c r="H7" s="424" t="s">
        <v>2025</v>
      </c>
      <c r="I7" s="424">
        <v>1.0</v>
      </c>
      <c r="J7" s="424" t="s">
        <v>2168</v>
      </c>
    </row>
    <row r="8" ht="15.0" customHeight="1">
      <c r="A8" s="424">
        <v>6.0</v>
      </c>
      <c r="B8" s="424" t="s">
        <v>2020</v>
      </c>
      <c r="C8" s="424" t="s">
        <v>2021</v>
      </c>
      <c r="D8" s="424" t="s">
        <v>2010</v>
      </c>
      <c r="E8" s="424" t="s">
        <v>2177</v>
      </c>
      <c r="F8" s="424" t="s">
        <v>2023</v>
      </c>
      <c r="G8" s="424" t="s">
        <v>2061</v>
      </c>
      <c r="H8" s="424" t="s">
        <v>2062</v>
      </c>
      <c r="I8" s="424">
        <v>1.0</v>
      </c>
      <c r="J8" s="424" t="s">
        <v>2168</v>
      </c>
    </row>
    <row r="9" ht="15.0" customHeight="1">
      <c r="A9" s="424">
        <v>7.0</v>
      </c>
      <c r="B9" s="424" t="s">
        <v>2020</v>
      </c>
      <c r="C9" s="424" t="s">
        <v>2021</v>
      </c>
      <c r="D9" s="424" t="s">
        <v>2010</v>
      </c>
      <c r="E9" s="424" t="s">
        <v>2177</v>
      </c>
      <c r="F9" s="424" t="s">
        <v>2023</v>
      </c>
      <c r="G9" s="424" t="s">
        <v>2061</v>
      </c>
      <c r="H9" s="424" t="s">
        <v>2062</v>
      </c>
      <c r="I9" s="424">
        <v>1.0</v>
      </c>
      <c r="J9" s="424" t="s">
        <v>2168</v>
      </c>
    </row>
    <row r="10" ht="15.0" customHeight="1">
      <c r="A10" s="424">
        <v>8.0</v>
      </c>
      <c r="B10" s="424" t="s">
        <v>2020</v>
      </c>
      <c r="C10" s="424" t="s">
        <v>2021</v>
      </c>
      <c r="D10" s="424" t="s">
        <v>2178</v>
      </c>
      <c r="E10" s="424" t="s">
        <v>2179</v>
      </c>
      <c r="F10" s="424" t="s">
        <v>2023</v>
      </c>
      <c r="G10" s="424" t="s">
        <v>2079</v>
      </c>
      <c r="H10" s="424" t="s">
        <v>2080</v>
      </c>
      <c r="I10" s="424">
        <v>1.0</v>
      </c>
      <c r="J10" s="424" t="s">
        <v>2168</v>
      </c>
    </row>
    <row r="11" ht="15.0" customHeight="1">
      <c r="A11" s="424">
        <v>9.0</v>
      </c>
      <c r="B11" s="424" t="s">
        <v>2020</v>
      </c>
      <c r="C11" s="424" t="s">
        <v>2021</v>
      </c>
      <c r="D11" s="424" t="s">
        <v>2175</v>
      </c>
      <c r="E11" s="424" t="s">
        <v>2176</v>
      </c>
      <c r="F11" s="424" t="s">
        <v>2023</v>
      </c>
      <c r="G11" s="424" t="s">
        <v>2024</v>
      </c>
      <c r="H11" s="424" t="s">
        <v>2025</v>
      </c>
      <c r="I11" s="424">
        <v>1.0</v>
      </c>
      <c r="J11" s="424" t="s">
        <v>2168</v>
      </c>
    </row>
    <row r="12" ht="15.0" customHeight="1">
      <c r="A12" s="424">
        <v>10.0</v>
      </c>
      <c r="B12" s="424" t="s">
        <v>2020</v>
      </c>
      <c r="C12" s="424" t="s">
        <v>2021</v>
      </c>
      <c r="D12" s="424" t="s">
        <v>2172</v>
      </c>
      <c r="E12" s="424" t="s">
        <v>2173</v>
      </c>
      <c r="F12" s="424" t="s">
        <v>2023</v>
      </c>
      <c r="G12" s="424" t="s">
        <v>2076</v>
      </c>
      <c r="H12" s="424" t="s">
        <v>2077</v>
      </c>
      <c r="I12" s="424">
        <v>1.0</v>
      </c>
      <c r="J12" s="424" t="s">
        <v>2168</v>
      </c>
    </row>
    <row r="13" ht="15.0" customHeight="1">
      <c r="A13" s="424">
        <v>11.0</v>
      </c>
      <c r="B13" s="424" t="s">
        <v>2020</v>
      </c>
      <c r="C13" s="424" t="s">
        <v>2021</v>
      </c>
      <c r="D13" s="424" t="s">
        <v>652</v>
      </c>
      <c r="E13" s="424" t="s">
        <v>2174</v>
      </c>
      <c r="F13" s="424" t="s">
        <v>2023</v>
      </c>
      <c r="G13" s="424" t="s">
        <v>2061</v>
      </c>
      <c r="H13" s="424" t="s">
        <v>2062</v>
      </c>
      <c r="I13" s="424">
        <v>1.0</v>
      </c>
      <c r="J13" s="424" t="s">
        <v>2168</v>
      </c>
    </row>
    <row r="14" ht="15.0" customHeight="1">
      <c r="A14" s="424">
        <v>12.0</v>
      </c>
      <c r="B14" s="424" t="s">
        <v>2020</v>
      </c>
      <c r="C14" s="424" t="s">
        <v>2021</v>
      </c>
      <c r="D14" s="424" t="s">
        <v>2180</v>
      </c>
      <c r="E14" s="424" t="s">
        <v>2181</v>
      </c>
      <c r="F14" s="424" t="s">
        <v>2023</v>
      </c>
      <c r="G14" s="424" t="s">
        <v>2076</v>
      </c>
      <c r="H14" s="424" t="s">
        <v>2077</v>
      </c>
      <c r="I14" s="424">
        <v>1.0</v>
      </c>
      <c r="J14" s="424" t="s">
        <v>2168</v>
      </c>
    </row>
    <row r="15" ht="15.0" customHeight="1">
      <c r="A15" s="424">
        <v>13.0</v>
      </c>
      <c r="B15" s="424" t="s">
        <v>2020</v>
      </c>
      <c r="C15" s="424" t="s">
        <v>2021</v>
      </c>
      <c r="D15" s="424" t="s">
        <v>2166</v>
      </c>
      <c r="E15" s="424" t="s">
        <v>2167</v>
      </c>
      <c r="F15" s="424" t="s">
        <v>2023</v>
      </c>
      <c r="G15" s="424" t="s">
        <v>2079</v>
      </c>
      <c r="H15" s="424" t="s">
        <v>2080</v>
      </c>
      <c r="I15" s="424">
        <v>1.0</v>
      </c>
      <c r="J15" s="424" t="s">
        <v>2168</v>
      </c>
    </row>
    <row r="16" ht="15.0" customHeight="1">
      <c r="A16" s="424">
        <v>14.0</v>
      </c>
      <c r="B16" s="424" t="s">
        <v>2020</v>
      </c>
      <c r="C16" s="424" t="s">
        <v>2021</v>
      </c>
      <c r="D16" s="424" t="s">
        <v>2182</v>
      </c>
      <c r="E16" s="424" t="s">
        <v>2183</v>
      </c>
      <c r="F16" s="424" t="s">
        <v>2023</v>
      </c>
      <c r="G16" s="424" t="s">
        <v>2076</v>
      </c>
      <c r="H16" s="424" t="s">
        <v>2077</v>
      </c>
      <c r="I16" s="424">
        <v>1.0</v>
      </c>
      <c r="J16" s="424" t="s">
        <v>2184</v>
      </c>
    </row>
    <row r="17" ht="15.0" customHeight="1">
      <c r="A17" s="424">
        <v>15.0</v>
      </c>
      <c r="B17" s="424" t="s">
        <v>2020</v>
      </c>
      <c r="C17" s="424" t="s">
        <v>2021</v>
      </c>
      <c r="D17" s="424" t="s">
        <v>2185</v>
      </c>
      <c r="E17" s="424" t="s">
        <v>2186</v>
      </c>
      <c r="F17" s="424" t="s">
        <v>2023</v>
      </c>
      <c r="G17" s="424" t="s">
        <v>2079</v>
      </c>
      <c r="H17" s="424" t="s">
        <v>2080</v>
      </c>
      <c r="I17" s="424">
        <v>1.0</v>
      </c>
      <c r="J17" s="424" t="s">
        <v>2184</v>
      </c>
    </row>
    <row r="18" ht="15.0" customHeight="1">
      <c r="A18" s="424">
        <v>16.0</v>
      </c>
      <c r="B18" s="424" t="s">
        <v>2020</v>
      </c>
      <c r="C18" s="424" t="s">
        <v>2021</v>
      </c>
      <c r="D18" s="424" t="s">
        <v>2187</v>
      </c>
      <c r="E18" s="424" t="s">
        <v>2188</v>
      </c>
      <c r="F18" s="424" t="s">
        <v>2023</v>
      </c>
      <c r="G18" s="424" t="s">
        <v>2037</v>
      </c>
      <c r="H18" s="424" t="s">
        <v>2038</v>
      </c>
      <c r="I18" s="424">
        <v>1.0</v>
      </c>
      <c r="J18" s="424" t="s">
        <v>2184</v>
      </c>
    </row>
    <row r="19" ht="15.0" customHeight="1">
      <c r="A19" s="424">
        <v>17.0</v>
      </c>
      <c r="B19" s="424" t="s">
        <v>2020</v>
      </c>
      <c r="C19" s="424" t="s">
        <v>2021</v>
      </c>
      <c r="D19" s="424" t="s">
        <v>732</v>
      </c>
      <c r="E19" s="424" t="s">
        <v>2189</v>
      </c>
      <c r="F19" s="424" t="s">
        <v>2023</v>
      </c>
      <c r="G19" s="424" t="s">
        <v>2111</v>
      </c>
      <c r="H19" s="424" t="s">
        <v>2112</v>
      </c>
      <c r="I19" s="424">
        <v>1.0</v>
      </c>
      <c r="J19" s="424" t="s">
        <v>2184</v>
      </c>
    </row>
    <row r="20" ht="15.0" customHeight="1">
      <c r="A20" s="424">
        <v>18.0</v>
      </c>
      <c r="B20" s="424" t="s">
        <v>2020</v>
      </c>
      <c r="C20" s="424" t="s">
        <v>2021</v>
      </c>
      <c r="D20" s="424" t="s">
        <v>2190</v>
      </c>
      <c r="E20" s="424" t="s">
        <v>2191</v>
      </c>
      <c r="F20" s="424" t="s">
        <v>2023</v>
      </c>
      <c r="G20" s="424" t="s">
        <v>2192</v>
      </c>
      <c r="H20" s="424" t="s">
        <v>2193</v>
      </c>
      <c r="I20" s="424">
        <v>1.0</v>
      </c>
      <c r="J20" s="424" t="s">
        <v>2184</v>
      </c>
    </row>
    <row r="21" ht="15.0" customHeight="1">
      <c r="A21" s="424">
        <v>19.0</v>
      </c>
      <c r="B21" s="424" t="s">
        <v>2020</v>
      </c>
      <c r="C21" s="424" t="s">
        <v>2021</v>
      </c>
      <c r="D21" s="424" t="s">
        <v>2194</v>
      </c>
      <c r="E21" s="424" t="s">
        <v>2195</v>
      </c>
      <c r="F21" s="424" t="s">
        <v>2023</v>
      </c>
      <c r="G21" s="424" t="s">
        <v>2111</v>
      </c>
      <c r="H21" s="424" t="s">
        <v>2112</v>
      </c>
      <c r="I21" s="424">
        <v>1.0</v>
      </c>
      <c r="J21" s="424" t="s">
        <v>2184</v>
      </c>
    </row>
    <row r="22" ht="15.0" customHeight="1">
      <c r="A22" s="424">
        <v>20.0</v>
      </c>
      <c r="B22" s="424" t="s">
        <v>2020</v>
      </c>
      <c r="C22" s="424" t="s">
        <v>2021</v>
      </c>
      <c r="D22" s="424" t="s">
        <v>2196</v>
      </c>
      <c r="E22" s="424" t="s">
        <v>2197</v>
      </c>
      <c r="F22" s="424" t="s">
        <v>2023</v>
      </c>
      <c r="G22" s="424" t="s">
        <v>2085</v>
      </c>
      <c r="H22" s="424" t="s">
        <v>2086</v>
      </c>
      <c r="I22" s="424">
        <v>1.0</v>
      </c>
      <c r="J22" s="424" t="s">
        <v>2184</v>
      </c>
    </row>
    <row r="23" ht="15.0" customHeight="1">
      <c r="A23" s="424">
        <v>21.0</v>
      </c>
      <c r="B23" s="424" t="s">
        <v>2020</v>
      </c>
      <c r="C23" s="424" t="s">
        <v>2021</v>
      </c>
      <c r="D23" s="424" t="s">
        <v>2198</v>
      </c>
      <c r="E23" s="424" t="s">
        <v>2199</v>
      </c>
      <c r="F23" s="424" t="s">
        <v>2023</v>
      </c>
      <c r="G23" s="424" t="s">
        <v>2031</v>
      </c>
      <c r="H23" s="424" t="s">
        <v>2032</v>
      </c>
      <c r="I23" s="424">
        <v>1.0</v>
      </c>
      <c r="J23" s="424" t="s">
        <v>2184</v>
      </c>
    </row>
    <row r="24" ht="15.0" customHeight="1">
      <c r="A24" s="424">
        <v>22.0</v>
      </c>
      <c r="B24" s="424" t="s">
        <v>2020</v>
      </c>
      <c r="C24" s="424" t="s">
        <v>2021</v>
      </c>
      <c r="D24" s="424" t="s">
        <v>684</v>
      </c>
      <c r="E24" s="424" t="s">
        <v>2200</v>
      </c>
      <c r="F24" s="424" t="s">
        <v>2023</v>
      </c>
      <c r="G24" s="424" t="s">
        <v>2057</v>
      </c>
      <c r="H24" s="424" t="s">
        <v>2058</v>
      </c>
      <c r="I24" s="424">
        <v>1.0</v>
      </c>
      <c r="J24" s="424" t="s">
        <v>2184</v>
      </c>
    </row>
    <row r="25" ht="15.0" customHeight="1">
      <c r="A25" s="424">
        <v>23.0</v>
      </c>
      <c r="B25" s="424" t="s">
        <v>2020</v>
      </c>
      <c r="C25" s="424" t="s">
        <v>2021</v>
      </c>
      <c r="D25" s="424" t="s">
        <v>676</v>
      </c>
      <c r="E25" s="424" t="s">
        <v>2201</v>
      </c>
      <c r="F25" s="424" t="s">
        <v>2023</v>
      </c>
      <c r="G25" s="424" t="s">
        <v>2069</v>
      </c>
      <c r="H25" s="424" t="s">
        <v>2070</v>
      </c>
      <c r="I25" s="424">
        <v>1.0</v>
      </c>
      <c r="J25" s="424" t="s">
        <v>2184</v>
      </c>
    </row>
    <row r="26" ht="15.0" customHeight="1">
      <c r="A26" s="424">
        <v>24.0</v>
      </c>
      <c r="B26" s="424" t="s">
        <v>2020</v>
      </c>
      <c r="C26" s="424" t="s">
        <v>2021</v>
      </c>
      <c r="D26" s="424" t="s">
        <v>2202</v>
      </c>
      <c r="E26" s="424" t="s">
        <v>2203</v>
      </c>
      <c r="F26" s="424" t="s">
        <v>2023</v>
      </c>
      <c r="G26" s="424" t="s">
        <v>2061</v>
      </c>
      <c r="H26" s="424" t="s">
        <v>2062</v>
      </c>
      <c r="I26" s="424">
        <v>1.0</v>
      </c>
      <c r="J26" s="424" t="s">
        <v>2184</v>
      </c>
    </row>
    <row r="27" ht="15.0" customHeight="1">
      <c r="A27" s="424">
        <v>25.0</v>
      </c>
      <c r="B27" s="424" t="s">
        <v>2020</v>
      </c>
      <c r="C27" s="424" t="s">
        <v>2021</v>
      </c>
      <c r="D27" s="424" t="s">
        <v>2204</v>
      </c>
      <c r="E27" s="424" t="s">
        <v>2205</v>
      </c>
      <c r="F27" s="424" t="s">
        <v>2023</v>
      </c>
      <c r="G27" s="424" t="s">
        <v>2031</v>
      </c>
      <c r="H27" s="424" t="s">
        <v>2032</v>
      </c>
      <c r="I27" s="424">
        <v>1.0</v>
      </c>
      <c r="J27" s="424" t="s">
        <v>2184</v>
      </c>
    </row>
    <row r="28" ht="15.0" customHeight="1">
      <c r="A28" s="424">
        <v>26.0</v>
      </c>
      <c r="B28" s="424" t="s">
        <v>2020</v>
      </c>
      <c r="C28" s="424" t="s">
        <v>2021</v>
      </c>
      <c r="D28" s="424" t="s">
        <v>1979</v>
      </c>
      <c r="E28" s="424" t="s">
        <v>2206</v>
      </c>
      <c r="F28" s="424" t="s">
        <v>2023</v>
      </c>
      <c r="G28" s="424" t="s">
        <v>2076</v>
      </c>
      <c r="H28" s="424" t="s">
        <v>2077</v>
      </c>
      <c r="I28" s="424">
        <v>1.0</v>
      </c>
      <c r="J28" s="424" t="s">
        <v>2184</v>
      </c>
    </row>
    <row r="29" ht="15.0" customHeight="1">
      <c r="A29" s="424">
        <v>27.0</v>
      </c>
      <c r="B29" s="424" t="s">
        <v>2020</v>
      </c>
      <c r="C29" s="424" t="s">
        <v>2021</v>
      </c>
      <c r="D29" s="424" t="s">
        <v>1997</v>
      </c>
      <c r="E29" s="424" t="s">
        <v>2207</v>
      </c>
      <c r="F29" s="424" t="s">
        <v>2023</v>
      </c>
      <c r="G29" s="424" t="s">
        <v>2095</v>
      </c>
      <c r="H29" s="424" t="s">
        <v>2096</v>
      </c>
      <c r="I29" s="424">
        <v>1.0</v>
      </c>
      <c r="J29" s="424" t="s">
        <v>2184</v>
      </c>
    </row>
    <row r="30" ht="15.0" customHeight="1">
      <c r="A30" s="424">
        <v>28.0</v>
      </c>
      <c r="B30" s="424" t="s">
        <v>2020</v>
      </c>
      <c r="C30" s="424" t="s">
        <v>2021</v>
      </c>
      <c r="D30" s="424" t="s">
        <v>2208</v>
      </c>
      <c r="E30" s="424" t="s">
        <v>2209</v>
      </c>
      <c r="F30" s="424" t="s">
        <v>2023</v>
      </c>
      <c r="G30" s="424" t="s">
        <v>2210</v>
      </c>
      <c r="H30" s="424" t="s">
        <v>2211</v>
      </c>
      <c r="I30" s="424">
        <v>1.0</v>
      </c>
      <c r="J30" s="424" t="s">
        <v>2212</v>
      </c>
    </row>
    <row r="31" ht="15.0" customHeight="1">
      <c r="A31" s="424">
        <v>29.0</v>
      </c>
      <c r="B31" s="424" t="s">
        <v>2020</v>
      </c>
      <c r="C31" s="424" t="s">
        <v>2021</v>
      </c>
      <c r="D31" s="424" t="s">
        <v>2213</v>
      </c>
      <c r="E31" s="424" t="s">
        <v>2214</v>
      </c>
      <c r="F31" s="424" t="s">
        <v>2023</v>
      </c>
      <c r="G31" s="424" t="s">
        <v>2215</v>
      </c>
      <c r="H31" s="424" t="s">
        <v>2216</v>
      </c>
      <c r="I31" s="424">
        <v>1.0</v>
      </c>
      <c r="J31" s="424" t="s">
        <v>2212</v>
      </c>
    </row>
    <row r="32" ht="15.0" customHeight="1">
      <c r="A32" s="424">
        <v>30.0</v>
      </c>
      <c r="B32" s="424" t="s">
        <v>2020</v>
      </c>
      <c r="C32" s="424" t="s">
        <v>2021</v>
      </c>
      <c r="D32" s="424" t="s">
        <v>2217</v>
      </c>
      <c r="E32" s="424" t="s">
        <v>2218</v>
      </c>
      <c r="F32" s="424" t="s">
        <v>2023</v>
      </c>
      <c r="G32" s="424" t="s">
        <v>2170</v>
      </c>
      <c r="H32" s="424" t="s">
        <v>2171</v>
      </c>
      <c r="I32" s="424">
        <v>1.0</v>
      </c>
      <c r="J32" s="424" t="s">
        <v>2212</v>
      </c>
    </row>
    <row r="33" ht="15.0" customHeight="1">
      <c r="A33" s="424">
        <v>31.0</v>
      </c>
      <c r="B33" s="424" t="s">
        <v>2020</v>
      </c>
      <c r="C33" s="424" t="s">
        <v>2021</v>
      </c>
      <c r="D33" s="424" t="s">
        <v>2219</v>
      </c>
      <c r="E33" s="424" t="s">
        <v>2220</v>
      </c>
      <c r="F33" s="424" t="s">
        <v>2023</v>
      </c>
      <c r="G33" s="424" t="s">
        <v>2192</v>
      </c>
      <c r="H33" s="424" t="s">
        <v>2193</v>
      </c>
      <c r="I33" s="424">
        <v>1.0</v>
      </c>
      <c r="J33" s="424" t="s">
        <v>2212</v>
      </c>
    </row>
    <row r="34" ht="15.0" customHeight="1">
      <c r="A34" s="424">
        <v>32.0</v>
      </c>
      <c r="B34" s="424" t="s">
        <v>2020</v>
      </c>
      <c r="C34" s="424"/>
      <c r="D34" s="424" t="s">
        <v>1599</v>
      </c>
      <c r="E34" s="424" t="s">
        <v>2221</v>
      </c>
      <c r="F34" s="424" t="s">
        <v>2023</v>
      </c>
      <c r="G34" s="424"/>
      <c r="H34" s="424"/>
      <c r="I34" s="424"/>
      <c r="J34" s="424" t="s">
        <v>2212</v>
      </c>
    </row>
    <row r="35" ht="15.0" customHeight="1">
      <c r="A35" s="424">
        <v>33.0</v>
      </c>
      <c r="B35" s="424" t="s">
        <v>2020</v>
      </c>
      <c r="C35" s="424"/>
      <c r="D35" s="424" t="s">
        <v>1600</v>
      </c>
      <c r="E35" s="424" t="s">
        <v>2222</v>
      </c>
      <c r="F35" s="424" t="s">
        <v>2023</v>
      </c>
      <c r="G35" s="424"/>
      <c r="H35" s="424"/>
      <c r="I35" s="424"/>
      <c r="J35" s="424" t="s">
        <v>2223</v>
      </c>
    </row>
    <row r="36" ht="15.0" customHeight="1">
      <c r="A36" s="424">
        <v>34.0</v>
      </c>
      <c r="B36" s="424" t="s">
        <v>2020</v>
      </c>
      <c r="C36" s="424"/>
      <c r="D36" s="424" t="s">
        <v>2003</v>
      </c>
      <c r="E36" s="424"/>
      <c r="F36" s="424"/>
      <c r="G36" s="424"/>
      <c r="H36" s="424"/>
      <c r="I36" s="424"/>
      <c r="J36" s="424" t="s">
        <v>2224</v>
      </c>
    </row>
    <row r="37" ht="15.0" customHeight="1">
      <c r="A37" s="424">
        <v>35.0</v>
      </c>
      <c r="B37" s="424" t="s">
        <v>2020</v>
      </c>
      <c r="C37" s="424"/>
      <c r="D37" s="424" t="s">
        <v>2093</v>
      </c>
      <c r="E37" s="424" t="s">
        <v>2094</v>
      </c>
      <c r="F37" s="424" t="s">
        <v>2023</v>
      </c>
      <c r="G37" s="424" t="s">
        <v>2095</v>
      </c>
      <c r="H37" s="424" t="s">
        <v>2096</v>
      </c>
      <c r="I37" s="424">
        <v>1.0</v>
      </c>
      <c r="J37" s="424" t="s">
        <v>2168</v>
      </c>
    </row>
    <row r="38" ht="15.0" customHeight="1">
      <c r="A38" s="424">
        <v>36.0</v>
      </c>
      <c r="B38" s="424"/>
      <c r="C38" s="424"/>
      <c r="D38" s="424" t="s">
        <v>252</v>
      </c>
      <c r="E38" s="424" t="s">
        <v>2225</v>
      </c>
      <c r="F38" s="424" t="s">
        <v>2023</v>
      </c>
      <c r="G38" s="424" t="s">
        <v>2226</v>
      </c>
      <c r="H38" s="424" t="s">
        <v>2227</v>
      </c>
      <c r="I38" s="424">
        <v>1.0</v>
      </c>
      <c r="J38" s="424" t="s">
        <v>2228</v>
      </c>
    </row>
    <row r="39" ht="15.0" customHeight="1">
      <c r="A39" s="424">
        <v>37.0</v>
      </c>
      <c r="B39" s="424"/>
      <c r="C39" s="424"/>
      <c r="D39" s="424"/>
      <c r="E39" s="424"/>
      <c r="F39" s="424"/>
      <c r="G39" s="424"/>
      <c r="H39" s="424"/>
      <c r="I39" s="424"/>
      <c r="J39" s="424"/>
    </row>
    <row r="40" ht="15.0" customHeight="1">
      <c r="A40" s="424">
        <v>38.0</v>
      </c>
      <c r="B40" s="424"/>
      <c r="C40" s="424"/>
      <c r="D40" s="424"/>
      <c r="E40" s="424"/>
      <c r="F40" s="424"/>
      <c r="G40" s="424"/>
      <c r="H40" s="424"/>
      <c r="I40" s="424"/>
      <c r="J40" s="424"/>
    </row>
    <row r="41" ht="15.0" customHeight="1">
      <c r="A41" s="424">
        <v>39.0</v>
      </c>
      <c r="B41" s="424"/>
      <c r="C41" s="424"/>
      <c r="D41" s="424"/>
      <c r="E41" s="424"/>
      <c r="F41" s="424"/>
      <c r="G41" s="424"/>
      <c r="H41" s="424"/>
      <c r="I41" s="424"/>
      <c r="J41" s="424"/>
    </row>
    <row r="42" ht="15.0" customHeight="1">
      <c r="A42" s="424">
        <v>40.0</v>
      </c>
      <c r="B42" s="424"/>
      <c r="C42" s="424"/>
      <c r="D42" s="424"/>
      <c r="E42" s="424"/>
      <c r="F42" s="424"/>
      <c r="G42" s="424"/>
      <c r="H42" s="424"/>
      <c r="I42" s="424"/>
      <c r="J42" s="424"/>
    </row>
    <row r="43" ht="15.0" customHeight="1">
      <c r="A43" s="424">
        <v>41.0</v>
      </c>
      <c r="B43" s="424"/>
      <c r="C43" s="424"/>
      <c r="D43" s="424"/>
      <c r="E43" s="424"/>
      <c r="F43" s="424"/>
      <c r="G43" s="424"/>
      <c r="H43" s="424"/>
      <c r="I43" s="424"/>
      <c r="J43" s="424"/>
    </row>
    <row r="44" ht="15.0" customHeight="1">
      <c r="A44" s="424">
        <v>42.0</v>
      </c>
      <c r="B44" s="424"/>
      <c r="C44" s="424"/>
      <c r="D44" s="424"/>
      <c r="E44" s="424"/>
      <c r="F44" s="424"/>
      <c r="G44" s="424"/>
      <c r="H44" s="424"/>
      <c r="I44" s="424"/>
      <c r="J44" s="424"/>
    </row>
    <row r="45" ht="15.0" customHeight="1">
      <c r="A45" s="424">
        <v>43.0</v>
      </c>
      <c r="B45" s="424"/>
      <c r="C45" s="424"/>
      <c r="D45" s="424"/>
      <c r="E45" s="424"/>
      <c r="F45" s="424"/>
      <c r="G45" s="424"/>
      <c r="H45" s="424"/>
      <c r="I45" s="424"/>
      <c r="J45" s="424"/>
    </row>
    <row r="46" ht="15.0" customHeight="1">
      <c r="A46" s="424">
        <v>44.0</v>
      </c>
      <c r="B46" s="424"/>
      <c r="C46" s="424"/>
      <c r="D46" s="424"/>
      <c r="E46" s="424"/>
      <c r="F46" s="424"/>
      <c r="G46" s="424"/>
      <c r="H46" s="424"/>
      <c r="I46" s="424"/>
      <c r="J46" s="424"/>
    </row>
    <row r="47" ht="15.0" customHeight="1">
      <c r="A47" s="424">
        <v>45.0</v>
      </c>
      <c r="B47" s="424"/>
      <c r="C47" s="424"/>
      <c r="D47" s="424"/>
      <c r="E47" s="424"/>
      <c r="F47" s="424"/>
      <c r="G47" s="424"/>
      <c r="H47" s="424"/>
      <c r="I47" s="424"/>
      <c r="J47" s="424"/>
    </row>
    <row r="48" ht="15.0" customHeight="1">
      <c r="A48" s="424">
        <v>46.0</v>
      </c>
      <c r="B48" s="424"/>
      <c r="C48" s="424"/>
      <c r="D48" s="424"/>
      <c r="E48" s="424"/>
      <c r="F48" s="424"/>
      <c r="G48" s="424"/>
      <c r="H48" s="424"/>
      <c r="I48" s="424"/>
      <c r="J48" s="424"/>
    </row>
    <row r="49" ht="15.0" customHeight="1">
      <c r="A49" s="424">
        <v>47.0</v>
      </c>
      <c r="B49" s="424"/>
      <c r="C49" s="424"/>
      <c r="D49" s="424"/>
      <c r="E49" s="424"/>
      <c r="F49" s="424"/>
      <c r="G49" s="424"/>
      <c r="H49" s="424"/>
      <c r="I49" s="424"/>
      <c r="J49" s="424"/>
    </row>
    <row r="50" ht="15.0" customHeight="1">
      <c r="A50" s="424">
        <v>48.0</v>
      </c>
      <c r="B50" s="424"/>
      <c r="C50" s="424"/>
      <c r="D50" s="424"/>
      <c r="E50" s="424"/>
      <c r="F50" s="424"/>
      <c r="G50" s="424"/>
      <c r="H50" s="424"/>
      <c r="I50" s="424"/>
      <c r="J50" s="424"/>
    </row>
    <row r="51" ht="15.0" customHeight="1">
      <c r="A51" s="424">
        <v>49.0</v>
      </c>
      <c r="B51" s="424"/>
      <c r="C51" s="424"/>
      <c r="D51" s="424"/>
      <c r="E51" s="424"/>
      <c r="F51" s="424"/>
      <c r="G51" s="424"/>
      <c r="H51" s="424"/>
      <c r="I51" s="424"/>
      <c r="J51" s="424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</row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0"/>
    <col customWidth="1" min="7" max="26" width="8.71"/>
  </cols>
  <sheetData>
    <row r="1" ht="23.25" customHeight="1">
      <c r="A1" s="92" t="s">
        <v>144</v>
      </c>
      <c r="B1" s="92" t="s">
        <v>2229</v>
      </c>
      <c r="C1" s="92" t="s">
        <v>2230</v>
      </c>
      <c r="D1" s="92" t="s">
        <v>2231</v>
      </c>
      <c r="E1" s="92" t="s">
        <v>2232</v>
      </c>
      <c r="F1" s="92" t="s">
        <v>2233</v>
      </c>
    </row>
    <row r="2" ht="15.0" customHeight="1">
      <c r="A2" s="424">
        <v>1.0</v>
      </c>
      <c r="B2" s="424" t="s">
        <v>2234</v>
      </c>
      <c r="C2" s="424" t="s">
        <v>2235</v>
      </c>
      <c r="D2" s="424" t="s">
        <v>2236</v>
      </c>
      <c r="E2" s="424">
        <v>140000.0</v>
      </c>
      <c r="F2" s="424">
        <v>140000.0</v>
      </c>
    </row>
    <row r="3" ht="15.0" customHeight="1">
      <c r="A3" s="424"/>
      <c r="B3" s="424"/>
      <c r="C3" s="424" t="s">
        <v>2237</v>
      </c>
      <c r="D3" s="424" t="s">
        <v>2238</v>
      </c>
      <c r="E3" s="424">
        <v>785000.0</v>
      </c>
      <c r="F3" s="424">
        <v>3925000.0</v>
      </c>
    </row>
    <row r="4" ht="15.0" customHeight="1">
      <c r="A4" s="424"/>
      <c r="B4" s="424"/>
      <c r="C4" s="424" t="s">
        <v>2239</v>
      </c>
      <c r="D4" s="424" t="s">
        <v>2240</v>
      </c>
      <c r="E4" s="424">
        <v>33000.0</v>
      </c>
      <c r="F4" s="424">
        <v>33000.0</v>
      </c>
    </row>
    <row r="5" ht="15.0" customHeight="1">
      <c r="A5" s="424"/>
      <c r="B5" s="424"/>
      <c r="C5" s="424"/>
      <c r="D5" s="424"/>
      <c r="E5" s="424"/>
      <c r="F5" s="424"/>
    </row>
    <row r="6" ht="15.0" customHeight="1">
      <c r="A6" s="424"/>
      <c r="B6" s="424"/>
      <c r="C6" s="424"/>
      <c r="D6" s="424"/>
      <c r="E6" s="424" t="s">
        <v>1771</v>
      </c>
      <c r="F6" s="424">
        <v>4098000.0</v>
      </c>
    </row>
    <row r="7">
      <c r="A7" s="47"/>
      <c r="B7" s="47"/>
      <c r="C7" s="47"/>
      <c r="D7" s="47"/>
      <c r="E7" s="47"/>
      <c r="F7" s="47"/>
    </row>
    <row r="8">
      <c r="A8" s="47"/>
      <c r="B8" s="47"/>
      <c r="C8" s="47"/>
      <c r="D8" s="47"/>
      <c r="E8" s="47"/>
      <c r="F8" s="47"/>
    </row>
    <row r="9">
      <c r="A9" s="47"/>
      <c r="B9" s="47"/>
      <c r="C9" s="47"/>
      <c r="D9" s="47"/>
      <c r="E9" s="47"/>
      <c r="F9" s="47"/>
    </row>
    <row r="10">
      <c r="A10" s="47"/>
      <c r="B10" s="47"/>
      <c r="C10" s="47"/>
      <c r="D10" s="47"/>
      <c r="E10" s="47"/>
      <c r="F10" s="47"/>
    </row>
    <row r="11">
      <c r="A11" s="47"/>
      <c r="B11" s="47"/>
      <c r="C11" s="47"/>
      <c r="D11" s="47"/>
      <c r="E11" s="47"/>
      <c r="F11" s="47"/>
    </row>
    <row r="12">
      <c r="A12" s="47"/>
      <c r="B12" s="47"/>
      <c r="C12" s="47"/>
      <c r="D12" s="47"/>
      <c r="E12" s="47"/>
      <c r="F12" s="47"/>
    </row>
    <row r="13">
      <c r="A13" s="47"/>
      <c r="B13" s="47"/>
      <c r="C13" s="47"/>
      <c r="D13" s="47"/>
      <c r="E13" s="47"/>
      <c r="F13" s="47"/>
    </row>
    <row r="14">
      <c r="A14" s="47"/>
      <c r="B14" s="47"/>
      <c r="C14" s="47"/>
      <c r="D14" s="47"/>
      <c r="E14" s="47"/>
      <c r="F14" s="47"/>
    </row>
    <row r="15">
      <c r="A15" s="47"/>
      <c r="B15" s="47"/>
      <c r="C15" s="47"/>
      <c r="D15" s="47"/>
      <c r="E15" s="47"/>
      <c r="F15" s="47"/>
    </row>
    <row r="16">
      <c r="A16" s="47"/>
      <c r="B16" s="47"/>
      <c r="C16" s="47"/>
      <c r="D16" s="47"/>
      <c r="E16" s="47"/>
      <c r="F16" s="47"/>
    </row>
    <row r="17">
      <c r="A17" s="47"/>
      <c r="B17" s="47"/>
      <c r="C17" s="47"/>
      <c r="D17" s="47"/>
      <c r="E17" s="47"/>
      <c r="F17" s="47"/>
    </row>
    <row r="18">
      <c r="A18" s="47"/>
      <c r="B18" s="47"/>
      <c r="C18" s="47"/>
      <c r="D18" s="47"/>
      <c r="E18" s="47"/>
      <c r="F18" s="47"/>
    </row>
    <row r="19">
      <c r="A19" s="47"/>
      <c r="B19" s="47"/>
      <c r="C19" s="47"/>
      <c r="D19" s="47"/>
      <c r="E19" s="47"/>
      <c r="F19" s="47"/>
    </row>
    <row r="20">
      <c r="A20" s="47"/>
      <c r="B20" s="47"/>
      <c r="C20" s="47"/>
      <c r="D20" s="47"/>
      <c r="E20" s="47"/>
      <c r="F20" s="47"/>
    </row>
    <row r="21" ht="15.75" customHeight="1">
      <c r="A21" s="47"/>
      <c r="B21" s="47"/>
      <c r="C21" s="47"/>
      <c r="D21" s="47"/>
      <c r="E21" s="47"/>
      <c r="F21" s="47"/>
    </row>
    <row r="22" ht="15.75" customHeight="1">
      <c r="A22" s="47"/>
      <c r="B22" s="47"/>
      <c r="C22" s="47"/>
      <c r="D22" s="47"/>
      <c r="E22" s="47"/>
      <c r="F22" s="47"/>
    </row>
    <row r="23" ht="15.75" customHeight="1">
      <c r="A23" s="47"/>
      <c r="B23" s="47"/>
      <c r="C23" s="47"/>
      <c r="D23" s="47"/>
      <c r="E23" s="47"/>
      <c r="F23" s="47"/>
    </row>
    <row r="24" ht="15.75" customHeight="1">
      <c r="A24" s="47"/>
      <c r="B24" s="47"/>
      <c r="C24" s="47"/>
      <c r="D24" s="47"/>
      <c r="E24" s="47"/>
      <c r="F24" s="47"/>
    </row>
    <row r="25" ht="15.75" customHeight="1">
      <c r="A25" s="47"/>
      <c r="B25" s="47"/>
      <c r="C25" s="47"/>
      <c r="D25" s="47"/>
      <c r="E25" s="47"/>
      <c r="F25" s="47"/>
    </row>
    <row r="26" ht="15.75" customHeight="1">
      <c r="A26" s="47"/>
      <c r="B26" s="47"/>
      <c r="C26" s="47"/>
      <c r="D26" s="47"/>
      <c r="E26" s="47"/>
      <c r="F26" s="47"/>
    </row>
    <row r="27" ht="15.75" customHeight="1">
      <c r="A27" s="47"/>
      <c r="B27" s="47"/>
      <c r="C27" s="47"/>
      <c r="D27" s="47"/>
      <c r="E27" s="47"/>
      <c r="F27" s="47"/>
    </row>
    <row r="28" ht="15.75" customHeight="1">
      <c r="A28" s="47"/>
      <c r="B28" s="47"/>
      <c r="C28" s="47"/>
      <c r="D28" s="47"/>
      <c r="E28" s="47"/>
      <c r="F28" s="47"/>
    </row>
    <row r="29" ht="15.75" customHeight="1">
      <c r="A29" s="47"/>
      <c r="B29" s="47"/>
      <c r="C29" s="47"/>
      <c r="D29" s="47"/>
      <c r="E29" s="47"/>
      <c r="F29" s="47"/>
    </row>
    <row r="30" ht="15.75" customHeight="1">
      <c r="A30" s="47"/>
      <c r="B30" s="47"/>
      <c r="C30" s="47"/>
      <c r="D30" s="47"/>
      <c r="E30" s="47"/>
      <c r="F30" s="47"/>
    </row>
    <row r="31" ht="15.75" customHeight="1">
      <c r="A31" s="47"/>
      <c r="B31" s="47"/>
      <c r="C31" s="47"/>
      <c r="D31" s="47"/>
      <c r="E31" s="47"/>
      <c r="F31" s="47"/>
    </row>
    <row r="32" ht="15.75" customHeight="1">
      <c r="A32" s="47"/>
      <c r="B32" s="47"/>
      <c r="C32" s="47"/>
      <c r="D32" s="47"/>
      <c r="E32" s="47"/>
      <c r="F32" s="47"/>
    </row>
    <row r="33" ht="15.75" customHeight="1">
      <c r="A33" s="47"/>
      <c r="B33" s="47"/>
      <c r="C33" s="47"/>
      <c r="D33" s="47"/>
      <c r="E33" s="47"/>
      <c r="F33" s="47"/>
    </row>
    <row r="34" ht="15.75" customHeight="1">
      <c r="A34" s="47"/>
      <c r="B34" s="47"/>
      <c r="C34" s="47"/>
      <c r="D34" s="47"/>
      <c r="E34" s="47"/>
      <c r="F34" s="47"/>
    </row>
    <row r="35" ht="15.75" customHeight="1">
      <c r="A35" s="47"/>
      <c r="B35" s="47"/>
      <c r="C35" s="47"/>
      <c r="D35" s="47"/>
      <c r="E35" s="47"/>
      <c r="F35" s="47"/>
    </row>
    <row r="36" ht="15.75" customHeight="1">
      <c r="A36" s="47"/>
      <c r="B36" s="47"/>
      <c r="C36" s="47"/>
      <c r="D36" s="47"/>
      <c r="E36" s="47"/>
      <c r="F36" s="47"/>
    </row>
    <row r="37" ht="15.75" customHeight="1">
      <c r="A37" s="47"/>
      <c r="B37" s="47"/>
      <c r="C37" s="47"/>
      <c r="D37" s="47"/>
      <c r="E37" s="47"/>
      <c r="F37" s="47"/>
    </row>
    <row r="38" ht="15.75" customHeight="1">
      <c r="A38" s="47"/>
      <c r="B38" s="47"/>
      <c r="C38" s="47"/>
      <c r="D38" s="47"/>
      <c r="E38" s="47"/>
      <c r="F38" s="47"/>
    </row>
    <row r="39" ht="15.75" customHeight="1">
      <c r="A39" s="47"/>
      <c r="B39" s="47"/>
      <c r="C39" s="47"/>
      <c r="D39" s="47"/>
      <c r="E39" s="47"/>
      <c r="F39" s="47"/>
    </row>
    <row r="40" ht="15.75" customHeight="1">
      <c r="A40" s="47"/>
      <c r="B40" s="47"/>
      <c r="C40" s="47"/>
      <c r="D40" s="47"/>
      <c r="E40" s="47"/>
      <c r="F40" s="47"/>
    </row>
    <row r="41" ht="15.75" customHeight="1">
      <c r="A41" s="47"/>
      <c r="B41" s="47"/>
      <c r="C41" s="47"/>
      <c r="D41" s="47"/>
      <c r="E41" s="47"/>
      <c r="F41" s="47"/>
    </row>
    <row r="42" ht="15.75" customHeight="1">
      <c r="A42" s="47"/>
      <c r="B42" s="47"/>
      <c r="C42" s="47"/>
      <c r="D42" s="47"/>
      <c r="E42" s="47"/>
      <c r="F42" s="47"/>
    </row>
    <row r="43" ht="15.75" customHeight="1">
      <c r="A43" s="47"/>
      <c r="B43" s="47"/>
      <c r="C43" s="47"/>
      <c r="D43" s="47"/>
      <c r="E43" s="47"/>
      <c r="F43" s="47"/>
    </row>
    <row r="44" ht="15.75" customHeight="1">
      <c r="A44" s="47"/>
      <c r="B44" s="47"/>
      <c r="C44" s="47"/>
      <c r="D44" s="47"/>
      <c r="E44" s="47"/>
      <c r="F44" s="47"/>
    </row>
    <row r="45" ht="15.75" customHeight="1">
      <c r="A45" s="47"/>
      <c r="B45" s="47"/>
      <c r="C45" s="47"/>
      <c r="D45" s="47"/>
      <c r="E45" s="47"/>
      <c r="F45" s="47"/>
    </row>
    <row r="46" ht="15.75" customHeight="1">
      <c r="A46" s="47"/>
      <c r="B46" s="47"/>
      <c r="C46" s="47"/>
      <c r="D46" s="47"/>
      <c r="E46" s="47"/>
      <c r="F46" s="47"/>
    </row>
    <row r="47" ht="15.75" customHeight="1">
      <c r="A47" s="47"/>
      <c r="B47" s="47"/>
      <c r="C47" s="47"/>
      <c r="D47" s="47"/>
      <c r="E47" s="47"/>
      <c r="F47" s="47"/>
    </row>
    <row r="48" ht="15.75" customHeight="1">
      <c r="A48" s="47"/>
      <c r="B48" s="47"/>
      <c r="C48" s="47"/>
      <c r="D48" s="47"/>
      <c r="E48" s="47"/>
      <c r="F48" s="47"/>
    </row>
    <row r="49" ht="15.75" customHeight="1">
      <c r="A49" s="47"/>
      <c r="B49" s="47"/>
      <c r="C49" s="47"/>
      <c r="D49" s="47"/>
      <c r="E49" s="47"/>
      <c r="F49" s="47"/>
    </row>
    <row r="50" ht="15.75" customHeight="1">
      <c r="A50" s="47"/>
      <c r="B50" s="47"/>
      <c r="C50" s="47"/>
      <c r="D50" s="47"/>
      <c r="E50" s="47"/>
      <c r="F50" s="47"/>
    </row>
    <row r="51" ht="15.75" customHeight="1">
      <c r="A51" s="47"/>
      <c r="B51" s="47"/>
      <c r="C51" s="47"/>
      <c r="D51" s="47"/>
      <c r="E51" s="47"/>
      <c r="F51" s="47"/>
    </row>
    <row r="52" ht="15.75" customHeight="1">
      <c r="A52" s="47"/>
      <c r="B52" s="47"/>
      <c r="C52" s="47"/>
      <c r="D52" s="47"/>
      <c r="E52" s="47"/>
      <c r="F52" s="47"/>
    </row>
    <row r="53" ht="15.75" customHeight="1">
      <c r="A53" s="47"/>
      <c r="B53" s="47"/>
      <c r="C53" s="47"/>
      <c r="D53" s="47"/>
      <c r="E53" s="47"/>
      <c r="F53" s="47"/>
    </row>
    <row r="54" ht="15.75" customHeight="1">
      <c r="A54" s="47"/>
      <c r="B54" s="47"/>
      <c r="C54" s="47"/>
      <c r="D54" s="47"/>
      <c r="E54" s="47"/>
      <c r="F54" s="47"/>
    </row>
    <row r="55" ht="15.75" customHeight="1">
      <c r="A55" s="47"/>
      <c r="B55" s="47"/>
      <c r="C55" s="47"/>
      <c r="D55" s="47"/>
      <c r="E55" s="47"/>
      <c r="F55" s="47"/>
    </row>
    <row r="56" ht="15.75" customHeight="1">
      <c r="A56" s="47"/>
      <c r="B56" s="47"/>
      <c r="C56" s="47"/>
      <c r="D56" s="47"/>
      <c r="E56" s="47"/>
      <c r="F56" s="47"/>
    </row>
    <row r="57" ht="15.75" customHeight="1">
      <c r="A57" s="47"/>
      <c r="B57" s="47"/>
      <c r="C57" s="47"/>
      <c r="D57" s="47"/>
      <c r="E57" s="47"/>
      <c r="F57" s="47"/>
    </row>
    <row r="58" ht="15.75" customHeight="1">
      <c r="A58" s="47"/>
      <c r="B58" s="47"/>
      <c r="C58" s="47"/>
      <c r="D58" s="47"/>
      <c r="E58" s="47"/>
      <c r="F58" s="47"/>
    </row>
    <row r="59" ht="15.75" customHeight="1">
      <c r="A59" s="47"/>
      <c r="B59" s="47"/>
      <c r="C59" s="47"/>
      <c r="D59" s="47"/>
      <c r="E59" s="47"/>
      <c r="F59" s="47"/>
    </row>
    <row r="60" ht="15.75" customHeight="1">
      <c r="A60" s="47"/>
      <c r="B60" s="47"/>
      <c r="C60" s="47"/>
      <c r="D60" s="47"/>
      <c r="E60" s="47"/>
      <c r="F60" s="47"/>
    </row>
    <row r="61" ht="15.75" customHeight="1">
      <c r="A61" s="47"/>
      <c r="B61" s="47"/>
      <c r="C61" s="47"/>
      <c r="D61" s="47"/>
      <c r="E61" s="47"/>
      <c r="F61" s="47"/>
    </row>
    <row r="62" ht="15.75" customHeight="1">
      <c r="A62" s="47"/>
      <c r="B62" s="47"/>
      <c r="C62" s="47"/>
      <c r="D62" s="47"/>
      <c r="E62" s="47"/>
      <c r="F62" s="47"/>
    </row>
    <row r="63" ht="15.75" customHeight="1">
      <c r="A63" s="47"/>
      <c r="B63" s="47"/>
      <c r="C63" s="47"/>
      <c r="D63" s="47"/>
      <c r="E63" s="47"/>
      <c r="F63" s="47"/>
    </row>
    <row r="64" ht="15.75" customHeight="1">
      <c r="A64" s="47"/>
      <c r="B64" s="47"/>
      <c r="C64" s="47"/>
      <c r="D64" s="47"/>
      <c r="E64" s="47"/>
      <c r="F64" s="47"/>
    </row>
    <row r="65" ht="15.75" customHeight="1">
      <c r="A65" s="47"/>
      <c r="B65" s="47"/>
      <c r="C65" s="47"/>
      <c r="D65" s="47"/>
      <c r="E65" s="47"/>
      <c r="F65" s="47"/>
    </row>
    <row r="66" ht="15.75" customHeight="1">
      <c r="A66" s="47"/>
      <c r="B66" s="47"/>
      <c r="C66" s="47"/>
      <c r="D66" s="47"/>
      <c r="E66" s="47"/>
      <c r="F66" s="47"/>
    </row>
    <row r="67" ht="15.75" customHeight="1">
      <c r="A67" s="47"/>
      <c r="B67" s="47"/>
      <c r="C67" s="47"/>
      <c r="D67" s="47"/>
      <c r="E67" s="47"/>
      <c r="F67" s="47"/>
    </row>
    <row r="68" ht="15.75" customHeight="1">
      <c r="A68" s="47"/>
      <c r="B68" s="47"/>
      <c r="C68" s="47"/>
      <c r="D68" s="47"/>
      <c r="E68" s="47"/>
      <c r="F68" s="47"/>
    </row>
    <row r="69" ht="15.75" customHeight="1">
      <c r="A69" s="47"/>
      <c r="B69" s="47"/>
      <c r="C69" s="47"/>
      <c r="D69" s="47"/>
      <c r="E69" s="47"/>
      <c r="F69" s="47"/>
    </row>
    <row r="70" ht="15.75" customHeight="1">
      <c r="A70" s="47"/>
      <c r="B70" s="47"/>
      <c r="C70" s="47"/>
      <c r="D70" s="47"/>
      <c r="E70" s="47"/>
      <c r="F70" s="47"/>
    </row>
    <row r="71" ht="15.75" customHeight="1">
      <c r="A71" s="47"/>
      <c r="B71" s="47"/>
      <c r="C71" s="47"/>
      <c r="D71" s="47"/>
      <c r="E71" s="47"/>
      <c r="F71" s="47"/>
    </row>
    <row r="72" ht="15.75" customHeight="1">
      <c r="A72" s="47"/>
      <c r="B72" s="47"/>
      <c r="C72" s="47"/>
      <c r="D72" s="47"/>
      <c r="E72" s="47"/>
      <c r="F72" s="47"/>
    </row>
    <row r="73" ht="15.75" customHeight="1">
      <c r="A73" s="47"/>
      <c r="B73" s="47"/>
      <c r="C73" s="47"/>
      <c r="D73" s="47"/>
      <c r="E73" s="47"/>
      <c r="F73" s="47"/>
    </row>
    <row r="74" ht="15.75" customHeight="1">
      <c r="A74" s="47"/>
      <c r="B74" s="47"/>
      <c r="C74" s="47"/>
      <c r="D74" s="47"/>
      <c r="E74" s="47"/>
      <c r="F74" s="47"/>
    </row>
    <row r="75" ht="15.75" customHeight="1">
      <c r="A75" s="47"/>
      <c r="B75" s="47"/>
      <c r="C75" s="47"/>
      <c r="D75" s="47"/>
      <c r="E75" s="47"/>
      <c r="F75" s="47"/>
    </row>
    <row r="76" ht="15.75" customHeight="1">
      <c r="A76" s="47"/>
      <c r="B76" s="47"/>
      <c r="C76" s="47"/>
      <c r="D76" s="47"/>
      <c r="E76" s="47"/>
      <c r="F76" s="47"/>
    </row>
    <row r="77" ht="15.75" customHeight="1">
      <c r="A77" s="47"/>
      <c r="B77" s="47"/>
      <c r="C77" s="47"/>
      <c r="D77" s="47"/>
      <c r="E77" s="47"/>
      <c r="F77" s="47"/>
    </row>
    <row r="78" ht="15.75" customHeight="1">
      <c r="A78" s="47"/>
      <c r="B78" s="47"/>
      <c r="C78" s="47"/>
      <c r="D78" s="47"/>
      <c r="E78" s="47"/>
      <c r="F78" s="47"/>
    </row>
    <row r="79" ht="15.75" customHeight="1">
      <c r="A79" s="47"/>
      <c r="B79" s="47"/>
      <c r="C79" s="47"/>
      <c r="D79" s="47"/>
      <c r="E79" s="47"/>
      <c r="F79" s="47"/>
    </row>
    <row r="80" ht="15.75" customHeight="1">
      <c r="A80" s="47"/>
      <c r="B80" s="47"/>
      <c r="C80" s="47"/>
      <c r="D80" s="47"/>
      <c r="E80" s="47"/>
      <c r="F80" s="47"/>
    </row>
    <row r="81" ht="15.75" customHeight="1">
      <c r="A81" s="47"/>
      <c r="B81" s="47"/>
      <c r="C81" s="47"/>
      <c r="D81" s="47"/>
      <c r="E81" s="47"/>
      <c r="F81" s="47"/>
    </row>
    <row r="82" ht="15.75" customHeight="1">
      <c r="A82" s="47"/>
      <c r="B82" s="47"/>
      <c r="C82" s="47"/>
      <c r="D82" s="47"/>
      <c r="E82" s="47"/>
      <c r="F82" s="47"/>
    </row>
    <row r="83" ht="15.75" customHeight="1">
      <c r="A83" s="47"/>
      <c r="B83" s="47"/>
      <c r="C83" s="47"/>
      <c r="D83" s="47"/>
      <c r="E83" s="47"/>
      <c r="F83" s="47"/>
    </row>
    <row r="84" ht="15.75" customHeight="1">
      <c r="A84" s="47"/>
      <c r="B84" s="47"/>
      <c r="C84" s="47"/>
      <c r="D84" s="47"/>
      <c r="E84" s="47"/>
      <c r="F84" s="47"/>
    </row>
    <row r="85" ht="15.75" customHeight="1">
      <c r="A85" s="47"/>
      <c r="B85" s="47"/>
      <c r="C85" s="47"/>
      <c r="D85" s="47"/>
      <c r="E85" s="47"/>
      <c r="F85" s="47"/>
    </row>
    <row r="86" ht="15.75" customHeight="1">
      <c r="A86" s="47"/>
      <c r="B86" s="47"/>
      <c r="C86" s="47"/>
      <c r="D86" s="47"/>
      <c r="E86" s="47"/>
      <c r="F86" s="47"/>
    </row>
    <row r="87" ht="15.75" customHeight="1">
      <c r="A87" s="47"/>
      <c r="B87" s="47"/>
      <c r="C87" s="47"/>
      <c r="D87" s="47"/>
      <c r="E87" s="47"/>
      <c r="F87" s="47"/>
    </row>
    <row r="88" ht="15.75" customHeight="1">
      <c r="A88" s="47"/>
      <c r="B88" s="47"/>
      <c r="C88" s="47"/>
      <c r="D88" s="47"/>
      <c r="E88" s="47"/>
      <c r="F88" s="47"/>
    </row>
    <row r="89" ht="15.75" customHeight="1">
      <c r="A89" s="47"/>
      <c r="B89" s="47"/>
      <c r="C89" s="47"/>
      <c r="D89" s="47"/>
      <c r="E89" s="47"/>
      <c r="F89" s="47"/>
    </row>
    <row r="90" ht="15.75" customHeight="1">
      <c r="A90" s="47"/>
      <c r="B90" s="47"/>
      <c r="C90" s="47"/>
      <c r="D90" s="47"/>
      <c r="E90" s="47"/>
      <c r="F90" s="47"/>
    </row>
    <row r="91" ht="15.75" customHeight="1">
      <c r="A91" s="47"/>
      <c r="B91" s="47"/>
      <c r="C91" s="47"/>
      <c r="D91" s="47"/>
      <c r="E91" s="47"/>
      <c r="F91" s="47"/>
    </row>
    <row r="92" ht="15.75" customHeight="1">
      <c r="A92" s="47"/>
      <c r="B92" s="47"/>
      <c r="C92" s="47"/>
      <c r="D92" s="47"/>
      <c r="E92" s="47"/>
      <c r="F92" s="47"/>
    </row>
    <row r="93" ht="15.75" customHeight="1">
      <c r="A93" s="47"/>
      <c r="B93" s="47"/>
      <c r="C93" s="47"/>
      <c r="D93" s="47"/>
      <c r="E93" s="47"/>
      <c r="F93" s="47"/>
    </row>
    <row r="94" ht="15.75" customHeight="1">
      <c r="A94" s="47"/>
      <c r="B94" s="47"/>
      <c r="C94" s="47"/>
      <c r="D94" s="47"/>
      <c r="E94" s="47"/>
      <c r="F94" s="47"/>
    </row>
    <row r="95" ht="15.75" customHeight="1">
      <c r="A95" s="47"/>
      <c r="B95" s="47"/>
      <c r="C95" s="47"/>
      <c r="D95" s="47"/>
      <c r="E95" s="47"/>
      <c r="F95" s="47"/>
    </row>
    <row r="96" ht="15.75" customHeight="1">
      <c r="A96" s="47"/>
      <c r="B96" s="47"/>
      <c r="C96" s="47"/>
      <c r="D96" s="47"/>
      <c r="E96" s="47"/>
      <c r="F96" s="47"/>
    </row>
    <row r="97" ht="15.75" customHeight="1">
      <c r="A97" s="47"/>
      <c r="B97" s="47"/>
      <c r="C97" s="47"/>
      <c r="D97" s="47"/>
      <c r="E97" s="47"/>
      <c r="F97" s="47"/>
    </row>
    <row r="98" ht="15.75" customHeight="1">
      <c r="A98" s="47"/>
      <c r="B98" s="47"/>
      <c r="C98" s="47"/>
      <c r="D98" s="47"/>
      <c r="E98" s="47"/>
      <c r="F98" s="47"/>
    </row>
    <row r="99" ht="15.75" customHeight="1">
      <c r="A99" s="47"/>
      <c r="B99" s="47"/>
      <c r="C99" s="47"/>
      <c r="D99" s="47"/>
      <c r="E99" s="47"/>
      <c r="F99" s="47"/>
    </row>
    <row r="100" ht="15.75" customHeight="1">
      <c r="A100" s="47"/>
      <c r="B100" s="47"/>
      <c r="C100" s="47"/>
      <c r="D100" s="47"/>
      <c r="E100" s="47"/>
      <c r="F100" s="47"/>
    </row>
    <row r="101" ht="15.75" customHeight="1">
      <c r="A101" s="47"/>
      <c r="B101" s="47"/>
      <c r="C101" s="47"/>
      <c r="D101" s="47"/>
      <c r="E101" s="47"/>
      <c r="F101" s="47"/>
    </row>
    <row r="102" ht="15.75" customHeight="1">
      <c r="A102" s="47"/>
      <c r="B102" s="47"/>
      <c r="C102" s="47"/>
      <c r="D102" s="47"/>
      <c r="E102" s="47"/>
      <c r="F102" s="47"/>
    </row>
    <row r="103" ht="15.75" customHeight="1">
      <c r="A103" s="47"/>
      <c r="B103" s="47"/>
      <c r="C103" s="47"/>
      <c r="D103" s="47"/>
      <c r="E103" s="47"/>
      <c r="F103" s="47"/>
    </row>
    <row r="104" ht="15.75" customHeight="1">
      <c r="A104" s="47"/>
      <c r="B104" s="47"/>
      <c r="C104" s="47"/>
      <c r="D104" s="47"/>
      <c r="E104" s="47"/>
      <c r="F104" s="47"/>
    </row>
    <row r="105" ht="15.75" customHeight="1">
      <c r="A105" s="47"/>
      <c r="B105" s="47"/>
      <c r="C105" s="47"/>
      <c r="D105" s="47"/>
      <c r="E105" s="47"/>
      <c r="F105" s="47"/>
    </row>
    <row r="106" ht="15.75" customHeight="1">
      <c r="A106" s="47"/>
      <c r="B106" s="47"/>
      <c r="C106" s="47"/>
      <c r="D106" s="47"/>
      <c r="E106" s="47"/>
      <c r="F106" s="47"/>
    </row>
    <row r="107" ht="15.75" customHeight="1">
      <c r="A107" s="47"/>
      <c r="B107" s="47"/>
      <c r="C107" s="47"/>
      <c r="D107" s="47"/>
      <c r="E107" s="47"/>
      <c r="F107" s="47"/>
    </row>
    <row r="108" ht="15.75" customHeight="1">
      <c r="A108" s="47"/>
      <c r="B108" s="47"/>
      <c r="C108" s="47"/>
      <c r="D108" s="47"/>
      <c r="E108" s="47"/>
      <c r="F108" s="47"/>
    </row>
    <row r="109" ht="15.75" customHeight="1">
      <c r="A109" s="47"/>
      <c r="B109" s="47"/>
      <c r="C109" s="47"/>
      <c r="D109" s="47"/>
      <c r="E109" s="47"/>
      <c r="F109" s="47"/>
    </row>
    <row r="110" ht="15.75" customHeight="1">
      <c r="A110" s="47"/>
      <c r="B110" s="47"/>
      <c r="C110" s="47"/>
      <c r="D110" s="47"/>
      <c r="E110" s="47"/>
      <c r="F110" s="47"/>
    </row>
    <row r="111" ht="15.75" customHeight="1">
      <c r="A111" s="47"/>
      <c r="B111" s="47"/>
      <c r="C111" s="47"/>
      <c r="D111" s="47"/>
      <c r="E111" s="47"/>
      <c r="F111" s="47"/>
    </row>
    <row r="112" ht="15.75" customHeight="1">
      <c r="A112" s="47"/>
      <c r="B112" s="47"/>
      <c r="C112" s="47"/>
      <c r="D112" s="47"/>
      <c r="E112" s="47"/>
      <c r="F112" s="47"/>
    </row>
    <row r="113" ht="15.75" customHeight="1">
      <c r="A113" s="47"/>
      <c r="B113" s="47"/>
      <c r="C113" s="47"/>
      <c r="D113" s="47"/>
      <c r="E113" s="47"/>
      <c r="F113" s="47"/>
    </row>
    <row r="114" ht="15.75" customHeight="1">
      <c r="A114" s="47"/>
      <c r="B114" s="47"/>
      <c r="C114" s="47"/>
      <c r="D114" s="47"/>
      <c r="E114" s="47"/>
      <c r="F114" s="47"/>
    </row>
    <row r="115" ht="15.75" customHeight="1">
      <c r="A115" s="47"/>
      <c r="B115" s="47"/>
      <c r="C115" s="47"/>
      <c r="D115" s="47"/>
      <c r="E115" s="47"/>
      <c r="F115" s="47"/>
    </row>
    <row r="116" ht="15.75" customHeight="1">
      <c r="A116" s="47"/>
      <c r="B116" s="47"/>
      <c r="C116" s="47"/>
      <c r="D116" s="47"/>
      <c r="E116" s="47"/>
      <c r="F116" s="47"/>
    </row>
    <row r="117" ht="15.75" customHeight="1">
      <c r="A117" s="47"/>
      <c r="B117" s="47"/>
      <c r="C117" s="47"/>
      <c r="D117" s="47"/>
      <c r="E117" s="47"/>
      <c r="F117" s="47"/>
    </row>
    <row r="118" ht="15.75" customHeight="1">
      <c r="A118" s="47"/>
      <c r="B118" s="47"/>
      <c r="C118" s="47"/>
      <c r="D118" s="47"/>
      <c r="E118" s="47"/>
      <c r="F118" s="47"/>
    </row>
    <row r="119" ht="15.75" customHeight="1">
      <c r="A119" s="47"/>
      <c r="B119" s="47"/>
      <c r="C119" s="47"/>
      <c r="D119" s="47"/>
      <c r="E119" s="47"/>
      <c r="F119" s="47"/>
    </row>
    <row r="120" ht="15.75" customHeight="1">
      <c r="A120" s="47"/>
      <c r="B120" s="47"/>
      <c r="C120" s="47"/>
      <c r="D120" s="47"/>
      <c r="E120" s="47"/>
      <c r="F120" s="47"/>
    </row>
    <row r="121" ht="15.75" customHeight="1">
      <c r="A121" s="47"/>
      <c r="B121" s="47"/>
      <c r="C121" s="47"/>
      <c r="D121" s="47"/>
      <c r="E121" s="47"/>
      <c r="F121" s="47"/>
    </row>
    <row r="122" ht="15.75" customHeight="1">
      <c r="A122" s="47"/>
      <c r="B122" s="47"/>
      <c r="C122" s="47"/>
      <c r="D122" s="47"/>
      <c r="E122" s="47"/>
      <c r="F122" s="47"/>
    </row>
    <row r="123" ht="15.75" customHeight="1">
      <c r="A123" s="47"/>
      <c r="B123" s="47"/>
      <c r="C123" s="47"/>
      <c r="D123" s="47"/>
      <c r="E123" s="47"/>
      <c r="F123" s="47"/>
    </row>
    <row r="124" ht="15.75" customHeight="1">
      <c r="A124" s="47"/>
      <c r="B124" s="47"/>
      <c r="C124" s="47"/>
      <c r="D124" s="47"/>
      <c r="E124" s="47"/>
      <c r="F124" s="47"/>
    </row>
    <row r="125" ht="15.75" customHeight="1">
      <c r="A125" s="47"/>
      <c r="B125" s="47"/>
      <c r="C125" s="47"/>
      <c r="D125" s="47"/>
      <c r="E125" s="47"/>
      <c r="F125" s="47"/>
    </row>
    <row r="126" ht="15.75" customHeight="1">
      <c r="A126" s="47"/>
      <c r="B126" s="47"/>
      <c r="C126" s="47"/>
      <c r="D126" s="47"/>
      <c r="E126" s="47"/>
      <c r="F126" s="47"/>
    </row>
    <row r="127" ht="15.75" customHeight="1">
      <c r="A127" s="47"/>
      <c r="B127" s="47"/>
      <c r="C127" s="47"/>
      <c r="D127" s="47"/>
      <c r="E127" s="47"/>
      <c r="F127" s="47"/>
    </row>
    <row r="128" ht="15.75" customHeight="1">
      <c r="A128" s="47"/>
      <c r="B128" s="47"/>
      <c r="C128" s="47"/>
      <c r="D128" s="47"/>
      <c r="E128" s="47"/>
      <c r="F128" s="47"/>
    </row>
    <row r="129" ht="15.75" customHeight="1">
      <c r="A129" s="47"/>
      <c r="B129" s="47"/>
      <c r="C129" s="47"/>
      <c r="D129" s="47"/>
      <c r="E129" s="47"/>
      <c r="F129" s="47"/>
    </row>
    <row r="130" ht="15.75" customHeight="1">
      <c r="A130" s="47"/>
      <c r="B130" s="47"/>
      <c r="C130" s="47"/>
      <c r="D130" s="47"/>
      <c r="E130" s="47"/>
      <c r="F130" s="47"/>
    </row>
    <row r="131" ht="15.75" customHeight="1">
      <c r="A131" s="47"/>
      <c r="B131" s="47"/>
      <c r="C131" s="47"/>
      <c r="D131" s="47"/>
      <c r="E131" s="47"/>
      <c r="F131" s="47"/>
    </row>
    <row r="132" ht="15.75" customHeight="1">
      <c r="A132" s="47"/>
      <c r="B132" s="47"/>
      <c r="C132" s="47"/>
      <c r="D132" s="47"/>
      <c r="E132" s="47"/>
      <c r="F132" s="47"/>
    </row>
    <row r="133" ht="15.75" customHeight="1">
      <c r="A133" s="47"/>
      <c r="B133" s="47"/>
      <c r="C133" s="47"/>
      <c r="D133" s="47"/>
      <c r="E133" s="47"/>
      <c r="F133" s="47"/>
    </row>
    <row r="134" ht="15.75" customHeight="1">
      <c r="A134" s="47"/>
      <c r="B134" s="47"/>
      <c r="C134" s="47"/>
      <c r="D134" s="47"/>
      <c r="E134" s="47"/>
      <c r="F134" s="47"/>
    </row>
    <row r="135" ht="15.75" customHeight="1">
      <c r="A135" s="47"/>
      <c r="B135" s="47"/>
      <c r="C135" s="47"/>
      <c r="D135" s="47"/>
      <c r="E135" s="47"/>
      <c r="F135" s="47"/>
    </row>
    <row r="136" ht="15.75" customHeight="1">
      <c r="A136" s="47"/>
      <c r="B136" s="47"/>
      <c r="C136" s="47"/>
      <c r="D136" s="47"/>
      <c r="E136" s="47"/>
      <c r="F136" s="47"/>
    </row>
    <row r="137" ht="15.75" customHeight="1">
      <c r="A137" s="47"/>
      <c r="B137" s="47"/>
      <c r="C137" s="47"/>
      <c r="D137" s="47"/>
      <c r="E137" s="47"/>
      <c r="F137" s="47"/>
    </row>
    <row r="138" ht="15.75" customHeight="1">
      <c r="A138" s="47"/>
      <c r="B138" s="47"/>
      <c r="C138" s="47"/>
      <c r="D138" s="47"/>
      <c r="E138" s="47"/>
      <c r="F138" s="47"/>
    </row>
    <row r="139" ht="15.75" customHeight="1">
      <c r="A139" s="47"/>
      <c r="B139" s="47"/>
      <c r="C139" s="47"/>
      <c r="D139" s="47"/>
      <c r="E139" s="47"/>
      <c r="F139" s="47"/>
    </row>
    <row r="140" ht="15.75" customHeight="1">
      <c r="A140" s="47"/>
      <c r="B140" s="47"/>
      <c r="C140" s="47"/>
      <c r="D140" s="47"/>
      <c r="E140" s="47"/>
      <c r="F140" s="47"/>
    </row>
    <row r="141" ht="15.75" customHeight="1">
      <c r="A141" s="47"/>
      <c r="B141" s="47"/>
      <c r="C141" s="47"/>
      <c r="D141" s="47"/>
      <c r="E141" s="47"/>
      <c r="F141" s="47"/>
    </row>
    <row r="142" ht="15.75" customHeight="1">
      <c r="A142" s="47"/>
      <c r="B142" s="47"/>
      <c r="C142" s="47"/>
      <c r="D142" s="47"/>
      <c r="E142" s="47"/>
      <c r="F142" s="47"/>
    </row>
    <row r="143" ht="15.75" customHeight="1">
      <c r="A143" s="47"/>
      <c r="B143" s="47"/>
      <c r="C143" s="47"/>
      <c r="D143" s="47"/>
      <c r="E143" s="47"/>
      <c r="F143" s="47"/>
    </row>
    <row r="144" ht="15.75" customHeight="1">
      <c r="A144" s="47"/>
      <c r="B144" s="47"/>
      <c r="C144" s="47"/>
      <c r="D144" s="47"/>
      <c r="E144" s="47"/>
      <c r="F144" s="47"/>
    </row>
    <row r="145" ht="15.75" customHeight="1">
      <c r="A145" s="47"/>
      <c r="B145" s="47"/>
      <c r="C145" s="47"/>
      <c r="D145" s="47"/>
      <c r="E145" s="47"/>
      <c r="F145" s="47"/>
    </row>
    <row r="146" ht="15.75" customHeight="1">
      <c r="A146" s="47"/>
      <c r="B146" s="47"/>
      <c r="C146" s="47"/>
      <c r="D146" s="47"/>
      <c r="E146" s="47"/>
      <c r="F146" s="47"/>
    </row>
    <row r="147" ht="15.75" customHeight="1">
      <c r="A147" s="47"/>
      <c r="B147" s="47"/>
      <c r="C147" s="47"/>
      <c r="D147" s="47"/>
      <c r="E147" s="47"/>
      <c r="F147" s="47"/>
    </row>
    <row r="148" ht="15.75" customHeight="1">
      <c r="A148" s="47"/>
      <c r="B148" s="47"/>
      <c r="C148" s="47"/>
      <c r="D148" s="47"/>
      <c r="E148" s="47"/>
      <c r="F148" s="47"/>
    </row>
    <row r="149" ht="15.75" customHeight="1">
      <c r="A149" s="47"/>
      <c r="B149" s="47"/>
      <c r="C149" s="47"/>
      <c r="D149" s="47"/>
      <c r="E149" s="47"/>
      <c r="F149" s="47"/>
    </row>
    <row r="150" ht="15.75" customHeight="1">
      <c r="A150" s="47"/>
      <c r="B150" s="47"/>
      <c r="C150" s="47"/>
      <c r="D150" s="47"/>
      <c r="E150" s="47"/>
      <c r="F150" s="47"/>
    </row>
    <row r="151" ht="15.75" customHeight="1">
      <c r="A151" s="47"/>
      <c r="B151" s="47"/>
      <c r="C151" s="47"/>
      <c r="D151" s="47"/>
      <c r="E151" s="47"/>
      <c r="F151" s="47"/>
    </row>
    <row r="152" ht="15.75" customHeight="1">
      <c r="A152" s="47"/>
      <c r="B152" s="47"/>
      <c r="C152" s="47"/>
      <c r="D152" s="47"/>
      <c r="E152" s="47"/>
      <c r="F152" s="47"/>
    </row>
    <row r="153" ht="15.75" customHeight="1">
      <c r="A153" s="47"/>
      <c r="B153" s="47"/>
      <c r="C153" s="47"/>
      <c r="D153" s="47"/>
      <c r="E153" s="47"/>
      <c r="F153" s="47"/>
    </row>
    <row r="154" ht="15.75" customHeight="1">
      <c r="A154" s="47"/>
      <c r="B154" s="47"/>
      <c r="C154" s="47"/>
      <c r="D154" s="47"/>
      <c r="E154" s="47"/>
      <c r="F154" s="47"/>
    </row>
    <row r="155" ht="15.75" customHeight="1">
      <c r="A155" s="47"/>
      <c r="B155" s="47"/>
      <c r="C155" s="47"/>
      <c r="D155" s="47"/>
      <c r="E155" s="47"/>
      <c r="F155" s="47"/>
    </row>
    <row r="156" ht="15.75" customHeight="1">
      <c r="A156" s="47"/>
      <c r="B156" s="47"/>
      <c r="C156" s="47"/>
      <c r="D156" s="47"/>
      <c r="E156" s="47"/>
      <c r="F156" s="47"/>
    </row>
    <row r="157" ht="15.75" customHeight="1">
      <c r="A157" s="47"/>
      <c r="B157" s="47"/>
      <c r="C157" s="47"/>
      <c r="D157" s="47"/>
      <c r="E157" s="47"/>
      <c r="F157" s="47"/>
    </row>
    <row r="158" ht="15.75" customHeight="1">
      <c r="A158" s="47"/>
      <c r="B158" s="47"/>
      <c r="C158" s="47"/>
      <c r="D158" s="47"/>
      <c r="E158" s="47"/>
      <c r="F158" s="47"/>
    </row>
    <row r="159" ht="15.75" customHeight="1">
      <c r="A159" s="47"/>
      <c r="B159" s="47"/>
      <c r="C159" s="47"/>
      <c r="D159" s="47"/>
      <c r="E159" s="47"/>
      <c r="F159" s="47"/>
    </row>
    <row r="160" ht="15.75" customHeight="1">
      <c r="A160" s="47"/>
      <c r="B160" s="47"/>
      <c r="C160" s="47"/>
      <c r="D160" s="47"/>
      <c r="E160" s="47"/>
      <c r="F160" s="47"/>
    </row>
    <row r="161" ht="15.75" customHeight="1">
      <c r="A161" s="47"/>
      <c r="B161" s="47"/>
      <c r="C161" s="47"/>
      <c r="D161" s="47"/>
      <c r="E161" s="47"/>
      <c r="F161" s="47"/>
    </row>
    <row r="162" ht="15.75" customHeight="1">
      <c r="A162" s="47"/>
      <c r="B162" s="47"/>
      <c r="C162" s="47"/>
      <c r="D162" s="47"/>
      <c r="E162" s="47"/>
      <c r="F162" s="47"/>
    </row>
    <row r="163" ht="15.75" customHeight="1">
      <c r="A163" s="47"/>
      <c r="B163" s="47"/>
      <c r="C163" s="47"/>
      <c r="D163" s="47"/>
      <c r="E163" s="47"/>
      <c r="F163" s="47"/>
    </row>
    <row r="164" ht="15.75" customHeight="1">
      <c r="A164" s="47"/>
      <c r="B164" s="47"/>
      <c r="C164" s="47"/>
      <c r="D164" s="47"/>
      <c r="E164" s="47"/>
      <c r="F164" s="47"/>
    </row>
    <row r="165" ht="15.75" customHeight="1">
      <c r="A165" s="47"/>
      <c r="B165" s="47"/>
      <c r="C165" s="47"/>
      <c r="D165" s="47"/>
      <c r="E165" s="47"/>
      <c r="F165" s="47"/>
    </row>
    <row r="166" ht="15.75" customHeight="1">
      <c r="A166" s="47"/>
      <c r="B166" s="47"/>
      <c r="C166" s="47"/>
      <c r="D166" s="47"/>
      <c r="E166" s="47"/>
      <c r="F166" s="47"/>
    </row>
    <row r="167" ht="15.75" customHeight="1">
      <c r="A167" s="47"/>
      <c r="B167" s="47"/>
      <c r="C167" s="47"/>
      <c r="D167" s="47"/>
      <c r="E167" s="47"/>
      <c r="F167" s="47"/>
    </row>
    <row r="168" ht="15.75" customHeight="1">
      <c r="A168" s="47"/>
      <c r="B168" s="47"/>
      <c r="C168" s="47"/>
      <c r="D168" s="47"/>
      <c r="E168" s="47"/>
      <c r="F168" s="47"/>
    </row>
    <row r="169" ht="15.75" customHeight="1">
      <c r="A169" s="47"/>
      <c r="B169" s="47"/>
      <c r="C169" s="47"/>
      <c r="D169" s="47"/>
      <c r="E169" s="47"/>
      <c r="F169" s="47"/>
    </row>
    <row r="170" ht="15.75" customHeight="1">
      <c r="A170" s="47"/>
      <c r="B170" s="47"/>
      <c r="C170" s="47"/>
      <c r="D170" s="47"/>
      <c r="E170" s="47"/>
      <c r="F170" s="47"/>
    </row>
    <row r="171" ht="15.75" customHeight="1">
      <c r="A171" s="47"/>
      <c r="B171" s="47"/>
      <c r="C171" s="47"/>
      <c r="D171" s="47"/>
      <c r="E171" s="47"/>
      <c r="F171" s="47"/>
    </row>
    <row r="172" ht="15.75" customHeight="1">
      <c r="A172" s="47"/>
      <c r="B172" s="47"/>
      <c r="C172" s="47"/>
      <c r="D172" s="47"/>
      <c r="E172" s="47"/>
      <c r="F172" s="47"/>
    </row>
    <row r="173" ht="15.75" customHeight="1">
      <c r="A173" s="47"/>
      <c r="B173" s="47"/>
      <c r="C173" s="47"/>
      <c r="D173" s="47"/>
      <c r="E173" s="47"/>
      <c r="F173" s="47"/>
    </row>
    <row r="174" ht="15.75" customHeight="1">
      <c r="A174" s="47"/>
      <c r="B174" s="47"/>
      <c r="C174" s="47"/>
      <c r="D174" s="47"/>
      <c r="E174" s="47"/>
      <c r="F174" s="47"/>
    </row>
    <row r="175" ht="15.75" customHeight="1">
      <c r="A175" s="47"/>
      <c r="B175" s="47"/>
      <c r="C175" s="47"/>
      <c r="D175" s="47"/>
      <c r="E175" s="47"/>
      <c r="F175" s="47"/>
    </row>
    <row r="176" ht="15.75" customHeight="1">
      <c r="A176" s="47"/>
      <c r="B176" s="47"/>
      <c r="C176" s="47"/>
      <c r="D176" s="47"/>
      <c r="E176" s="47"/>
      <c r="F176" s="47"/>
    </row>
    <row r="177" ht="15.75" customHeight="1">
      <c r="A177" s="47"/>
      <c r="B177" s="47"/>
      <c r="C177" s="47"/>
      <c r="D177" s="47"/>
      <c r="E177" s="47"/>
      <c r="F177" s="47"/>
    </row>
    <row r="178" ht="15.75" customHeight="1">
      <c r="A178" s="47"/>
      <c r="B178" s="47"/>
      <c r="C178" s="47"/>
      <c r="D178" s="47"/>
      <c r="E178" s="47"/>
      <c r="F178" s="47"/>
    </row>
    <row r="179" ht="15.75" customHeight="1">
      <c r="A179" s="47"/>
      <c r="B179" s="47"/>
      <c r="C179" s="47"/>
      <c r="D179" s="47"/>
      <c r="E179" s="47"/>
      <c r="F179" s="47"/>
    </row>
    <row r="180" ht="15.75" customHeight="1">
      <c r="A180" s="47"/>
      <c r="B180" s="47"/>
      <c r="C180" s="47"/>
      <c r="D180" s="47"/>
      <c r="E180" s="47"/>
      <c r="F180" s="47"/>
    </row>
    <row r="181" ht="15.75" customHeight="1">
      <c r="A181" s="47"/>
      <c r="B181" s="47"/>
      <c r="C181" s="47"/>
      <c r="D181" s="47"/>
      <c r="E181" s="47"/>
      <c r="F181" s="47"/>
    </row>
    <row r="182" ht="15.75" customHeight="1">
      <c r="A182" s="47"/>
      <c r="B182" s="47"/>
      <c r="C182" s="47"/>
      <c r="D182" s="47"/>
      <c r="E182" s="47"/>
      <c r="F182" s="47"/>
    </row>
    <row r="183" ht="15.75" customHeight="1">
      <c r="A183" s="47"/>
      <c r="B183" s="47"/>
      <c r="C183" s="47"/>
      <c r="D183" s="47"/>
      <c r="E183" s="47"/>
      <c r="F183" s="47"/>
    </row>
    <row r="184" ht="15.75" customHeight="1">
      <c r="A184" s="47"/>
      <c r="B184" s="47"/>
      <c r="C184" s="47"/>
      <c r="D184" s="47"/>
      <c r="E184" s="47"/>
      <c r="F184" s="47"/>
    </row>
    <row r="185" ht="15.75" customHeight="1">
      <c r="A185" s="47"/>
      <c r="B185" s="47"/>
      <c r="C185" s="47"/>
      <c r="D185" s="47"/>
      <c r="E185" s="47"/>
      <c r="F185" s="47"/>
    </row>
    <row r="186" ht="15.75" customHeight="1">
      <c r="A186" s="47"/>
      <c r="B186" s="47"/>
      <c r="C186" s="47"/>
      <c r="D186" s="47"/>
      <c r="E186" s="47"/>
      <c r="F186" s="47"/>
    </row>
    <row r="187" ht="15.75" customHeight="1">
      <c r="A187" s="47"/>
      <c r="B187" s="47"/>
      <c r="C187" s="47"/>
      <c r="D187" s="47"/>
      <c r="E187" s="47"/>
      <c r="F187" s="47"/>
    </row>
    <row r="188" ht="15.75" customHeight="1">
      <c r="A188" s="47"/>
      <c r="B188" s="47"/>
      <c r="C188" s="47"/>
      <c r="D188" s="47"/>
      <c r="E188" s="47"/>
      <c r="F188" s="47"/>
    </row>
    <row r="189" ht="15.75" customHeight="1">
      <c r="A189" s="47"/>
      <c r="B189" s="47"/>
      <c r="C189" s="47"/>
      <c r="D189" s="47"/>
      <c r="E189" s="47"/>
      <c r="F189" s="47"/>
    </row>
    <row r="190" ht="15.75" customHeight="1">
      <c r="A190" s="47"/>
      <c r="B190" s="47"/>
      <c r="C190" s="47"/>
      <c r="D190" s="47"/>
      <c r="E190" s="47"/>
      <c r="F190" s="47"/>
    </row>
    <row r="191" ht="15.75" customHeight="1">
      <c r="A191" s="47"/>
      <c r="B191" s="47"/>
      <c r="C191" s="47"/>
      <c r="D191" s="47"/>
      <c r="E191" s="47"/>
      <c r="F191" s="47"/>
    </row>
    <row r="192" ht="15.75" customHeight="1">
      <c r="A192" s="47"/>
      <c r="B192" s="47"/>
      <c r="C192" s="47"/>
      <c r="D192" s="47"/>
      <c r="E192" s="47"/>
      <c r="F192" s="47"/>
    </row>
    <row r="193" ht="15.75" customHeight="1">
      <c r="A193" s="47"/>
      <c r="B193" s="47"/>
      <c r="C193" s="47"/>
      <c r="D193" s="47"/>
      <c r="E193" s="47"/>
      <c r="F193" s="47"/>
    </row>
    <row r="194" ht="15.75" customHeight="1">
      <c r="A194" s="47"/>
      <c r="B194" s="47"/>
      <c r="C194" s="47"/>
      <c r="D194" s="47"/>
      <c r="E194" s="47"/>
      <c r="F194" s="47"/>
    </row>
    <row r="195" ht="15.75" customHeight="1">
      <c r="A195" s="47"/>
      <c r="B195" s="47"/>
      <c r="C195" s="47"/>
      <c r="D195" s="47"/>
      <c r="E195" s="47"/>
      <c r="F195" s="47"/>
    </row>
    <row r="196" ht="15.75" customHeight="1">
      <c r="A196" s="47"/>
      <c r="B196" s="47"/>
      <c r="C196" s="47"/>
      <c r="D196" s="47"/>
      <c r="E196" s="47"/>
      <c r="F196" s="47"/>
    </row>
    <row r="197" ht="15.75" customHeight="1">
      <c r="A197" s="47"/>
      <c r="B197" s="47"/>
      <c r="C197" s="47"/>
      <c r="D197" s="47"/>
      <c r="E197" s="47"/>
      <c r="F197" s="47"/>
    </row>
    <row r="198" ht="15.75" customHeight="1">
      <c r="A198" s="47"/>
      <c r="B198" s="47"/>
      <c r="C198" s="47"/>
      <c r="D198" s="47"/>
      <c r="E198" s="47"/>
      <c r="F198" s="47"/>
    </row>
    <row r="199" ht="15.75" customHeight="1">
      <c r="A199" s="47"/>
      <c r="B199" s="47"/>
      <c r="C199" s="47"/>
      <c r="D199" s="47"/>
      <c r="E199" s="47"/>
      <c r="F199" s="47"/>
    </row>
    <row r="200" ht="15.75" customHeight="1">
      <c r="A200" s="47"/>
      <c r="B200" s="47"/>
      <c r="C200" s="47"/>
      <c r="D200" s="47"/>
      <c r="E200" s="47"/>
      <c r="F200" s="47"/>
    </row>
    <row r="201" ht="15.75" customHeight="1">
      <c r="A201" s="47"/>
      <c r="B201" s="47"/>
      <c r="C201" s="47"/>
      <c r="D201" s="47"/>
      <c r="E201" s="47"/>
      <c r="F201" s="47"/>
    </row>
    <row r="202" ht="15.75" customHeight="1">
      <c r="A202" s="47"/>
      <c r="B202" s="47"/>
      <c r="C202" s="47"/>
      <c r="D202" s="47"/>
      <c r="E202" s="47"/>
      <c r="F202" s="47"/>
    </row>
    <row r="203" ht="15.75" customHeight="1">
      <c r="A203" s="47"/>
      <c r="B203" s="47"/>
      <c r="C203" s="47"/>
      <c r="D203" s="47"/>
      <c r="E203" s="47"/>
      <c r="F203" s="47"/>
    </row>
    <row r="204" ht="15.75" customHeight="1">
      <c r="A204" s="47"/>
      <c r="B204" s="47"/>
      <c r="C204" s="47"/>
      <c r="D204" s="47"/>
      <c r="E204" s="47"/>
      <c r="F204" s="47"/>
    </row>
    <row r="205" ht="15.75" customHeight="1">
      <c r="A205" s="47"/>
      <c r="B205" s="47"/>
      <c r="C205" s="47"/>
      <c r="D205" s="47"/>
      <c r="E205" s="47"/>
      <c r="F205" s="47"/>
    </row>
    <row r="206" ht="15.75" customHeight="1">
      <c r="A206" s="47"/>
      <c r="B206" s="47"/>
      <c r="C206" s="47"/>
      <c r="D206" s="47"/>
      <c r="E206" s="47"/>
      <c r="F206" s="47"/>
    </row>
    <row r="207" ht="15.75" customHeight="1">
      <c r="A207" s="47"/>
      <c r="B207" s="47"/>
      <c r="C207" s="47"/>
      <c r="D207" s="47"/>
      <c r="E207" s="47"/>
      <c r="F207" s="47"/>
    </row>
    <row r="208" ht="15.75" customHeight="1">
      <c r="A208" s="47"/>
      <c r="B208" s="47"/>
      <c r="C208" s="47"/>
      <c r="D208" s="47"/>
      <c r="E208" s="47"/>
      <c r="F208" s="47"/>
    </row>
    <row r="209" ht="15.75" customHeight="1">
      <c r="A209" s="47"/>
      <c r="B209" s="47"/>
      <c r="C209" s="47"/>
      <c r="D209" s="47"/>
      <c r="E209" s="47"/>
      <c r="F209" s="47"/>
    </row>
    <row r="210" ht="15.75" customHeight="1">
      <c r="A210" s="47"/>
      <c r="B210" s="47"/>
      <c r="C210" s="47"/>
      <c r="D210" s="47"/>
      <c r="E210" s="47"/>
      <c r="F210" s="47"/>
    </row>
    <row r="211" ht="15.75" customHeight="1">
      <c r="A211" s="47"/>
      <c r="B211" s="47"/>
      <c r="C211" s="47"/>
      <c r="D211" s="47"/>
      <c r="E211" s="47"/>
      <c r="F211" s="47"/>
    </row>
    <row r="212" ht="15.75" customHeight="1">
      <c r="A212" s="47"/>
      <c r="B212" s="47"/>
      <c r="C212" s="47"/>
      <c r="D212" s="47"/>
      <c r="E212" s="47"/>
      <c r="F212" s="47"/>
    </row>
    <row r="213" ht="15.75" customHeight="1">
      <c r="A213" s="47"/>
      <c r="B213" s="47"/>
      <c r="C213" s="47"/>
      <c r="D213" s="47"/>
      <c r="E213" s="47"/>
      <c r="F213" s="47"/>
    </row>
    <row r="214" ht="15.75" customHeight="1">
      <c r="A214" s="47"/>
      <c r="B214" s="47"/>
      <c r="C214" s="47"/>
      <c r="D214" s="47"/>
      <c r="E214" s="47"/>
      <c r="F214" s="47"/>
    </row>
    <row r="215" ht="15.75" customHeight="1">
      <c r="A215" s="47"/>
      <c r="B215" s="47"/>
      <c r="C215" s="47"/>
      <c r="D215" s="47"/>
      <c r="E215" s="47"/>
      <c r="F215" s="47"/>
    </row>
    <row r="216" ht="15.75" customHeight="1">
      <c r="A216" s="47"/>
      <c r="B216" s="47"/>
      <c r="C216" s="47"/>
      <c r="D216" s="47"/>
      <c r="E216" s="47"/>
      <c r="F216" s="47"/>
    </row>
    <row r="217" ht="15.75" customHeight="1">
      <c r="A217" s="47"/>
      <c r="B217" s="47"/>
      <c r="C217" s="47"/>
      <c r="D217" s="47"/>
      <c r="E217" s="47"/>
      <c r="F217" s="47"/>
    </row>
    <row r="218" ht="15.75" customHeight="1">
      <c r="A218" s="47"/>
      <c r="B218" s="47"/>
      <c r="C218" s="47"/>
      <c r="D218" s="47"/>
      <c r="E218" s="47"/>
      <c r="F218" s="47"/>
    </row>
    <row r="219" ht="15.75" customHeight="1">
      <c r="A219" s="47"/>
      <c r="B219" s="47"/>
      <c r="C219" s="47"/>
      <c r="D219" s="47"/>
      <c r="E219" s="47"/>
      <c r="F219" s="47"/>
    </row>
    <row r="220" ht="15.75" customHeight="1">
      <c r="A220" s="47"/>
      <c r="B220" s="47"/>
      <c r="C220" s="47"/>
      <c r="D220" s="47"/>
      <c r="E220" s="47"/>
      <c r="F220" s="47"/>
    </row>
    <row r="221" ht="15.75" customHeight="1">
      <c r="A221" s="47"/>
      <c r="B221" s="47"/>
      <c r="C221" s="47"/>
      <c r="D221" s="47"/>
      <c r="E221" s="47"/>
      <c r="F221" s="47"/>
    </row>
    <row r="222" ht="15.75" customHeight="1">
      <c r="A222" s="47"/>
      <c r="B222" s="47"/>
      <c r="C222" s="47"/>
      <c r="D222" s="47"/>
      <c r="E222" s="47"/>
      <c r="F222" s="47"/>
    </row>
    <row r="223" ht="15.75" customHeight="1">
      <c r="A223" s="47"/>
      <c r="B223" s="47"/>
      <c r="C223" s="47"/>
      <c r="D223" s="47"/>
      <c r="E223" s="47"/>
      <c r="F223" s="47"/>
    </row>
    <row r="224" ht="15.75" customHeight="1">
      <c r="A224" s="47"/>
      <c r="B224" s="47"/>
      <c r="C224" s="47"/>
      <c r="D224" s="47"/>
      <c r="E224" s="47"/>
      <c r="F224" s="47"/>
    </row>
    <row r="225" ht="15.75" customHeight="1">
      <c r="A225" s="47"/>
      <c r="B225" s="47"/>
      <c r="C225" s="47"/>
      <c r="D225" s="47"/>
      <c r="E225" s="47"/>
      <c r="F225" s="47"/>
    </row>
    <row r="226" ht="15.75" customHeight="1">
      <c r="A226" s="47"/>
      <c r="B226" s="47"/>
      <c r="C226" s="47"/>
      <c r="D226" s="47"/>
      <c r="E226" s="47"/>
      <c r="F226" s="47"/>
    </row>
    <row r="227" ht="15.75" customHeight="1">
      <c r="A227" s="47"/>
      <c r="B227" s="47"/>
      <c r="C227" s="47"/>
      <c r="D227" s="47"/>
      <c r="E227" s="47"/>
      <c r="F227" s="47"/>
    </row>
    <row r="228" ht="15.75" customHeight="1">
      <c r="A228" s="47"/>
      <c r="B228" s="47"/>
      <c r="C228" s="47"/>
      <c r="D228" s="47"/>
      <c r="E228" s="47"/>
      <c r="F228" s="47"/>
    </row>
    <row r="229" ht="15.75" customHeight="1">
      <c r="A229" s="47"/>
      <c r="B229" s="47"/>
      <c r="C229" s="47"/>
      <c r="D229" s="47"/>
      <c r="E229" s="47"/>
      <c r="F229" s="47"/>
    </row>
    <row r="230" ht="15.75" customHeight="1">
      <c r="A230" s="47"/>
      <c r="B230" s="47"/>
      <c r="C230" s="47"/>
      <c r="D230" s="47"/>
      <c r="E230" s="47"/>
      <c r="F230" s="47"/>
    </row>
    <row r="231" ht="15.75" customHeight="1">
      <c r="A231" s="47"/>
      <c r="B231" s="47"/>
      <c r="C231" s="47"/>
      <c r="D231" s="47"/>
      <c r="E231" s="47"/>
      <c r="F231" s="47"/>
    </row>
    <row r="232" ht="15.75" customHeight="1">
      <c r="A232" s="47"/>
      <c r="B232" s="47"/>
      <c r="C232" s="47"/>
      <c r="D232" s="47"/>
      <c r="E232" s="47"/>
      <c r="F232" s="47"/>
    </row>
    <row r="233" ht="15.75" customHeight="1">
      <c r="A233" s="47"/>
      <c r="B233" s="47"/>
      <c r="C233" s="47"/>
      <c r="D233" s="47"/>
      <c r="E233" s="47"/>
      <c r="F233" s="47"/>
    </row>
    <row r="234" ht="15.75" customHeight="1">
      <c r="A234" s="47"/>
      <c r="B234" s="47"/>
      <c r="C234" s="47"/>
      <c r="D234" s="47"/>
      <c r="E234" s="47"/>
      <c r="F234" s="47"/>
    </row>
    <row r="235" ht="15.75" customHeight="1">
      <c r="A235" s="47"/>
      <c r="B235" s="47"/>
      <c r="C235" s="47"/>
      <c r="D235" s="47"/>
      <c r="E235" s="47"/>
      <c r="F235" s="47"/>
    </row>
    <row r="236" ht="15.75" customHeight="1">
      <c r="A236" s="47"/>
      <c r="B236" s="47"/>
      <c r="C236" s="47"/>
      <c r="D236" s="47"/>
      <c r="E236" s="47"/>
      <c r="F236" s="47"/>
    </row>
    <row r="237" ht="15.75" customHeight="1">
      <c r="A237" s="47"/>
      <c r="B237" s="47"/>
      <c r="C237" s="47"/>
      <c r="D237" s="47"/>
      <c r="E237" s="47"/>
      <c r="F237" s="47"/>
    </row>
    <row r="238" ht="15.75" customHeight="1">
      <c r="A238" s="47"/>
      <c r="B238" s="47"/>
      <c r="C238" s="47"/>
      <c r="D238" s="47"/>
      <c r="E238" s="47"/>
      <c r="F238" s="47"/>
    </row>
    <row r="239" ht="15.75" customHeight="1">
      <c r="A239" s="47"/>
      <c r="B239" s="47"/>
      <c r="C239" s="47"/>
      <c r="D239" s="47"/>
      <c r="E239" s="47"/>
      <c r="F239" s="47"/>
    </row>
    <row r="240" ht="15.75" customHeight="1">
      <c r="A240" s="47"/>
      <c r="B240" s="47"/>
      <c r="C240" s="47"/>
      <c r="D240" s="47"/>
      <c r="E240" s="47"/>
      <c r="F240" s="47"/>
    </row>
    <row r="241" ht="15.75" customHeight="1">
      <c r="A241" s="47"/>
      <c r="B241" s="47"/>
      <c r="C241" s="47"/>
      <c r="D241" s="47"/>
      <c r="E241" s="47"/>
      <c r="F241" s="47"/>
    </row>
    <row r="242" ht="15.75" customHeight="1">
      <c r="A242" s="47"/>
      <c r="B242" s="47"/>
      <c r="C242" s="47"/>
      <c r="D242" s="47"/>
      <c r="E242" s="47"/>
      <c r="F242" s="47"/>
    </row>
    <row r="243" ht="15.75" customHeight="1">
      <c r="A243" s="47"/>
      <c r="B243" s="47"/>
      <c r="C243" s="47"/>
      <c r="D243" s="47"/>
      <c r="E243" s="47"/>
      <c r="F243" s="47"/>
    </row>
    <row r="244" ht="15.75" customHeight="1">
      <c r="A244" s="47"/>
      <c r="B244" s="47"/>
      <c r="C244" s="47"/>
      <c r="D244" s="47"/>
      <c r="E244" s="47"/>
      <c r="F244" s="47"/>
    </row>
    <row r="245" ht="15.75" customHeight="1">
      <c r="A245" s="47"/>
      <c r="B245" s="47"/>
      <c r="C245" s="47"/>
      <c r="D245" s="47"/>
      <c r="E245" s="47"/>
      <c r="F245" s="47"/>
    </row>
    <row r="246" ht="15.75" customHeight="1">
      <c r="A246" s="47"/>
      <c r="B246" s="47"/>
      <c r="C246" s="47"/>
      <c r="D246" s="47"/>
      <c r="E246" s="47"/>
      <c r="F246" s="47"/>
    </row>
    <row r="247" ht="15.75" customHeight="1">
      <c r="A247" s="47"/>
      <c r="B247" s="47"/>
      <c r="C247" s="47"/>
      <c r="D247" s="47"/>
      <c r="E247" s="47"/>
      <c r="F247" s="47"/>
    </row>
    <row r="248" ht="15.75" customHeight="1">
      <c r="A248" s="47"/>
      <c r="B248" s="47"/>
      <c r="C248" s="47"/>
      <c r="D248" s="47"/>
      <c r="E248" s="47"/>
      <c r="F248" s="47"/>
    </row>
    <row r="249" ht="15.75" customHeight="1">
      <c r="A249" s="47"/>
      <c r="B249" s="47"/>
      <c r="C249" s="47"/>
      <c r="D249" s="47"/>
      <c r="E249" s="47"/>
      <c r="F249" s="47"/>
    </row>
    <row r="250" ht="15.75" customHeight="1">
      <c r="A250" s="47"/>
      <c r="B250" s="47"/>
      <c r="C250" s="47"/>
      <c r="D250" s="47"/>
      <c r="E250" s="47"/>
      <c r="F250" s="47"/>
    </row>
    <row r="251" ht="15.75" customHeight="1">
      <c r="A251" s="47"/>
      <c r="B251" s="47"/>
      <c r="C251" s="47"/>
      <c r="D251" s="47"/>
      <c r="E251" s="47"/>
      <c r="F251" s="47"/>
    </row>
    <row r="252" ht="15.75" customHeight="1">
      <c r="A252" s="47"/>
      <c r="B252" s="47"/>
      <c r="C252" s="47"/>
      <c r="D252" s="47"/>
      <c r="E252" s="47"/>
      <c r="F252" s="47"/>
    </row>
    <row r="253" ht="15.75" customHeight="1">
      <c r="A253" s="47"/>
      <c r="B253" s="47"/>
      <c r="C253" s="47"/>
      <c r="D253" s="47"/>
      <c r="E253" s="47"/>
      <c r="F253" s="47"/>
    </row>
    <row r="254" ht="15.75" customHeight="1">
      <c r="A254" s="47"/>
      <c r="B254" s="47"/>
      <c r="C254" s="47"/>
      <c r="D254" s="47"/>
      <c r="E254" s="47"/>
      <c r="F254" s="47"/>
    </row>
    <row r="255" ht="15.75" customHeight="1">
      <c r="A255" s="47"/>
      <c r="B255" s="47"/>
      <c r="C255" s="47"/>
      <c r="D255" s="47"/>
      <c r="E255" s="47"/>
      <c r="F255" s="47"/>
    </row>
    <row r="256" ht="15.75" customHeight="1">
      <c r="A256" s="47"/>
      <c r="B256" s="47"/>
      <c r="C256" s="47"/>
      <c r="D256" s="47"/>
      <c r="E256" s="47"/>
      <c r="F256" s="47"/>
    </row>
    <row r="257" ht="15.75" customHeight="1">
      <c r="A257" s="47"/>
      <c r="B257" s="47"/>
      <c r="C257" s="47"/>
      <c r="D257" s="47"/>
      <c r="E257" s="47"/>
      <c r="F257" s="47"/>
    </row>
    <row r="258" ht="15.75" customHeight="1">
      <c r="A258" s="47"/>
      <c r="B258" s="47"/>
      <c r="C258" s="47"/>
      <c r="D258" s="47"/>
      <c r="E258" s="47"/>
      <c r="F258" s="47"/>
    </row>
    <row r="259" ht="15.75" customHeight="1">
      <c r="A259" s="47"/>
      <c r="B259" s="47"/>
      <c r="C259" s="47"/>
      <c r="D259" s="47"/>
      <c r="E259" s="47"/>
      <c r="F259" s="47"/>
    </row>
    <row r="260" ht="15.75" customHeight="1">
      <c r="A260" s="47"/>
      <c r="B260" s="47"/>
      <c r="C260" s="47"/>
      <c r="D260" s="47"/>
      <c r="E260" s="47"/>
      <c r="F260" s="47"/>
    </row>
    <row r="261" ht="15.75" customHeight="1">
      <c r="A261" s="47"/>
      <c r="B261" s="47"/>
      <c r="C261" s="47"/>
      <c r="D261" s="47"/>
      <c r="E261" s="47"/>
      <c r="F261" s="47"/>
    </row>
    <row r="262" ht="15.75" customHeight="1">
      <c r="A262" s="47"/>
      <c r="B262" s="47"/>
      <c r="C262" s="47"/>
      <c r="D262" s="47"/>
      <c r="E262" s="47"/>
      <c r="F262" s="47"/>
    </row>
    <row r="263" ht="15.75" customHeight="1">
      <c r="A263" s="47"/>
      <c r="B263" s="47"/>
      <c r="C263" s="47"/>
      <c r="D263" s="47"/>
      <c r="E263" s="47"/>
      <c r="F263" s="47"/>
    </row>
    <row r="264" ht="15.75" customHeight="1">
      <c r="A264" s="47"/>
      <c r="B264" s="47"/>
      <c r="C264" s="47"/>
      <c r="D264" s="47"/>
      <c r="E264" s="47"/>
      <c r="F264" s="47"/>
    </row>
    <row r="265" ht="15.75" customHeight="1">
      <c r="A265" s="47"/>
      <c r="B265" s="47"/>
      <c r="C265" s="47"/>
      <c r="D265" s="47"/>
      <c r="E265" s="47"/>
      <c r="F265" s="47"/>
    </row>
    <row r="266" ht="15.75" customHeight="1">
      <c r="A266" s="47"/>
      <c r="B266" s="47"/>
      <c r="C266" s="47"/>
      <c r="D266" s="47"/>
      <c r="E266" s="47"/>
      <c r="F266" s="47"/>
    </row>
    <row r="267" ht="15.75" customHeight="1">
      <c r="A267" s="47"/>
      <c r="B267" s="47"/>
      <c r="C267" s="47"/>
      <c r="D267" s="47"/>
      <c r="E267" s="47"/>
      <c r="F267" s="47"/>
    </row>
    <row r="268" ht="15.75" customHeight="1">
      <c r="A268" s="47"/>
      <c r="B268" s="47"/>
      <c r="C268" s="47"/>
      <c r="D268" s="47"/>
      <c r="E268" s="47"/>
      <c r="F268" s="47"/>
    </row>
    <row r="269" ht="15.75" customHeight="1">
      <c r="A269" s="47"/>
      <c r="B269" s="47"/>
      <c r="C269" s="47"/>
      <c r="D269" s="47"/>
      <c r="E269" s="47"/>
      <c r="F269" s="47"/>
    </row>
    <row r="270" ht="15.75" customHeight="1">
      <c r="A270" s="47"/>
      <c r="B270" s="47"/>
      <c r="C270" s="47"/>
      <c r="D270" s="47"/>
      <c r="E270" s="47"/>
      <c r="F270" s="47"/>
    </row>
    <row r="271" ht="15.75" customHeight="1">
      <c r="A271" s="47"/>
      <c r="B271" s="47"/>
      <c r="C271" s="47"/>
      <c r="D271" s="47"/>
      <c r="E271" s="47"/>
      <c r="F271" s="47"/>
    </row>
    <row r="272" ht="15.75" customHeight="1">
      <c r="A272" s="47"/>
      <c r="B272" s="47"/>
      <c r="C272" s="47"/>
      <c r="D272" s="47"/>
      <c r="E272" s="47"/>
      <c r="F272" s="47"/>
    </row>
    <row r="273" ht="15.75" customHeight="1">
      <c r="A273" s="47"/>
      <c r="B273" s="47"/>
      <c r="C273" s="47"/>
      <c r="D273" s="47"/>
      <c r="E273" s="47"/>
      <c r="F273" s="47"/>
    </row>
    <row r="274" ht="15.75" customHeight="1">
      <c r="A274" s="47"/>
      <c r="B274" s="47"/>
      <c r="C274" s="47"/>
      <c r="D274" s="47"/>
      <c r="E274" s="47"/>
      <c r="F274" s="47"/>
    </row>
    <row r="275" ht="15.75" customHeight="1">
      <c r="A275" s="47"/>
      <c r="B275" s="47"/>
      <c r="C275" s="47"/>
      <c r="D275" s="47"/>
      <c r="E275" s="47"/>
      <c r="F275" s="47"/>
    </row>
    <row r="276" ht="15.75" customHeight="1">
      <c r="A276" s="47"/>
      <c r="B276" s="47"/>
      <c r="C276" s="47"/>
      <c r="D276" s="47"/>
      <c r="E276" s="47"/>
      <c r="F276" s="47"/>
    </row>
    <row r="277" ht="15.75" customHeight="1">
      <c r="A277" s="47"/>
      <c r="B277" s="47"/>
      <c r="C277" s="47"/>
      <c r="D277" s="47"/>
      <c r="E277" s="47"/>
      <c r="F277" s="47"/>
    </row>
    <row r="278" ht="15.75" customHeight="1">
      <c r="A278" s="47"/>
      <c r="B278" s="47"/>
      <c r="C278" s="47"/>
      <c r="D278" s="47"/>
      <c r="E278" s="47"/>
      <c r="F278" s="47"/>
    </row>
    <row r="279" ht="15.75" customHeight="1">
      <c r="A279" s="47"/>
      <c r="B279" s="47"/>
      <c r="C279" s="47"/>
      <c r="D279" s="47"/>
      <c r="E279" s="47"/>
      <c r="F279" s="47"/>
    </row>
    <row r="280" ht="15.75" customHeight="1">
      <c r="A280" s="47"/>
      <c r="B280" s="47"/>
      <c r="C280" s="47"/>
      <c r="D280" s="47"/>
      <c r="E280" s="47"/>
      <c r="F280" s="47"/>
    </row>
    <row r="281" ht="15.75" customHeight="1">
      <c r="A281" s="47"/>
      <c r="B281" s="47"/>
      <c r="C281" s="47"/>
      <c r="D281" s="47"/>
      <c r="E281" s="47"/>
      <c r="F281" s="47"/>
    </row>
    <row r="282" ht="15.75" customHeight="1">
      <c r="A282" s="47"/>
      <c r="B282" s="47"/>
      <c r="C282" s="47"/>
      <c r="D282" s="47"/>
      <c r="E282" s="47"/>
      <c r="F282" s="47"/>
    </row>
    <row r="283" ht="15.75" customHeight="1">
      <c r="A283" s="47"/>
      <c r="B283" s="47"/>
      <c r="C283" s="47"/>
      <c r="D283" s="47"/>
      <c r="E283" s="47"/>
      <c r="F283" s="47"/>
    </row>
    <row r="284" ht="15.75" customHeight="1">
      <c r="A284" s="47"/>
      <c r="B284" s="47"/>
      <c r="C284" s="47"/>
      <c r="D284" s="47"/>
      <c r="E284" s="47"/>
      <c r="F284" s="47"/>
    </row>
    <row r="285" ht="15.75" customHeight="1">
      <c r="A285" s="47"/>
      <c r="B285" s="47"/>
      <c r="C285" s="47"/>
      <c r="D285" s="47"/>
      <c r="E285" s="47"/>
      <c r="F285" s="47"/>
    </row>
    <row r="286" ht="15.75" customHeight="1">
      <c r="A286" s="47"/>
      <c r="B286" s="47"/>
      <c r="C286" s="47"/>
      <c r="D286" s="47"/>
      <c r="E286" s="47"/>
      <c r="F286" s="47"/>
    </row>
    <row r="287" ht="15.75" customHeight="1">
      <c r="A287" s="47"/>
      <c r="B287" s="47"/>
      <c r="C287" s="47"/>
      <c r="D287" s="47"/>
      <c r="E287" s="47"/>
      <c r="F287" s="47"/>
    </row>
    <row r="288" ht="15.75" customHeight="1">
      <c r="A288" s="47"/>
      <c r="B288" s="47"/>
      <c r="C288" s="47"/>
      <c r="D288" s="47"/>
      <c r="E288" s="47"/>
      <c r="F288" s="47"/>
    </row>
    <row r="289" ht="15.75" customHeight="1">
      <c r="A289" s="47"/>
      <c r="B289" s="47"/>
      <c r="C289" s="47"/>
      <c r="D289" s="47"/>
      <c r="E289" s="47"/>
      <c r="F289" s="47"/>
    </row>
    <row r="290" ht="15.75" customHeight="1">
      <c r="A290" s="47"/>
      <c r="B290" s="47"/>
      <c r="C290" s="47"/>
      <c r="D290" s="47"/>
      <c r="E290" s="47"/>
      <c r="F290" s="47"/>
    </row>
    <row r="291" ht="15.75" customHeight="1">
      <c r="A291" s="47"/>
      <c r="B291" s="47"/>
      <c r="C291" s="47"/>
      <c r="D291" s="47"/>
      <c r="E291" s="47"/>
      <c r="F291" s="47"/>
    </row>
    <row r="292" ht="15.75" customHeight="1">
      <c r="A292" s="47"/>
      <c r="B292" s="47"/>
      <c r="C292" s="47"/>
      <c r="D292" s="47"/>
      <c r="E292" s="47"/>
      <c r="F292" s="47"/>
    </row>
    <row r="293" ht="15.75" customHeight="1">
      <c r="A293" s="47"/>
      <c r="B293" s="47"/>
      <c r="C293" s="47"/>
      <c r="D293" s="47"/>
      <c r="E293" s="47"/>
      <c r="F293" s="47"/>
    </row>
    <row r="294" ht="15.75" customHeight="1">
      <c r="A294" s="47"/>
      <c r="B294" s="47"/>
      <c r="C294" s="47"/>
      <c r="D294" s="47"/>
      <c r="E294" s="47"/>
      <c r="F294" s="47"/>
    </row>
    <row r="295" ht="15.75" customHeight="1">
      <c r="A295" s="47"/>
      <c r="B295" s="47"/>
      <c r="C295" s="47"/>
      <c r="D295" s="47"/>
      <c r="E295" s="47"/>
      <c r="F295" s="47"/>
    </row>
    <row r="296" ht="15.75" customHeight="1">
      <c r="A296" s="47"/>
      <c r="B296" s="47"/>
      <c r="C296" s="47"/>
      <c r="D296" s="47"/>
      <c r="E296" s="47"/>
      <c r="F296" s="47"/>
    </row>
    <row r="297" ht="15.75" customHeight="1">
      <c r="A297" s="47"/>
      <c r="B297" s="47"/>
      <c r="C297" s="47"/>
      <c r="D297" s="47"/>
      <c r="E297" s="47"/>
      <c r="F297" s="47"/>
    </row>
    <row r="298" ht="15.75" customHeight="1">
      <c r="A298" s="47"/>
      <c r="B298" s="47"/>
      <c r="C298" s="47"/>
      <c r="D298" s="47"/>
      <c r="E298" s="47"/>
      <c r="F298" s="47"/>
    </row>
    <row r="299" ht="15.75" customHeight="1">
      <c r="A299" s="47"/>
      <c r="B299" s="47"/>
      <c r="C299" s="47"/>
      <c r="D299" s="47"/>
      <c r="E299" s="47"/>
      <c r="F299" s="47"/>
    </row>
    <row r="300" ht="15.75" customHeight="1">
      <c r="A300" s="47"/>
      <c r="B300" s="47"/>
      <c r="C300" s="47"/>
      <c r="D300" s="47"/>
      <c r="E300" s="47"/>
      <c r="F300" s="47"/>
    </row>
    <row r="301" ht="15.75" customHeight="1">
      <c r="A301" s="47"/>
      <c r="B301" s="47"/>
      <c r="C301" s="47"/>
      <c r="D301" s="47"/>
      <c r="E301" s="47"/>
      <c r="F301" s="47"/>
    </row>
    <row r="302" ht="15.75" customHeight="1">
      <c r="A302" s="47"/>
      <c r="B302" s="47"/>
      <c r="C302" s="47"/>
      <c r="D302" s="47"/>
      <c r="E302" s="47"/>
      <c r="F302" s="47"/>
    </row>
    <row r="303" ht="15.75" customHeight="1">
      <c r="A303" s="47"/>
      <c r="B303" s="47"/>
      <c r="C303" s="47"/>
      <c r="D303" s="47"/>
      <c r="E303" s="47"/>
      <c r="F303" s="47"/>
    </row>
    <row r="304" ht="15.75" customHeight="1">
      <c r="A304" s="47"/>
      <c r="B304" s="47"/>
      <c r="C304" s="47"/>
      <c r="D304" s="47"/>
      <c r="E304" s="47"/>
      <c r="F304" s="47"/>
    </row>
    <row r="305" ht="15.75" customHeight="1">
      <c r="A305" s="47"/>
      <c r="B305" s="47"/>
      <c r="C305" s="47"/>
      <c r="D305" s="47"/>
      <c r="E305" s="47"/>
      <c r="F305" s="47"/>
    </row>
    <row r="306" ht="15.75" customHeight="1">
      <c r="A306" s="47"/>
      <c r="B306" s="47"/>
      <c r="C306" s="47"/>
      <c r="D306" s="47"/>
      <c r="E306" s="47"/>
      <c r="F306" s="47"/>
    </row>
    <row r="307" ht="15.75" customHeight="1">
      <c r="A307" s="47"/>
      <c r="B307" s="47"/>
      <c r="C307" s="47"/>
      <c r="D307" s="47"/>
      <c r="E307" s="47"/>
      <c r="F307" s="47"/>
    </row>
    <row r="308" ht="15.75" customHeight="1">
      <c r="A308" s="47"/>
      <c r="B308" s="47"/>
      <c r="C308" s="47"/>
      <c r="D308" s="47"/>
      <c r="E308" s="47"/>
      <c r="F308" s="47"/>
    </row>
    <row r="309" ht="15.75" customHeight="1">
      <c r="A309" s="47"/>
      <c r="B309" s="47"/>
      <c r="C309" s="47"/>
      <c r="D309" s="47"/>
      <c r="E309" s="47"/>
      <c r="F309" s="47"/>
    </row>
    <row r="310" ht="15.75" customHeight="1">
      <c r="A310" s="47"/>
      <c r="B310" s="47"/>
      <c r="C310" s="47"/>
      <c r="D310" s="47"/>
      <c r="E310" s="47"/>
      <c r="F310" s="47"/>
    </row>
    <row r="311" ht="15.75" customHeight="1">
      <c r="A311" s="47"/>
      <c r="B311" s="47"/>
      <c r="C311" s="47"/>
      <c r="D311" s="47"/>
      <c r="E311" s="47"/>
      <c r="F311" s="47"/>
    </row>
    <row r="312" ht="15.75" customHeight="1">
      <c r="A312" s="47"/>
      <c r="B312" s="47"/>
      <c r="C312" s="47"/>
      <c r="D312" s="47"/>
      <c r="E312" s="47"/>
      <c r="F312" s="47"/>
    </row>
    <row r="313" ht="15.75" customHeight="1">
      <c r="A313" s="47"/>
      <c r="B313" s="47"/>
      <c r="C313" s="47"/>
      <c r="D313" s="47"/>
      <c r="E313" s="47"/>
      <c r="F313" s="47"/>
    </row>
    <row r="314" ht="15.75" customHeight="1">
      <c r="A314" s="47"/>
      <c r="B314" s="47"/>
      <c r="C314" s="47"/>
      <c r="D314" s="47"/>
      <c r="E314" s="47"/>
      <c r="F314" s="47"/>
    </row>
    <row r="315" ht="15.75" customHeight="1">
      <c r="A315" s="47"/>
      <c r="B315" s="47"/>
      <c r="C315" s="47"/>
      <c r="D315" s="47"/>
      <c r="E315" s="47"/>
      <c r="F315" s="47"/>
    </row>
    <row r="316" ht="15.75" customHeight="1">
      <c r="A316" s="47"/>
      <c r="B316" s="47"/>
      <c r="C316" s="47"/>
      <c r="D316" s="47"/>
      <c r="E316" s="47"/>
      <c r="F316" s="47"/>
    </row>
    <row r="317" ht="15.75" customHeight="1">
      <c r="A317" s="47"/>
      <c r="B317" s="47"/>
      <c r="C317" s="47"/>
      <c r="D317" s="47"/>
      <c r="E317" s="47"/>
      <c r="F317" s="47"/>
    </row>
    <row r="318" ht="15.75" customHeight="1">
      <c r="A318" s="47"/>
      <c r="B318" s="47"/>
      <c r="C318" s="47"/>
      <c r="D318" s="47"/>
      <c r="E318" s="47"/>
      <c r="F318" s="47"/>
    </row>
    <row r="319" ht="15.75" customHeight="1">
      <c r="A319" s="47"/>
      <c r="B319" s="47"/>
      <c r="C319" s="47"/>
      <c r="D319" s="47"/>
      <c r="E319" s="47"/>
      <c r="F319" s="47"/>
    </row>
    <row r="320" ht="15.75" customHeight="1">
      <c r="A320" s="47"/>
      <c r="B320" s="47"/>
      <c r="C320" s="47"/>
      <c r="D320" s="47"/>
      <c r="E320" s="47"/>
      <c r="F320" s="47"/>
    </row>
    <row r="321" ht="15.75" customHeight="1">
      <c r="A321" s="47"/>
      <c r="B321" s="47"/>
      <c r="C321" s="47"/>
      <c r="D321" s="47"/>
      <c r="E321" s="47"/>
      <c r="F321" s="47"/>
    </row>
    <row r="322" ht="15.75" customHeight="1">
      <c r="A322" s="47"/>
      <c r="B322" s="47"/>
      <c r="C322" s="47"/>
      <c r="D322" s="47"/>
      <c r="E322" s="47"/>
      <c r="F322" s="47"/>
    </row>
    <row r="323" ht="15.75" customHeight="1">
      <c r="A323" s="47"/>
      <c r="B323" s="47"/>
      <c r="C323" s="47"/>
      <c r="D323" s="47"/>
      <c r="E323" s="47"/>
      <c r="F323" s="47"/>
    </row>
    <row r="324" ht="15.75" customHeight="1">
      <c r="A324" s="47"/>
      <c r="B324" s="47"/>
      <c r="C324" s="47"/>
      <c r="D324" s="47"/>
      <c r="E324" s="47"/>
      <c r="F324" s="47"/>
    </row>
    <row r="325" ht="15.75" customHeight="1">
      <c r="A325" s="47"/>
      <c r="B325" s="47"/>
      <c r="C325" s="47"/>
      <c r="D325" s="47"/>
      <c r="E325" s="47"/>
      <c r="F325" s="47"/>
    </row>
    <row r="326" ht="15.75" customHeight="1">
      <c r="A326" s="47"/>
      <c r="B326" s="47"/>
      <c r="C326" s="47"/>
      <c r="D326" s="47"/>
      <c r="E326" s="47"/>
      <c r="F326" s="47"/>
    </row>
    <row r="327" ht="15.75" customHeight="1">
      <c r="A327" s="47"/>
      <c r="B327" s="47"/>
      <c r="C327" s="47"/>
      <c r="D327" s="47"/>
      <c r="E327" s="47"/>
      <c r="F327" s="47"/>
    </row>
    <row r="328" ht="15.75" customHeight="1">
      <c r="A328" s="47"/>
      <c r="B328" s="47"/>
      <c r="C328" s="47"/>
      <c r="D328" s="47"/>
      <c r="E328" s="47"/>
      <c r="F328" s="47"/>
    </row>
    <row r="329" ht="15.75" customHeight="1">
      <c r="A329" s="47"/>
      <c r="B329" s="47"/>
      <c r="C329" s="47"/>
      <c r="D329" s="47"/>
      <c r="E329" s="47"/>
      <c r="F329" s="47"/>
    </row>
    <row r="330" ht="15.75" customHeight="1">
      <c r="A330" s="47"/>
      <c r="B330" s="47"/>
      <c r="C330" s="47"/>
      <c r="D330" s="47"/>
      <c r="E330" s="47"/>
      <c r="F330" s="47"/>
    </row>
    <row r="331" ht="15.75" customHeight="1">
      <c r="A331" s="47"/>
      <c r="B331" s="47"/>
      <c r="C331" s="47"/>
      <c r="D331" s="47"/>
      <c r="E331" s="47"/>
      <c r="F331" s="47"/>
    </row>
    <row r="332" ht="15.75" customHeight="1">
      <c r="A332" s="47"/>
      <c r="B332" s="47"/>
      <c r="C332" s="47"/>
      <c r="D332" s="47"/>
      <c r="E332" s="47"/>
      <c r="F332" s="47"/>
    </row>
    <row r="333" ht="15.75" customHeight="1">
      <c r="A333" s="47"/>
      <c r="B333" s="47"/>
      <c r="C333" s="47"/>
      <c r="D333" s="47"/>
      <c r="E333" s="47"/>
      <c r="F333" s="47"/>
    </row>
    <row r="334" ht="15.75" customHeight="1">
      <c r="A334" s="47"/>
      <c r="B334" s="47"/>
      <c r="C334" s="47"/>
      <c r="D334" s="47"/>
      <c r="E334" s="47"/>
      <c r="F334" s="47"/>
    </row>
    <row r="335" ht="15.75" customHeight="1">
      <c r="A335" s="47"/>
      <c r="B335" s="47"/>
      <c r="C335" s="47"/>
      <c r="D335" s="47"/>
      <c r="E335" s="47"/>
      <c r="F335" s="47"/>
    </row>
    <row r="336" ht="15.75" customHeight="1">
      <c r="A336" s="47"/>
      <c r="B336" s="47"/>
      <c r="C336" s="47"/>
      <c r="D336" s="47"/>
      <c r="E336" s="47"/>
      <c r="F336" s="47"/>
    </row>
    <row r="337" ht="15.75" customHeight="1">
      <c r="A337" s="47"/>
      <c r="B337" s="47"/>
      <c r="C337" s="47"/>
      <c r="D337" s="47"/>
      <c r="E337" s="47"/>
      <c r="F337" s="47"/>
    </row>
    <row r="338" ht="15.75" customHeight="1">
      <c r="A338" s="47"/>
      <c r="B338" s="47"/>
      <c r="C338" s="47"/>
      <c r="D338" s="47"/>
      <c r="E338" s="47"/>
      <c r="F338" s="47"/>
    </row>
    <row r="339" ht="15.75" customHeight="1">
      <c r="A339" s="47"/>
      <c r="B339" s="47"/>
      <c r="C339" s="47"/>
      <c r="D339" s="47"/>
      <c r="E339" s="47"/>
      <c r="F339" s="47"/>
    </row>
    <row r="340" ht="15.75" customHeight="1">
      <c r="A340" s="47"/>
      <c r="B340" s="47"/>
      <c r="C340" s="47"/>
      <c r="D340" s="47"/>
      <c r="E340" s="47"/>
      <c r="F340" s="47"/>
    </row>
    <row r="341" ht="15.75" customHeight="1">
      <c r="A341" s="47"/>
      <c r="B341" s="47"/>
      <c r="C341" s="47"/>
      <c r="D341" s="47"/>
      <c r="E341" s="47"/>
      <c r="F341" s="47"/>
    </row>
    <row r="342" ht="15.75" customHeight="1">
      <c r="A342" s="47"/>
      <c r="B342" s="47"/>
      <c r="C342" s="47"/>
      <c r="D342" s="47"/>
      <c r="E342" s="47"/>
      <c r="F342" s="47"/>
    </row>
    <row r="343" ht="15.75" customHeight="1">
      <c r="A343" s="47"/>
      <c r="B343" s="47"/>
      <c r="C343" s="47"/>
      <c r="D343" s="47"/>
      <c r="E343" s="47"/>
      <c r="F343" s="47"/>
    </row>
    <row r="344" ht="15.75" customHeight="1">
      <c r="A344" s="47"/>
      <c r="B344" s="47"/>
      <c r="C344" s="47"/>
      <c r="D344" s="47"/>
      <c r="E344" s="47"/>
      <c r="F344" s="47"/>
    </row>
    <row r="345" ht="15.75" customHeight="1">
      <c r="A345" s="47"/>
      <c r="B345" s="47"/>
      <c r="C345" s="47"/>
      <c r="D345" s="47"/>
      <c r="E345" s="47"/>
      <c r="F345" s="47"/>
    </row>
    <row r="346" ht="15.75" customHeight="1">
      <c r="A346" s="47"/>
      <c r="B346" s="47"/>
      <c r="C346" s="47"/>
      <c r="D346" s="47"/>
      <c r="E346" s="47"/>
      <c r="F346" s="47"/>
    </row>
    <row r="347" ht="15.75" customHeight="1">
      <c r="A347" s="47"/>
      <c r="B347" s="47"/>
      <c r="C347" s="47"/>
      <c r="D347" s="47"/>
      <c r="E347" s="47"/>
      <c r="F347" s="47"/>
    </row>
    <row r="348" ht="15.75" customHeight="1">
      <c r="A348" s="47"/>
      <c r="B348" s="47"/>
      <c r="C348" s="47"/>
      <c r="D348" s="47"/>
      <c r="E348" s="47"/>
      <c r="F348" s="47"/>
    </row>
    <row r="349" ht="15.75" customHeight="1">
      <c r="A349" s="47"/>
      <c r="B349" s="47"/>
      <c r="C349" s="47"/>
      <c r="D349" s="47"/>
      <c r="E349" s="47"/>
      <c r="F349" s="47"/>
    </row>
    <row r="350" ht="15.75" customHeight="1">
      <c r="A350" s="47"/>
      <c r="B350" s="47"/>
      <c r="C350" s="47"/>
      <c r="D350" s="47"/>
      <c r="E350" s="47"/>
      <c r="F350" s="47"/>
    </row>
    <row r="351" ht="15.75" customHeight="1">
      <c r="A351" s="47"/>
      <c r="B351" s="47"/>
      <c r="C351" s="47"/>
      <c r="D351" s="47"/>
      <c r="E351" s="47"/>
      <c r="F351" s="47"/>
    </row>
    <row r="352" ht="15.75" customHeight="1">
      <c r="A352" s="47"/>
      <c r="B352" s="47"/>
      <c r="C352" s="47"/>
      <c r="D352" s="47"/>
      <c r="E352" s="47"/>
      <c r="F352" s="47"/>
    </row>
    <row r="353" ht="15.75" customHeight="1">
      <c r="A353" s="47"/>
      <c r="B353" s="47"/>
      <c r="C353" s="47"/>
      <c r="D353" s="47"/>
      <c r="E353" s="47"/>
      <c r="F353" s="47"/>
    </row>
    <row r="354" ht="15.75" customHeight="1">
      <c r="A354" s="47"/>
      <c r="B354" s="47"/>
      <c r="C354" s="47"/>
      <c r="D354" s="47"/>
      <c r="E354" s="47"/>
      <c r="F354" s="47"/>
    </row>
    <row r="355" ht="15.75" customHeight="1">
      <c r="A355" s="47"/>
      <c r="B355" s="47"/>
      <c r="C355" s="47"/>
      <c r="D355" s="47"/>
      <c r="E355" s="47"/>
      <c r="F355" s="47"/>
    </row>
    <row r="356" ht="15.75" customHeight="1">
      <c r="A356" s="47"/>
      <c r="B356" s="47"/>
      <c r="C356" s="47"/>
      <c r="D356" s="47"/>
      <c r="E356" s="47"/>
      <c r="F356" s="47"/>
    </row>
    <row r="357" ht="15.75" customHeight="1">
      <c r="A357" s="47"/>
      <c r="B357" s="47"/>
      <c r="C357" s="47"/>
      <c r="D357" s="47"/>
      <c r="E357" s="47"/>
      <c r="F357" s="47"/>
    </row>
    <row r="358" ht="15.75" customHeight="1">
      <c r="A358" s="47"/>
      <c r="B358" s="47"/>
      <c r="C358" s="47"/>
      <c r="D358" s="47"/>
      <c r="E358" s="47"/>
      <c r="F358" s="47"/>
    </row>
    <row r="359" ht="15.75" customHeight="1">
      <c r="A359" s="47"/>
      <c r="B359" s="47"/>
      <c r="C359" s="47"/>
      <c r="D359" s="47"/>
      <c r="E359" s="47"/>
      <c r="F359" s="47"/>
    </row>
    <row r="360" ht="15.75" customHeight="1">
      <c r="A360" s="47"/>
      <c r="B360" s="47"/>
      <c r="C360" s="47"/>
      <c r="D360" s="47"/>
      <c r="E360" s="47"/>
      <c r="F360" s="47"/>
    </row>
    <row r="361" ht="15.75" customHeight="1">
      <c r="A361" s="47"/>
      <c r="B361" s="47"/>
      <c r="C361" s="47"/>
      <c r="D361" s="47"/>
      <c r="E361" s="47"/>
      <c r="F361" s="47"/>
    </row>
    <row r="362" ht="15.75" customHeight="1">
      <c r="A362" s="47"/>
      <c r="B362" s="47"/>
      <c r="C362" s="47"/>
      <c r="D362" s="47"/>
      <c r="E362" s="47"/>
      <c r="F362" s="47"/>
    </row>
    <row r="363" ht="15.75" customHeight="1">
      <c r="A363" s="47"/>
      <c r="B363" s="47"/>
      <c r="C363" s="47"/>
      <c r="D363" s="47"/>
      <c r="E363" s="47"/>
      <c r="F363" s="47"/>
    </row>
    <row r="364" ht="15.75" customHeight="1">
      <c r="A364" s="47"/>
      <c r="B364" s="47"/>
      <c r="C364" s="47"/>
      <c r="D364" s="47"/>
      <c r="E364" s="47"/>
      <c r="F364" s="47"/>
    </row>
    <row r="365" ht="15.75" customHeight="1">
      <c r="A365" s="47"/>
      <c r="B365" s="47"/>
      <c r="C365" s="47"/>
      <c r="D365" s="47"/>
      <c r="E365" s="47"/>
      <c r="F365" s="47"/>
    </row>
    <row r="366" ht="15.75" customHeight="1">
      <c r="A366" s="47"/>
      <c r="B366" s="47"/>
      <c r="C366" s="47"/>
      <c r="D366" s="47"/>
      <c r="E366" s="47"/>
      <c r="F366" s="47"/>
    </row>
    <row r="367" ht="15.75" customHeight="1">
      <c r="A367" s="47"/>
      <c r="B367" s="47"/>
      <c r="C367" s="47"/>
      <c r="D367" s="47"/>
      <c r="E367" s="47"/>
      <c r="F367" s="47"/>
    </row>
    <row r="368" ht="15.75" customHeight="1">
      <c r="A368" s="47"/>
      <c r="B368" s="47"/>
      <c r="C368" s="47"/>
      <c r="D368" s="47"/>
      <c r="E368" s="47"/>
      <c r="F368" s="47"/>
    </row>
    <row r="369" ht="15.75" customHeight="1">
      <c r="A369" s="47"/>
      <c r="B369" s="47"/>
      <c r="C369" s="47"/>
      <c r="D369" s="47"/>
      <c r="E369" s="47"/>
      <c r="F369" s="47"/>
    </row>
    <row r="370" ht="15.75" customHeight="1">
      <c r="A370" s="47"/>
      <c r="B370" s="47"/>
      <c r="C370" s="47"/>
      <c r="D370" s="47"/>
      <c r="E370" s="47"/>
      <c r="F370" s="47"/>
    </row>
    <row r="371" ht="15.75" customHeight="1">
      <c r="A371" s="47"/>
      <c r="B371" s="47"/>
      <c r="C371" s="47"/>
      <c r="D371" s="47"/>
      <c r="E371" s="47"/>
      <c r="F371" s="47"/>
    </row>
    <row r="372" ht="15.75" customHeight="1">
      <c r="A372" s="47"/>
      <c r="B372" s="47"/>
      <c r="C372" s="47"/>
      <c r="D372" s="47"/>
      <c r="E372" s="47"/>
      <c r="F372" s="47"/>
    </row>
    <row r="373" ht="15.75" customHeight="1">
      <c r="A373" s="47"/>
      <c r="B373" s="47"/>
      <c r="C373" s="47"/>
      <c r="D373" s="47"/>
      <c r="E373" s="47"/>
      <c r="F373" s="47"/>
    </row>
    <row r="374" ht="15.75" customHeight="1">
      <c r="A374" s="47"/>
      <c r="B374" s="47"/>
      <c r="C374" s="47"/>
      <c r="D374" s="47"/>
      <c r="E374" s="47"/>
      <c r="F374" s="47"/>
    </row>
    <row r="375" ht="15.75" customHeight="1">
      <c r="A375" s="47"/>
      <c r="B375" s="47"/>
      <c r="C375" s="47"/>
      <c r="D375" s="47"/>
      <c r="E375" s="47"/>
      <c r="F375" s="47"/>
    </row>
    <row r="376" ht="15.75" customHeight="1">
      <c r="A376" s="47"/>
      <c r="B376" s="47"/>
      <c r="C376" s="47"/>
      <c r="D376" s="47"/>
      <c r="E376" s="47"/>
      <c r="F376" s="47"/>
    </row>
    <row r="377" ht="15.75" customHeight="1">
      <c r="A377" s="47"/>
      <c r="B377" s="47"/>
      <c r="C377" s="47"/>
      <c r="D377" s="47"/>
      <c r="E377" s="47"/>
      <c r="F377" s="47"/>
    </row>
    <row r="378" ht="15.75" customHeight="1">
      <c r="A378" s="47"/>
      <c r="B378" s="47"/>
      <c r="C378" s="47"/>
      <c r="D378" s="47"/>
      <c r="E378" s="47"/>
      <c r="F378" s="47"/>
    </row>
    <row r="379" ht="15.75" customHeight="1">
      <c r="A379" s="47"/>
      <c r="B379" s="47"/>
      <c r="C379" s="47"/>
      <c r="D379" s="47"/>
      <c r="E379" s="47"/>
      <c r="F379" s="47"/>
    </row>
    <row r="380" ht="15.75" customHeight="1">
      <c r="A380" s="47"/>
      <c r="B380" s="47"/>
      <c r="C380" s="47"/>
      <c r="D380" s="47"/>
      <c r="E380" s="47"/>
      <c r="F380" s="47"/>
    </row>
    <row r="381" ht="15.75" customHeight="1">
      <c r="A381" s="47"/>
      <c r="B381" s="47"/>
      <c r="C381" s="47"/>
      <c r="D381" s="47"/>
      <c r="E381" s="47"/>
      <c r="F381" s="47"/>
    </row>
    <row r="382" ht="15.75" customHeight="1">
      <c r="A382" s="47"/>
      <c r="B382" s="47"/>
      <c r="C382" s="47"/>
      <c r="D382" s="47"/>
      <c r="E382" s="47"/>
      <c r="F382" s="47"/>
    </row>
    <row r="383" ht="15.75" customHeight="1">
      <c r="A383" s="47"/>
      <c r="B383" s="47"/>
      <c r="C383" s="47"/>
      <c r="D383" s="47"/>
      <c r="E383" s="47"/>
      <c r="F383" s="47"/>
    </row>
    <row r="384" ht="15.75" customHeight="1">
      <c r="A384" s="47"/>
      <c r="B384" s="47"/>
      <c r="C384" s="47"/>
      <c r="D384" s="47"/>
      <c r="E384" s="47"/>
      <c r="F384" s="47"/>
    </row>
    <row r="385" ht="15.75" customHeight="1">
      <c r="A385" s="47"/>
      <c r="B385" s="47"/>
      <c r="C385" s="47"/>
      <c r="D385" s="47"/>
      <c r="E385" s="47"/>
      <c r="F385" s="47"/>
    </row>
    <row r="386" ht="15.75" customHeight="1">
      <c r="A386" s="47"/>
      <c r="B386" s="47"/>
      <c r="C386" s="47"/>
      <c r="D386" s="47"/>
      <c r="E386" s="47"/>
      <c r="F386" s="47"/>
    </row>
    <row r="387" ht="15.75" customHeight="1">
      <c r="A387" s="47"/>
      <c r="B387" s="47"/>
      <c r="C387" s="47"/>
      <c r="D387" s="47"/>
      <c r="E387" s="47"/>
      <c r="F387" s="47"/>
    </row>
    <row r="388" ht="15.75" customHeight="1">
      <c r="A388" s="47"/>
      <c r="B388" s="47"/>
      <c r="C388" s="47"/>
      <c r="D388" s="47"/>
      <c r="E388" s="47"/>
      <c r="F388" s="47"/>
    </row>
    <row r="389" ht="15.75" customHeight="1">
      <c r="A389" s="47"/>
      <c r="B389" s="47"/>
      <c r="C389" s="47"/>
      <c r="D389" s="47"/>
      <c r="E389" s="47"/>
      <c r="F389" s="47"/>
    </row>
    <row r="390" ht="15.75" customHeight="1">
      <c r="A390" s="47"/>
      <c r="B390" s="47"/>
      <c r="C390" s="47"/>
      <c r="D390" s="47"/>
      <c r="E390" s="47"/>
      <c r="F390" s="47"/>
    </row>
    <row r="391" ht="15.75" customHeight="1">
      <c r="A391" s="47"/>
      <c r="B391" s="47"/>
      <c r="C391" s="47"/>
      <c r="D391" s="47"/>
      <c r="E391" s="47"/>
      <c r="F391" s="47"/>
    </row>
    <row r="392" ht="15.75" customHeight="1">
      <c r="A392" s="47"/>
      <c r="B392" s="47"/>
      <c r="C392" s="47"/>
      <c r="D392" s="47"/>
      <c r="E392" s="47"/>
      <c r="F392" s="47"/>
    </row>
    <row r="393" ht="15.75" customHeight="1">
      <c r="A393" s="47"/>
      <c r="B393" s="47"/>
      <c r="C393" s="47"/>
      <c r="D393" s="47"/>
      <c r="E393" s="47"/>
      <c r="F393" s="47"/>
    </row>
    <row r="394" ht="15.75" customHeight="1">
      <c r="A394" s="47"/>
      <c r="B394" s="47"/>
      <c r="C394" s="47"/>
      <c r="D394" s="47"/>
      <c r="E394" s="47"/>
      <c r="F394" s="47"/>
    </row>
    <row r="395" ht="15.75" customHeight="1">
      <c r="A395" s="47"/>
      <c r="B395" s="47"/>
      <c r="C395" s="47"/>
      <c r="D395" s="47"/>
      <c r="E395" s="47"/>
      <c r="F395" s="47"/>
    </row>
    <row r="396" ht="15.75" customHeight="1">
      <c r="A396" s="47"/>
      <c r="B396" s="47"/>
      <c r="C396" s="47"/>
      <c r="D396" s="47"/>
      <c r="E396" s="47"/>
      <c r="F396" s="47"/>
    </row>
    <row r="397" ht="15.75" customHeight="1">
      <c r="A397" s="47"/>
      <c r="B397" s="47"/>
      <c r="C397" s="47"/>
      <c r="D397" s="47"/>
      <c r="E397" s="47"/>
      <c r="F397" s="47"/>
    </row>
    <row r="398" ht="15.75" customHeight="1">
      <c r="A398" s="47"/>
      <c r="B398" s="47"/>
      <c r="C398" s="47"/>
      <c r="D398" s="47"/>
      <c r="E398" s="47"/>
      <c r="F398" s="47"/>
    </row>
    <row r="399" ht="15.75" customHeight="1">
      <c r="A399" s="47"/>
      <c r="B399" s="47"/>
      <c r="C399" s="47"/>
      <c r="D399" s="47"/>
      <c r="E399" s="47"/>
      <c r="F399" s="47"/>
    </row>
    <row r="400" ht="15.75" customHeight="1">
      <c r="A400" s="47"/>
      <c r="B400" s="47"/>
      <c r="C400" s="47"/>
      <c r="D400" s="47"/>
      <c r="E400" s="47"/>
      <c r="F400" s="47"/>
    </row>
    <row r="401" ht="15.75" customHeight="1">
      <c r="A401" s="47"/>
      <c r="B401" s="47"/>
      <c r="C401" s="47"/>
      <c r="D401" s="47"/>
      <c r="E401" s="47"/>
      <c r="F401" s="47"/>
    </row>
    <row r="402" ht="15.75" customHeight="1">
      <c r="A402" s="47"/>
      <c r="B402" s="47"/>
      <c r="C402" s="47"/>
      <c r="D402" s="47"/>
      <c r="E402" s="47"/>
      <c r="F402" s="47"/>
    </row>
    <row r="403" ht="15.75" customHeight="1">
      <c r="A403" s="47"/>
      <c r="B403" s="47"/>
      <c r="C403" s="47"/>
      <c r="D403" s="47"/>
      <c r="E403" s="47"/>
      <c r="F403" s="47"/>
    </row>
    <row r="404" ht="15.75" customHeight="1">
      <c r="A404" s="47"/>
      <c r="B404" s="47"/>
      <c r="C404" s="47"/>
      <c r="D404" s="47"/>
      <c r="E404" s="47"/>
      <c r="F404" s="47"/>
    </row>
    <row r="405" ht="15.75" customHeight="1">
      <c r="A405" s="47"/>
      <c r="B405" s="47"/>
      <c r="C405" s="47"/>
      <c r="D405" s="47"/>
      <c r="E405" s="47"/>
      <c r="F405" s="47"/>
    </row>
    <row r="406" ht="15.75" customHeight="1">
      <c r="A406" s="47"/>
      <c r="B406" s="47"/>
      <c r="C406" s="47"/>
      <c r="D406" s="47"/>
      <c r="E406" s="47"/>
      <c r="F406" s="47"/>
    </row>
    <row r="407" ht="15.75" customHeight="1">
      <c r="A407" s="47"/>
      <c r="B407" s="47"/>
      <c r="C407" s="47"/>
      <c r="D407" s="47"/>
      <c r="E407" s="47"/>
      <c r="F407" s="47"/>
    </row>
    <row r="408" ht="15.75" customHeight="1">
      <c r="A408" s="47"/>
      <c r="B408" s="47"/>
      <c r="C408" s="47"/>
      <c r="D408" s="47"/>
      <c r="E408" s="47"/>
      <c r="F408" s="47"/>
    </row>
    <row r="409" ht="15.75" customHeight="1">
      <c r="A409" s="47"/>
      <c r="B409" s="47"/>
      <c r="C409" s="47"/>
      <c r="D409" s="47"/>
      <c r="E409" s="47"/>
      <c r="F409" s="47"/>
    </row>
    <row r="410" ht="15.75" customHeight="1">
      <c r="A410" s="47"/>
      <c r="B410" s="47"/>
      <c r="C410" s="47"/>
      <c r="D410" s="47"/>
      <c r="E410" s="47"/>
      <c r="F410" s="47"/>
    </row>
    <row r="411" ht="15.75" customHeight="1">
      <c r="A411" s="47"/>
      <c r="B411" s="47"/>
      <c r="C411" s="47"/>
      <c r="D411" s="47"/>
      <c r="E411" s="47"/>
      <c r="F411" s="47"/>
    </row>
    <row r="412" ht="15.75" customHeight="1">
      <c r="A412" s="47"/>
      <c r="B412" s="47"/>
      <c r="C412" s="47"/>
      <c r="D412" s="47"/>
      <c r="E412" s="47"/>
      <c r="F412" s="47"/>
    </row>
    <row r="413" ht="15.75" customHeight="1">
      <c r="A413" s="47"/>
      <c r="B413" s="47"/>
      <c r="C413" s="47"/>
      <c r="D413" s="47"/>
      <c r="E413" s="47"/>
      <c r="F413" s="47"/>
    </row>
    <row r="414" ht="15.75" customHeight="1">
      <c r="A414" s="47"/>
      <c r="B414" s="47"/>
      <c r="C414" s="47"/>
      <c r="D414" s="47"/>
      <c r="E414" s="47"/>
      <c r="F414" s="47"/>
    </row>
    <row r="415" ht="15.75" customHeight="1">
      <c r="A415" s="47"/>
      <c r="B415" s="47"/>
      <c r="C415" s="47"/>
      <c r="D415" s="47"/>
      <c r="E415" s="47"/>
      <c r="F415" s="47"/>
    </row>
    <row r="416" ht="15.75" customHeight="1">
      <c r="A416" s="47"/>
      <c r="B416" s="47"/>
      <c r="C416" s="47"/>
      <c r="D416" s="47"/>
      <c r="E416" s="47"/>
      <c r="F416" s="47"/>
    </row>
    <row r="417" ht="15.75" customHeight="1">
      <c r="A417" s="47"/>
      <c r="B417" s="47"/>
      <c r="C417" s="47"/>
      <c r="D417" s="47"/>
      <c r="E417" s="47"/>
      <c r="F417" s="47"/>
    </row>
    <row r="418" ht="15.75" customHeight="1">
      <c r="A418" s="47"/>
      <c r="B418" s="47"/>
      <c r="C418" s="47"/>
      <c r="D418" s="47"/>
      <c r="E418" s="47"/>
      <c r="F418" s="47"/>
    </row>
    <row r="419" ht="15.75" customHeight="1">
      <c r="A419" s="47"/>
      <c r="B419" s="47"/>
      <c r="C419" s="47"/>
      <c r="D419" s="47"/>
      <c r="E419" s="47"/>
      <c r="F419" s="47"/>
    </row>
    <row r="420" ht="15.75" customHeight="1">
      <c r="A420" s="47"/>
      <c r="B420" s="47"/>
      <c r="C420" s="47"/>
      <c r="D420" s="47"/>
      <c r="E420" s="47"/>
      <c r="F420" s="47"/>
    </row>
    <row r="421" ht="15.75" customHeight="1">
      <c r="A421" s="47"/>
      <c r="B421" s="47"/>
      <c r="C421" s="47"/>
      <c r="D421" s="47"/>
      <c r="E421" s="47"/>
      <c r="F421" s="47"/>
    </row>
    <row r="422" ht="15.75" customHeight="1">
      <c r="A422" s="47"/>
      <c r="B422" s="47"/>
      <c r="C422" s="47"/>
      <c r="D422" s="47"/>
      <c r="E422" s="47"/>
      <c r="F422" s="47"/>
    </row>
    <row r="423" ht="15.75" customHeight="1">
      <c r="A423" s="47"/>
      <c r="B423" s="47"/>
      <c r="C423" s="47"/>
      <c r="D423" s="47"/>
      <c r="E423" s="47"/>
      <c r="F423" s="47"/>
    </row>
    <row r="424" ht="15.75" customHeight="1">
      <c r="A424" s="47"/>
      <c r="B424" s="47"/>
      <c r="C424" s="47"/>
      <c r="D424" s="47"/>
      <c r="E424" s="47"/>
      <c r="F424" s="47"/>
    </row>
    <row r="425" ht="15.75" customHeight="1">
      <c r="A425" s="47"/>
      <c r="B425" s="47"/>
      <c r="C425" s="47"/>
      <c r="D425" s="47"/>
      <c r="E425" s="47"/>
      <c r="F425" s="47"/>
    </row>
    <row r="426" ht="15.75" customHeight="1">
      <c r="A426" s="47"/>
      <c r="B426" s="47"/>
      <c r="C426" s="47"/>
      <c r="D426" s="47"/>
      <c r="E426" s="47"/>
      <c r="F426" s="47"/>
    </row>
    <row r="427" ht="15.75" customHeight="1">
      <c r="A427" s="47"/>
      <c r="B427" s="47"/>
      <c r="C427" s="47"/>
      <c r="D427" s="47"/>
      <c r="E427" s="47"/>
      <c r="F427" s="47"/>
    </row>
    <row r="428" ht="15.75" customHeight="1">
      <c r="A428" s="47"/>
      <c r="B428" s="47"/>
      <c r="C428" s="47"/>
      <c r="D428" s="47"/>
      <c r="E428" s="47"/>
      <c r="F428" s="47"/>
    </row>
    <row r="429" ht="15.75" customHeight="1">
      <c r="A429" s="47"/>
      <c r="B429" s="47"/>
      <c r="C429" s="47"/>
      <c r="D429" s="47"/>
      <c r="E429" s="47"/>
      <c r="F429" s="47"/>
    </row>
    <row r="430" ht="15.75" customHeight="1">
      <c r="A430" s="47"/>
      <c r="B430" s="47"/>
      <c r="C430" s="47"/>
      <c r="D430" s="47"/>
      <c r="E430" s="47"/>
      <c r="F430" s="47"/>
    </row>
    <row r="431" ht="15.75" customHeight="1">
      <c r="A431" s="47"/>
      <c r="B431" s="47"/>
      <c r="C431" s="47"/>
      <c r="D431" s="47"/>
      <c r="E431" s="47"/>
      <c r="F431" s="47"/>
    </row>
    <row r="432" ht="15.75" customHeight="1">
      <c r="A432" s="47"/>
      <c r="B432" s="47"/>
      <c r="C432" s="47"/>
      <c r="D432" s="47"/>
      <c r="E432" s="47"/>
      <c r="F432" s="47"/>
    </row>
    <row r="433" ht="15.75" customHeight="1">
      <c r="A433" s="47"/>
      <c r="B433" s="47"/>
      <c r="C433" s="47"/>
      <c r="D433" s="47"/>
      <c r="E433" s="47"/>
      <c r="F433" s="47"/>
    </row>
    <row r="434" ht="15.75" customHeight="1">
      <c r="A434" s="47"/>
      <c r="B434" s="47"/>
      <c r="C434" s="47"/>
      <c r="D434" s="47"/>
      <c r="E434" s="47"/>
      <c r="F434" s="47"/>
    </row>
    <row r="435" ht="15.75" customHeight="1">
      <c r="A435" s="47"/>
      <c r="B435" s="47"/>
      <c r="C435" s="47"/>
      <c r="D435" s="47"/>
      <c r="E435" s="47"/>
      <c r="F435" s="47"/>
    </row>
    <row r="436" ht="15.75" customHeight="1">
      <c r="A436" s="47"/>
      <c r="B436" s="47"/>
      <c r="C436" s="47"/>
      <c r="D436" s="47"/>
      <c r="E436" s="47"/>
      <c r="F436" s="47"/>
    </row>
    <row r="437" ht="15.75" customHeight="1">
      <c r="A437" s="47"/>
      <c r="B437" s="47"/>
      <c r="C437" s="47"/>
      <c r="D437" s="47"/>
      <c r="E437" s="47"/>
      <c r="F437" s="47"/>
    </row>
    <row r="438" ht="15.75" customHeight="1">
      <c r="A438" s="47"/>
      <c r="B438" s="47"/>
      <c r="C438" s="47"/>
      <c r="D438" s="47"/>
      <c r="E438" s="47"/>
      <c r="F438" s="47"/>
    </row>
    <row r="439" ht="15.75" customHeight="1">
      <c r="A439" s="47"/>
      <c r="B439" s="47"/>
      <c r="C439" s="47"/>
      <c r="D439" s="47"/>
      <c r="E439" s="47"/>
      <c r="F439" s="47"/>
    </row>
    <row r="440" ht="15.75" customHeight="1">
      <c r="A440" s="47"/>
      <c r="B440" s="47"/>
      <c r="C440" s="47"/>
      <c r="D440" s="47"/>
      <c r="E440" s="47"/>
      <c r="F440" s="47"/>
    </row>
    <row r="441" ht="15.75" customHeight="1">
      <c r="A441" s="47"/>
      <c r="B441" s="47"/>
      <c r="C441" s="47"/>
      <c r="D441" s="47"/>
      <c r="E441" s="47"/>
      <c r="F441" s="47"/>
    </row>
    <row r="442" ht="15.75" customHeight="1">
      <c r="A442" s="47"/>
      <c r="B442" s="47"/>
      <c r="C442" s="47"/>
      <c r="D442" s="47"/>
      <c r="E442" s="47"/>
      <c r="F442" s="47"/>
    </row>
    <row r="443" ht="15.75" customHeight="1">
      <c r="A443" s="47"/>
      <c r="B443" s="47"/>
      <c r="C443" s="47"/>
      <c r="D443" s="47"/>
      <c r="E443" s="47"/>
      <c r="F443" s="47"/>
    </row>
    <row r="444" ht="15.75" customHeight="1">
      <c r="A444" s="47"/>
      <c r="B444" s="47"/>
      <c r="C444" s="47"/>
      <c r="D444" s="47"/>
      <c r="E444" s="47"/>
      <c r="F444" s="47"/>
    </row>
    <row r="445" ht="15.75" customHeight="1">
      <c r="A445" s="47"/>
      <c r="B445" s="47"/>
      <c r="C445" s="47"/>
      <c r="D445" s="47"/>
      <c r="E445" s="47"/>
      <c r="F445" s="47"/>
    </row>
    <row r="446" ht="15.75" customHeight="1">
      <c r="A446" s="47"/>
      <c r="B446" s="47"/>
      <c r="C446" s="47"/>
      <c r="D446" s="47"/>
      <c r="E446" s="47"/>
      <c r="F446" s="47"/>
    </row>
    <row r="447" ht="15.75" customHeight="1">
      <c r="A447" s="47"/>
      <c r="B447" s="47"/>
      <c r="C447" s="47"/>
      <c r="D447" s="47"/>
      <c r="E447" s="47"/>
      <c r="F447" s="47"/>
    </row>
    <row r="448" ht="15.75" customHeight="1">
      <c r="A448" s="47"/>
      <c r="B448" s="47"/>
      <c r="C448" s="47"/>
      <c r="D448" s="47"/>
      <c r="E448" s="47"/>
      <c r="F448" s="47"/>
    </row>
    <row r="449" ht="15.75" customHeight="1">
      <c r="A449" s="47"/>
      <c r="B449" s="47"/>
      <c r="C449" s="47"/>
      <c r="D449" s="47"/>
      <c r="E449" s="47"/>
      <c r="F449" s="47"/>
    </row>
    <row r="450" ht="15.75" customHeight="1">
      <c r="A450" s="47"/>
      <c r="B450" s="47"/>
      <c r="C450" s="47"/>
      <c r="D450" s="47"/>
      <c r="E450" s="47"/>
      <c r="F450" s="47"/>
    </row>
    <row r="451" ht="15.75" customHeight="1">
      <c r="A451" s="47"/>
      <c r="B451" s="47"/>
      <c r="C451" s="47"/>
      <c r="D451" s="47"/>
      <c r="E451" s="47"/>
      <c r="F451" s="47"/>
    </row>
    <row r="452" ht="15.75" customHeight="1">
      <c r="A452" s="47"/>
      <c r="B452" s="47"/>
      <c r="C452" s="47"/>
      <c r="D452" s="47"/>
      <c r="E452" s="47"/>
      <c r="F452" s="47"/>
    </row>
    <row r="453" ht="15.75" customHeight="1">
      <c r="A453" s="47"/>
      <c r="B453" s="47"/>
      <c r="C453" s="47"/>
      <c r="D453" s="47"/>
      <c r="E453" s="47"/>
      <c r="F453" s="47"/>
    </row>
    <row r="454" ht="15.75" customHeight="1">
      <c r="A454" s="47"/>
      <c r="B454" s="47"/>
      <c r="C454" s="47"/>
      <c r="D454" s="47"/>
      <c r="E454" s="47"/>
      <c r="F454" s="47"/>
    </row>
    <row r="455" ht="15.75" customHeight="1">
      <c r="A455" s="47"/>
      <c r="B455" s="47"/>
      <c r="C455" s="47"/>
      <c r="D455" s="47"/>
      <c r="E455" s="47"/>
      <c r="F455" s="47"/>
    </row>
    <row r="456" ht="15.75" customHeight="1">
      <c r="A456" s="47"/>
      <c r="B456" s="47"/>
      <c r="C456" s="47"/>
      <c r="D456" s="47"/>
      <c r="E456" s="47"/>
      <c r="F456" s="47"/>
    </row>
    <row r="457" ht="15.75" customHeight="1">
      <c r="A457" s="47"/>
      <c r="B457" s="47"/>
      <c r="C457" s="47"/>
      <c r="D457" s="47"/>
      <c r="E457" s="47"/>
      <c r="F457" s="47"/>
    </row>
    <row r="458" ht="15.75" customHeight="1">
      <c r="A458" s="47"/>
      <c r="B458" s="47"/>
      <c r="C458" s="47"/>
      <c r="D458" s="47"/>
      <c r="E458" s="47"/>
      <c r="F458" s="47"/>
    </row>
    <row r="459" ht="15.75" customHeight="1">
      <c r="A459" s="47"/>
      <c r="B459" s="47"/>
      <c r="C459" s="47"/>
      <c r="D459" s="47"/>
      <c r="E459" s="47"/>
      <c r="F459" s="47"/>
    </row>
    <row r="460" ht="15.75" customHeight="1">
      <c r="A460" s="47"/>
      <c r="B460" s="47"/>
      <c r="C460" s="47"/>
      <c r="D460" s="47"/>
      <c r="E460" s="47"/>
      <c r="F460" s="47"/>
    </row>
    <row r="461" ht="15.75" customHeight="1">
      <c r="A461" s="47"/>
      <c r="B461" s="47"/>
      <c r="C461" s="47"/>
      <c r="D461" s="47"/>
      <c r="E461" s="47"/>
      <c r="F461" s="47"/>
    </row>
    <row r="462" ht="15.75" customHeight="1">
      <c r="A462" s="47"/>
      <c r="B462" s="47"/>
      <c r="C462" s="47"/>
      <c r="D462" s="47"/>
      <c r="E462" s="47"/>
      <c r="F462" s="47"/>
    </row>
    <row r="463" ht="15.75" customHeight="1">
      <c r="A463" s="47"/>
      <c r="B463" s="47"/>
      <c r="C463" s="47"/>
      <c r="D463" s="47"/>
      <c r="E463" s="47"/>
      <c r="F463" s="47"/>
    </row>
    <row r="464" ht="15.75" customHeight="1">
      <c r="A464" s="47"/>
      <c r="B464" s="47"/>
      <c r="C464" s="47"/>
      <c r="D464" s="47"/>
      <c r="E464" s="47"/>
      <c r="F464" s="47"/>
    </row>
    <row r="465" ht="15.75" customHeight="1">
      <c r="A465" s="47"/>
      <c r="B465" s="47"/>
      <c r="C465" s="47"/>
      <c r="D465" s="47"/>
      <c r="E465" s="47"/>
      <c r="F465" s="47"/>
    </row>
    <row r="466" ht="15.75" customHeight="1">
      <c r="A466" s="47"/>
      <c r="B466" s="47"/>
      <c r="C466" s="47"/>
      <c r="D466" s="47"/>
      <c r="E466" s="47"/>
      <c r="F466" s="47"/>
    </row>
    <row r="467" ht="15.75" customHeight="1">
      <c r="A467" s="47"/>
      <c r="B467" s="47"/>
      <c r="C467" s="47"/>
      <c r="D467" s="47"/>
      <c r="E467" s="47"/>
      <c r="F467" s="47"/>
    </row>
    <row r="468" ht="15.75" customHeight="1">
      <c r="A468" s="47"/>
      <c r="B468" s="47"/>
      <c r="C468" s="47"/>
      <c r="D468" s="47"/>
      <c r="E468" s="47"/>
      <c r="F468" s="47"/>
    </row>
    <row r="469" ht="15.75" customHeight="1">
      <c r="A469" s="47"/>
      <c r="B469" s="47"/>
      <c r="C469" s="47"/>
      <c r="D469" s="47"/>
      <c r="E469" s="47"/>
      <c r="F469" s="47"/>
    </row>
    <row r="470" ht="15.75" customHeight="1">
      <c r="A470" s="47"/>
      <c r="B470" s="47"/>
      <c r="C470" s="47"/>
      <c r="D470" s="47"/>
      <c r="E470" s="47"/>
      <c r="F470" s="47"/>
    </row>
    <row r="471" ht="15.75" customHeight="1">
      <c r="A471" s="47"/>
      <c r="B471" s="47"/>
      <c r="C471" s="47"/>
      <c r="D471" s="47"/>
      <c r="E471" s="47"/>
      <c r="F471" s="47"/>
    </row>
    <row r="472" ht="15.75" customHeight="1">
      <c r="A472" s="47"/>
      <c r="B472" s="47"/>
      <c r="C472" s="47"/>
      <c r="D472" s="47"/>
      <c r="E472" s="47"/>
      <c r="F472" s="47"/>
    </row>
    <row r="473" ht="15.75" customHeight="1">
      <c r="A473" s="47"/>
      <c r="B473" s="47"/>
      <c r="C473" s="47"/>
      <c r="D473" s="47"/>
      <c r="E473" s="47"/>
      <c r="F473" s="47"/>
    </row>
    <row r="474" ht="15.75" customHeight="1">
      <c r="A474" s="47"/>
      <c r="B474" s="47"/>
      <c r="C474" s="47"/>
      <c r="D474" s="47"/>
      <c r="E474" s="47"/>
      <c r="F474" s="47"/>
    </row>
    <row r="475" ht="15.75" customHeight="1">
      <c r="A475" s="47"/>
      <c r="B475" s="47"/>
      <c r="C475" s="47"/>
      <c r="D475" s="47"/>
      <c r="E475" s="47"/>
      <c r="F475" s="47"/>
    </row>
    <row r="476" ht="15.75" customHeight="1">
      <c r="A476" s="47"/>
      <c r="B476" s="47"/>
      <c r="C476" s="47"/>
      <c r="D476" s="47"/>
      <c r="E476" s="47"/>
      <c r="F476" s="47"/>
    </row>
    <row r="477" ht="15.75" customHeight="1">
      <c r="A477" s="47"/>
      <c r="B477" s="47"/>
      <c r="C477" s="47"/>
      <c r="D477" s="47"/>
      <c r="E477" s="47"/>
      <c r="F477" s="47"/>
    </row>
    <row r="478" ht="15.75" customHeight="1">
      <c r="A478" s="47"/>
      <c r="B478" s="47"/>
      <c r="C478" s="47"/>
      <c r="D478" s="47"/>
      <c r="E478" s="47"/>
      <c r="F478" s="47"/>
    </row>
    <row r="479" ht="15.75" customHeight="1">
      <c r="A479" s="47"/>
      <c r="B479" s="47"/>
      <c r="C479" s="47"/>
      <c r="D479" s="47"/>
      <c r="E479" s="47"/>
      <c r="F479" s="47"/>
    </row>
    <row r="480" ht="15.75" customHeight="1">
      <c r="A480" s="47"/>
      <c r="B480" s="47"/>
      <c r="C480" s="47"/>
      <c r="D480" s="47"/>
      <c r="E480" s="47"/>
      <c r="F480" s="47"/>
    </row>
    <row r="481" ht="15.75" customHeight="1">
      <c r="A481" s="47"/>
      <c r="B481" s="47"/>
      <c r="C481" s="47"/>
      <c r="D481" s="47"/>
      <c r="E481" s="47"/>
      <c r="F481" s="47"/>
    </row>
    <row r="482" ht="15.75" customHeight="1">
      <c r="A482" s="47"/>
      <c r="B482" s="47"/>
      <c r="C482" s="47"/>
      <c r="D482" s="47"/>
      <c r="E482" s="47"/>
      <c r="F482" s="47"/>
    </row>
    <row r="483" ht="15.75" customHeight="1">
      <c r="A483" s="47"/>
      <c r="B483" s="47"/>
      <c r="C483" s="47"/>
      <c r="D483" s="47"/>
      <c r="E483" s="47"/>
      <c r="F483" s="47"/>
    </row>
    <row r="484" ht="15.75" customHeight="1">
      <c r="A484" s="47"/>
      <c r="B484" s="47"/>
      <c r="C484" s="47"/>
      <c r="D484" s="47"/>
      <c r="E484" s="47"/>
      <c r="F484" s="47"/>
    </row>
    <row r="485" ht="15.75" customHeight="1">
      <c r="A485" s="47"/>
      <c r="B485" s="47"/>
      <c r="C485" s="47"/>
      <c r="D485" s="47"/>
      <c r="E485" s="47"/>
      <c r="F485" s="47"/>
    </row>
    <row r="486" ht="15.75" customHeight="1">
      <c r="A486" s="47"/>
      <c r="B486" s="47"/>
      <c r="C486" s="47"/>
      <c r="D486" s="47"/>
      <c r="E486" s="47"/>
      <c r="F486" s="47"/>
    </row>
    <row r="487" ht="15.75" customHeight="1">
      <c r="A487" s="47"/>
      <c r="B487" s="47"/>
      <c r="C487" s="47"/>
      <c r="D487" s="47"/>
      <c r="E487" s="47"/>
      <c r="F487" s="47"/>
    </row>
    <row r="488" ht="15.75" customHeight="1">
      <c r="A488" s="47"/>
      <c r="B488" s="47"/>
      <c r="C488" s="47"/>
      <c r="D488" s="47"/>
      <c r="E488" s="47"/>
      <c r="F488" s="47"/>
    </row>
    <row r="489" ht="15.75" customHeight="1">
      <c r="A489" s="47"/>
      <c r="B489" s="47"/>
      <c r="C489" s="47"/>
      <c r="D489" s="47"/>
      <c r="E489" s="47"/>
      <c r="F489" s="47"/>
    </row>
    <row r="490" ht="15.75" customHeight="1">
      <c r="A490" s="47"/>
      <c r="B490" s="47"/>
      <c r="C490" s="47"/>
      <c r="D490" s="47"/>
      <c r="E490" s="47"/>
      <c r="F490" s="47"/>
    </row>
    <row r="491" ht="15.75" customHeight="1">
      <c r="A491" s="47"/>
      <c r="B491" s="47"/>
      <c r="C491" s="47"/>
      <c r="D491" s="47"/>
      <c r="E491" s="47"/>
      <c r="F491" s="47"/>
    </row>
    <row r="492" ht="15.75" customHeight="1">
      <c r="A492" s="47"/>
      <c r="B492" s="47"/>
      <c r="C492" s="47"/>
      <c r="D492" s="47"/>
      <c r="E492" s="47"/>
      <c r="F492" s="47"/>
    </row>
    <row r="493" ht="15.75" customHeight="1">
      <c r="A493" s="47"/>
      <c r="B493" s="47"/>
      <c r="C493" s="47"/>
      <c r="D493" s="47"/>
      <c r="E493" s="47"/>
      <c r="F493" s="47"/>
    </row>
    <row r="494" ht="15.75" customHeight="1">
      <c r="A494" s="47"/>
      <c r="B494" s="47"/>
      <c r="C494" s="47"/>
      <c r="D494" s="47"/>
      <c r="E494" s="47"/>
      <c r="F494" s="47"/>
    </row>
    <row r="495" ht="15.75" customHeight="1">
      <c r="A495" s="47"/>
      <c r="B495" s="47"/>
      <c r="C495" s="47"/>
      <c r="D495" s="47"/>
      <c r="E495" s="47"/>
      <c r="F495" s="47"/>
    </row>
    <row r="496" ht="15.75" customHeight="1">
      <c r="A496" s="47"/>
      <c r="B496" s="47"/>
      <c r="C496" s="47"/>
      <c r="D496" s="47"/>
      <c r="E496" s="47"/>
      <c r="F496" s="47"/>
    </row>
    <row r="497" ht="15.75" customHeight="1">
      <c r="A497" s="47"/>
      <c r="B497" s="47"/>
      <c r="C497" s="47"/>
      <c r="D497" s="47"/>
      <c r="E497" s="47"/>
      <c r="F497" s="47"/>
    </row>
    <row r="498" ht="15.75" customHeight="1">
      <c r="A498" s="47"/>
      <c r="B498" s="47"/>
      <c r="C498" s="47"/>
      <c r="D498" s="47"/>
      <c r="E498" s="47"/>
      <c r="F498" s="47"/>
    </row>
    <row r="499" ht="15.75" customHeight="1">
      <c r="A499" s="47"/>
      <c r="B499" s="47"/>
      <c r="C499" s="47"/>
      <c r="D499" s="47"/>
      <c r="E499" s="47"/>
      <c r="F499" s="47"/>
    </row>
    <row r="500" ht="15.75" customHeight="1">
      <c r="A500" s="47"/>
      <c r="B500" s="47"/>
      <c r="C500" s="47"/>
      <c r="D500" s="47"/>
      <c r="E500" s="47"/>
      <c r="F500" s="47"/>
    </row>
    <row r="501" ht="15.75" customHeight="1">
      <c r="A501" s="47"/>
      <c r="B501" s="47"/>
      <c r="C501" s="47"/>
      <c r="D501" s="47"/>
      <c r="E501" s="47"/>
      <c r="F501" s="47"/>
    </row>
    <row r="502" ht="15.75" customHeight="1">
      <c r="A502" s="47"/>
      <c r="B502" s="47"/>
      <c r="C502" s="47"/>
      <c r="D502" s="47"/>
      <c r="E502" s="47"/>
      <c r="F502" s="47"/>
    </row>
    <row r="503" ht="15.75" customHeight="1">
      <c r="A503" s="47"/>
      <c r="B503" s="47"/>
      <c r="C503" s="47"/>
      <c r="D503" s="47"/>
      <c r="E503" s="47"/>
      <c r="F503" s="47"/>
    </row>
    <row r="504" ht="15.75" customHeight="1">
      <c r="A504" s="47"/>
      <c r="B504" s="47"/>
      <c r="C504" s="47"/>
      <c r="D504" s="47"/>
      <c r="E504" s="47"/>
      <c r="F504" s="47"/>
    </row>
    <row r="505" ht="15.75" customHeight="1">
      <c r="A505" s="47"/>
      <c r="B505" s="47"/>
      <c r="C505" s="47"/>
      <c r="D505" s="47"/>
      <c r="E505" s="47"/>
      <c r="F505" s="47"/>
    </row>
    <row r="506" ht="15.75" customHeight="1">
      <c r="A506" s="47"/>
      <c r="B506" s="47"/>
      <c r="C506" s="47"/>
      <c r="D506" s="47"/>
      <c r="E506" s="47"/>
      <c r="F506" s="47"/>
    </row>
    <row r="507" ht="15.75" customHeight="1">
      <c r="A507" s="47"/>
      <c r="B507" s="47"/>
      <c r="C507" s="47"/>
      <c r="D507" s="47"/>
      <c r="E507" s="47"/>
      <c r="F507" s="47"/>
    </row>
    <row r="508" ht="15.75" customHeight="1">
      <c r="A508" s="47"/>
      <c r="B508" s="47"/>
      <c r="C508" s="47"/>
      <c r="D508" s="47"/>
      <c r="E508" s="47"/>
      <c r="F508" s="47"/>
    </row>
    <row r="509" ht="15.75" customHeight="1">
      <c r="A509" s="47"/>
      <c r="B509" s="47"/>
      <c r="C509" s="47"/>
      <c r="D509" s="47"/>
      <c r="E509" s="47"/>
      <c r="F509" s="47"/>
    </row>
    <row r="510" ht="15.75" customHeight="1">
      <c r="A510" s="47"/>
      <c r="B510" s="47"/>
      <c r="C510" s="47"/>
      <c r="D510" s="47"/>
      <c r="E510" s="47"/>
      <c r="F510" s="47"/>
    </row>
    <row r="511" ht="15.75" customHeight="1">
      <c r="A511" s="47"/>
      <c r="B511" s="47"/>
      <c r="C511" s="47"/>
      <c r="D511" s="47"/>
      <c r="E511" s="47"/>
      <c r="F511" s="47"/>
    </row>
    <row r="512" ht="15.75" customHeight="1">
      <c r="A512" s="47"/>
      <c r="B512" s="47"/>
      <c r="C512" s="47"/>
      <c r="D512" s="47"/>
      <c r="E512" s="47"/>
      <c r="F512" s="47"/>
    </row>
    <row r="513" ht="15.75" customHeight="1">
      <c r="A513" s="47"/>
      <c r="B513" s="47"/>
      <c r="C513" s="47"/>
      <c r="D513" s="47"/>
      <c r="E513" s="47"/>
      <c r="F513" s="47"/>
    </row>
    <row r="514" ht="15.75" customHeight="1">
      <c r="A514" s="47"/>
      <c r="B514" s="47"/>
      <c r="C514" s="47"/>
      <c r="D514" s="47"/>
      <c r="E514" s="47"/>
      <c r="F514" s="47"/>
    </row>
    <row r="515" ht="15.75" customHeight="1">
      <c r="A515" s="47"/>
      <c r="B515" s="47"/>
      <c r="C515" s="47"/>
      <c r="D515" s="47"/>
      <c r="E515" s="47"/>
      <c r="F515" s="47"/>
    </row>
    <row r="516" ht="15.75" customHeight="1">
      <c r="A516" s="47"/>
      <c r="B516" s="47"/>
      <c r="C516" s="47"/>
      <c r="D516" s="47"/>
      <c r="E516" s="47"/>
      <c r="F516" s="47"/>
    </row>
    <row r="517" ht="15.75" customHeight="1">
      <c r="A517" s="47"/>
      <c r="B517" s="47"/>
      <c r="C517" s="47"/>
      <c r="D517" s="47"/>
      <c r="E517" s="47"/>
      <c r="F517" s="47"/>
    </row>
    <row r="518" ht="15.75" customHeight="1">
      <c r="A518" s="47"/>
      <c r="B518" s="47"/>
      <c r="C518" s="47"/>
      <c r="D518" s="47"/>
      <c r="E518" s="47"/>
      <c r="F518" s="47"/>
    </row>
    <row r="519" ht="15.75" customHeight="1">
      <c r="A519" s="47"/>
      <c r="B519" s="47"/>
      <c r="C519" s="47"/>
      <c r="D519" s="47"/>
      <c r="E519" s="47"/>
      <c r="F519" s="47"/>
    </row>
    <row r="520" ht="15.75" customHeight="1">
      <c r="A520" s="47"/>
      <c r="B520" s="47"/>
      <c r="C520" s="47"/>
      <c r="D520" s="47"/>
      <c r="E520" s="47"/>
      <c r="F520" s="47"/>
    </row>
    <row r="521" ht="15.75" customHeight="1">
      <c r="A521" s="47"/>
      <c r="B521" s="47"/>
      <c r="C521" s="47"/>
      <c r="D521" s="47"/>
      <c r="E521" s="47"/>
      <c r="F521" s="47"/>
    </row>
    <row r="522" ht="15.75" customHeight="1">
      <c r="A522" s="47"/>
      <c r="B522" s="47"/>
      <c r="C522" s="47"/>
      <c r="D522" s="47"/>
      <c r="E522" s="47"/>
      <c r="F522" s="47"/>
    </row>
    <row r="523" ht="15.75" customHeight="1">
      <c r="A523" s="47"/>
      <c r="B523" s="47"/>
      <c r="C523" s="47"/>
      <c r="D523" s="47"/>
      <c r="E523" s="47"/>
      <c r="F523" s="47"/>
    </row>
    <row r="524" ht="15.75" customHeight="1">
      <c r="A524" s="47"/>
      <c r="B524" s="47"/>
      <c r="C524" s="47"/>
      <c r="D524" s="47"/>
      <c r="E524" s="47"/>
      <c r="F524" s="47"/>
    </row>
    <row r="525" ht="15.75" customHeight="1">
      <c r="A525" s="47"/>
      <c r="B525" s="47"/>
      <c r="C525" s="47"/>
      <c r="D525" s="47"/>
      <c r="E525" s="47"/>
      <c r="F525" s="47"/>
    </row>
    <row r="526" ht="15.75" customHeight="1">
      <c r="A526" s="47"/>
      <c r="B526" s="47"/>
      <c r="C526" s="47"/>
      <c r="D526" s="47"/>
      <c r="E526" s="47"/>
      <c r="F526" s="47"/>
    </row>
    <row r="527" ht="15.75" customHeight="1">
      <c r="A527" s="47"/>
      <c r="B527" s="47"/>
      <c r="C527" s="47"/>
      <c r="D527" s="47"/>
      <c r="E527" s="47"/>
      <c r="F527" s="47"/>
    </row>
    <row r="528" ht="15.75" customHeight="1">
      <c r="A528" s="47"/>
      <c r="B528" s="47"/>
      <c r="C528" s="47"/>
      <c r="D528" s="47"/>
      <c r="E528" s="47"/>
      <c r="F528" s="47"/>
    </row>
    <row r="529" ht="15.75" customHeight="1">
      <c r="A529" s="47"/>
      <c r="B529" s="47"/>
      <c r="C529" s="47"/>
      <c r="D529" s="47"/>
      <c r="E529" s="47"/>
      <c r="F529" s="47"/>
    </row>
    <row r="530" ht="15.75" customHeight="1">
      <c r="A530" s="47"/>
      <c r="B530" s="47"/>
      <c r="C530" s="47"/>
      <c r="D530" s="47"/>
      <c r="E530" s="47"/>
      <c r="F530" s="47"/>
    </row>
    <row r="531" ht="15.75" customHeight="1">
      <c r="A531" s="47"/>
      <c r="B531" s="47"/>
      <c r="C531" s="47"/>
      <c r="D531" s="47"/>
      <c r="E531" s="47"/>
      <c r="F531" s="47"/>
    </row>
    <row r="532" ht="15.75" customHeight="1">
      <c r="A532" s="47"/>
      <c r="B532" s="47"/>
      <c r="C532" s="47"/>
      <c r="D532" s="47"/>
      <c r="E532" s="47"/>
      <c r="F532" s="47"/>
    </row>
    <row r="533" ht="15.75" customHeight="1">
      <c r="A533" s="47"/>
      <c r="B533" s="47"/>
      <c r="C533" s="47"/>
      <c r="D533" s="47"/>
      <c r="E533" s="47"/>
      <c r="F533" s="47"/>
    </row>
    <row r="534" ht="15.75" customHeight="1">
      <c r="A534" s="47"/>
      <c r="B534" s="47"/>
      <c r="C534" s="47"/>
      <c r="D534" s="47"/>
      <c r="E534" s="47"/>
      <c r="F534" s="47"/>
    </row>
    <row r="535" ht="15.75" customHeight="1">
      <c r="A535" s="47"/>
      <c r="B535" s="47"/>
      <c r="C535" s="47"/>
      <c r="D535" s="47"/>
      <c r="E535" s="47"/>
      <c r="F535" s="47"/>
    </row>
    <row r="536" ht="15.75" customHeight="1">
      <c r="A536" s="47"/>
      <c r="B536" s="47"/>
      <c r="C536" s="47"/>
      <c r="D536" s="47"/>
      <c r="E536" s="47"/>
      <c r="F536" s="47"/>
    </row>
    <row r="537" ht="15.75" customHeight="1">
      <c r="A537" s="47"/>
      <c r="B537" s="47"/>
      <c r="C537" s="47"/>
      <c r="D537" s="47"/>
      <c r="E537" s="47"/>
      <c r="F537" s="47"/>
    </row>
    <row r="538" ht="15.75" customHeight="1">
      <c r="A538" s="47"/>
      <c r="B538" s="47"/>
      <c r="C538" s="47"/>
      <c r="D538" s="47"/>
      <c r="E538" s="47"/>
      <c r="F538" s="47"/>
    </row>
    <row r="539" ht="15.75" customHeight="1">
      <c r="A539" s="47"/>
      <c r="B539" s="47"/>
      <c r="C539" s="47"/>
      <c r="D539" s="47"/>
      <c r="E539" s="47"/>
      <c r="F539" s="47"/>
    </row>
    <row r="540" ht="15.75" customHeight="1">
      <c r="A540" s="47"/>
      <c r="B540" s="47"/>
      <c r="C540" s="47"/>
      <c r="D540" s="47"/>
      <c r="E540" s="47"/>
      <c r="F540" s="47"/>
    </row>
    <row r="541" ht="15.75" customHeight="1">
      <c r="A541" s="47"/>
      <c r="B541" s="47"/>
      <c r="C541" s="47"/>
      <c r="D541" s="47"/>
      <c r="E541" s="47"/>
      <c r="F541" s="47"/>
    </row>
    <row r="542" ht="15.75" customHeight="1">
      <c r="A542" s="47"/>
      <c r="B542" s="47"/>
      <c r="C542" s="47"/>
      <c r="D542" s="47"/>
      <c r="E542" s="47"/>
      <c r="F542" s="47"/>
    </row>
    <row r="543" ht="15.75" customHeight="1">
      <c r="A543" s="47"/>
      <c r="B543" s="47"/>
      <c r="C543" s="47"/>
      <c r="D543" s="47"/>
      <c r="E543" s="47"/>
      <c r="F543" s="47"/>
    </row>
    <row r="544" ht="15.75" customHeight="1">
      <c r="A544" s="47"/>
      <c r="B544" s="47"/>
      <c r="C544" s="47"/>
      <c r="D544" s="47"/>
      <c r="E544" s="47"/>
      <c r="F544" s="47"/>
    </row>
    <row r="545" ht="15.75" customHeight="1">
      <c r="A545" s="47"/>
      <c r="B545" s="47"/>
      <c r="C545" s="47"/>
      <c r="D545" s="47"/>
      <c r="E545" s="47"/>
      <c r="F545" s="47"/>
    </row>
    <row r="546" ht="15.75" customHeight="1">
      <c r="A546" s="47"/>
      <c r="B546" s="47"/>
      <c r="C546" s="47"/>
      <c r="D546" s="47"/>
      <c r="E546" s="47"/>
      <c r="F546" s="47"/>
    </row>
    <row r="547" ht="15.75" customHeight="1">
      <c r="A547" s="47"/>
      <c r="B547" s="47"/>
      <c r="C547" s="47"/>
      <c r="D547" s="47"/>
      <c r="E547" s="47"/>
      <c r="F547" s="47"/>
    </row>
    <row r="548" ht="15.75" customHeight="1">
      <c r="A548" s="47"/>
      <c r="B548" s="47"/>
      <c r="C548" s="47"/>
      <c r="D548" s="47"/>
      <c r="E548" s="47"/>
      <c r="F548" s="47"/>
    </row>
    <row r="549" ht="15.75" customHeight="1">
      <c r="A549" s="47"/>
      <c r="B549" s="47"/>
      <c r="C549" s="47"/>
      <c r="D549" s="47"/>
      <c r="E549" s="47"/>
      <c r="F549" s="47"/>
    </row>
    <row r="550" ht="15.75" customHeight="1">
      <c r="A550" s="47"/>
      <c r="B550" s="47"/>
      <c r="C550" s="47"/>
      <c r="D550" s="47"/>
      <c r="E550" s="47"/>
      <c r="F550" s="47"/>
    </row>
    <row r="551" ht="15.75" customHeight="1">
      <c r="A551" s="47"/>
      <c r="B551" s="47"/>
      <c r="C551" s="47"/>
      <c r="D551" s="47"/>
      <c r="E551" s="47"/>
      <c r="F551" s="47"/>
    </row>
    <row r="552" ht="15.75" customHeight="1">
      <c r="A552" s="47"/>
      <c r="B552" s="47"/>
      <c r="C552" s="47"/>
      <c r="D552" s="47"/>
      <c r="E552" s="47"/>
      <c r="F552" s="47"/>
    </row>
    <row r="553" ht="15.75" customHeight="1">
      <c r="A553" s="47"/>
      <c r="B553" s="47"/>
      <c r="C553" s="47"/>
      <c r="D553" s="47"/>
      <c r="E553" s="47"/>
      <c r="F553" s="47"/>
    </row>
    <row r="554" ht="15.75" customHeight="1">
      <c r="A554" s="47"/>
      <c r="B554" s="47"/>
      <c r="C554" s="47"/>
      <c r="D554" s="47"/>
      <c r="E554" s="47"/>
      <c r="F554" s="47"/>
    </row>
    <row r="555" ht="15.75" customHeight="1">
      <c r="A555" s="47"/>
      <c r="B555" s="47"/>
      <c r="C555" s="47"/>
      <c r="D555" s="47"/>
      <c r="E555" s="47"/>
      <c r="F555" s="47"/>
    </row>
    <row r="556" ht="15.75" customHeight="1">
      <c r="A556" s="47"/>
      <c r="B556" s="47"/>
      <c r="C556" s="47"/>
      <c r="D556" s="47"/>
      <c r="E556" s="47"/>
      <c r="F556" s="47"/>
    </row>
    <row r="557" ht="15.75" customHeight="1">
      <c r="A557" s="47"/>
      <c r="B557" s="47"/>
      <c r="C557" s="47"/>
      <c r="D557" s="47"/>
      <c r="E557" s="47"/>
      <c r="F557" s="47"/>
    </row>
    <row r="558" ht="15.75" customHeight="1">
      <c r="A558" s="47"/>
      <c r="B558" s="47"/>
      <c r="C558" s="47"/>
      <c r="D558" s="47"/>
      <c r="E558" s="47"/>
      <c r="F558" s="47"/>
    </row>
    <row r="559" ht="15.75" customHeight="1">
      <c r="A559" s="47"/>
      <c r="B559" s="47"/>
      <c r="C559" s="47"/>
      <c r="D559" s="47"/>
      <c r="E559" s="47"/>
      <c r="F559" s="47"/>
    </row>
    <row r="560" ht="15.75" customHeight="1">
      <c r="A560" s="47"/>
      <c r="B560" s="47"/>
      <c r="C560" s="47"/>
      <c r="D560" s="47"/>
      <c r="E560" s="47"/>
      <c r="F560" s="47"/>
    </row>
    <row r="561" ht="15.75" customHeight="1">
      <c r="A561" s="47"/>
      <c r="B561" s="47"/>
      <c r="C561" s="47"/>
      <c r="D561" s="47"/>
      <c r="E561" s="47"/>
      <c r="F561" s="47"/>
    </row>
    <row r="562" ht="15.75" customHeight="1">
      <c r="A562" s="47"/>
      <c r="B562" s="47"/>
      <c r="C562" s="47"/>
      <c r="D562" s="47"/>
      <c r="E562" s="47"/>
      <c r="F562" s="47"/>
    </row>
    <row r="563" ht="15.75" customHeight="1">
      <c r="A563" s="47"/>
      <c r="B563" s="47"/>
      <c r="C563" s="47"/>
      <c r="D563" s="47"/>
      <c r="E563" s="47"/>
      <c r="F563" s="47"/>
    </row>
    <row r="564" ht="15.75" customHeight="1">
      <c r="A564" s="47"/>
      <c r="B564" s="47"/>
      <c r="C564" s="47"/>
      <c r="D564" s="47"/>
      <c r="E564" s="47"/>
      <c r="F564" s="47"/>
    </row>
    <row r="565" ht="15.75" customHeight="1">
      <c r="A565" s="47"/>
      <c r="B565" s="47"/>
      <c r="C565" s="47"/>
      <c r="D565" s="47"/>
      <c r="E565" s="47"/>
      <c r="F565" s="47"/>
    </row>
    <row r="566" ht="15.75" customHeight="1">
      <c r="A566" s="47"/>
      <c r="B566" s="47"/>
      <c r="C566" s="47"/>
      <c r="D566" s="47"/>
      <c r="E566" s="47"/>
      <c r="F566" s="47"/>
    </row>
    <row r="567" ht="15.75" customHeight="1">
      <c r="A567" s="47"/>
      <c r="B567" s="47"/>
      <c r="C567" s="47"/>
      <c r="D567" s="47"/>
      <c r="E567" s="47"/>
      <c r="F567" s="47"/>
    </row>
    <row r="568" ht="15.75" customHeight="1">
      <c r="A568" s="47"/>
      <c r="B568" s="47"/>
      <c r="C568" s="47"/>
      <c r="D568" s="47"/>
      <c r="E568" s="47"/>
      <c r="F568" s="47"/>
    </row>
    <row r="569" ht="15.75" customHeight="1">
      <c r="A569" s="47"/>
      <c r="B569" s="47"/>
      <c r="C569" s="47"/>
      <c r="D569" s="47"/>
      <c r="E569" s="47"/>
      <c r="F569" s="47"/>
    </row>
    <row r="570" ht="15.75" customHeight="1">
      <c r="A570" s="47"/>
      <c r="B570" s="47"/>
      <c r="C570" s="47"/>
      <c r="D570" s="47"/>
      <c r="E570" s="47"/>
      <c r="F570" s="47"/>
    </row>
    <row r="571" ht="15.75" customHeight="1">
      <c r="A571" s="47"/>
      <c r="B571" s="47"/>
      <c r="C571" s="47"/>
      <c r="D571" s="47"/>
      <c r="E571" s="47"/>
      <c r="F571" s="47"/>
    </row>
    <row r="572" ht="15.75" customHeight="1">
      <c r="A572" s="47"/>
      <c r="B572" s="47"/>
      <c r="C572" s="47"/>
      <c r="D572" s="47"/>
      <c r="E572" s="47"/>
      <c r="F572" s="47"/>
    </row>
    <row r="573" ht="15.75" customHeight="1">
      <c r="A573" s="47"/>
      <c r="B573" s="47"/>
      <c r="C573" s="47"/>
      <c r="D573" s="47"/>
      <c r="E573" s="47"/>
      <c r="F573" s="47"/>
    </row>
    <row r="574" ht="15.75" customHeight="1">
      <c r="A574" s="47"/>
      <c r="B574" s="47"/>
      <c r="C574" s="47"/>
      <c r="D574" s="47"/>
      <c r="E574" s="47"/>
      <c r="F574" s="47"/>
    </row>
    <row r="575" ht="15.75" customHeight="1">
      <c r="A575" s="47"/>
      <c r="B575" s="47"/>
      <c r="C575" s="47"/>
      <c r="D575" s="47"/>
      <c r="E575" s="47"/>
      <c r="F575" s="47"/>
    </row>
    <row r="576" ht="15.75" customHeight="1">
      <c r="A576" s="47"/>
      <c r="B576" s="47"/>
      <c r="C576" s="47"/>
      <c r="D576" s="47"/>
      <c r="E576" s="47"/>
      <c r="F576" s="47"/>
    </row>
    <row r="577" ht="15.75" customHeight="1">
      <c r="A577" s="47"/>
      <c r="B577" s="47"/>
      <c r="C577" s="47"/>
      <c r="D577" s="47"/>
      <c r="E577" s="47"/>
      <c r="F577" s="47"/>
    </row>
    <row r="578" ht="15.75" customHeight="1">
      <c r="A578" s="47"/>
      <c r="B578" s="47"/>
      <c r="C578" s="47"/>
      <c r="D578" s="47"/>
      <c r="E578" s="47"/>
      <c r="F578" s="47"/>
    </row>
    <row r="579" ht="15.75" customHeight="1">
      <c r="A579" s="47"/>
      <c r="B579" s="47"/>
      <c r="C579" s="47"/>
      <c r="D579" s="47"/>
      <c r="E579" s="47"/>
      <c r="F579" s="47"/>
    </row>
    <row r="580" ht="15.75" customHeight="1">
      <c r="A580" s="47"/>
      <c r="B580" s="47"/>
      <c r="C580" s="47"/>
      <c r="D580" s="47"/>
      <c r="E580" s="47"/>
      <c r="F580" s="47"/>
    </row>
    <row r="581" ht="15.75" customHeight="1">
      <c r="A581" s="47"/>
      <c r="B581" s="47"/>
      <c r="C581" s="47"/>
      <c r="D581" s="47"/>
      <c r="E581" s="47"/>
      <c r="F581" s="47"/>
    </row>
    <row r="582" ht="15.75" customHeight="1">
      <c r="A582" s="47"/>
      <c r="B582" s="47"/>
      <c r="C582" s="47"/>
      <c r="D582" s="47"/>
      <c r="E582" s="47"/>
      <c r="F582" s="47"/>
    </row>
    <row r="583" ht="15.75" customHeight="1">
      <c r="A583" s="47"/>
      <c r="B583" s="47"/>
      <c r="C583" s="47"/>
      <c r="D583" s="47"/>
      <c r="E583" s="47"/>
      <c r="F583" s="47"/>
    </row>
    <row r="584" ht="15.75" customHeight="1">
      <c r="A584" s="47"/>
      <c r="B584" s="47"/>
      <c r="C584" s="47"/>
      <c r="D584" s="47"/>
      <c r="E584" s="47"/>
      <c r="F584" s="47"/>
    </row>
    <row r="585" ht="15.75" customHeight="1">
      <c r="A585" s="47"/>
      <c r="B585" s="47"/>
      <c r="C585" s="47"/>
      <c r="D585" s="47"/>
      <c r="E585" s="47"/>
      <c r="F585" s="47"/>
    </row>
    <row r="586" ht="15.75" customHeight="1">
      <c r="A586" s="47"/>
      <c r="B586" s="47"/>
      <c r="C586" s="47"/>
      <c r="D586" s="47"/>
      <c r="E586" s="47"/>
      <c r="F586" s="47"/>
    </row>
    <row r="587" ht="15.75" customHeight="1">
      <c r="A587" s="47"/>
      <c r="B587" s="47"/>
      <c r="C587" s="47"/>
      <c r="D587" s="47"/>
      <c r="E587" s="47"/>
      <c r="F587" s="47"/>
    </row>
    <row r="588" ht="15.75" customHeight="1">
      <c r="A588" s="47"/>
      <c r="B588" s="47"/>
      <c r="C588" s="47"/>
      <c r="D588" s="47"/>
      <c r="E588" s="47"/>
      <c r="F588" s="47"/>
    </row>
    <row r="589" ht="15.75" customHeight="1">
      <c r="A589" s="47"/>
      <c r="B589" s="47"/>
      <c r="C589" s="47"/>
      <c r="D589" s="47"/>
      <c r="E589" s="47"/>
      <c r="F589" s="47"/>
    </row>
    <row r="590" ht="15.75" customHeight="1">
      <c r="A590" s="47"/>
      <c r="B590" s="47"/>
      <c r="C590" s="47"/>
      <c r="D590" s="47"/>
      <c r="E590" s="47"/>
      <c r="F590" s="47"/>
    </row>
    <row r="591" ht="15.75" customHeight="1">
      <c r="A591" s="47"/>
      <c r="B591" s="47"/>
      <c r="C591" s="47"/>
      <c r="D591" s="47"/>
      <c r="E591" s="47"/>
      <c r="F591" s="47"/>
    </row>
    <row r="592" ht="15.75" customHeight="1">
      <c r="A592" s="47"/>
      <c r="B592" s="47"/>
      <c r="C592" s="47"/>
      <c r="D592" s="47"/>
      <c r="E592" s="47"/>
      <c r="F592" s="47"/>
    </row>
    <row r="593" ht="15.75" customHeight="1">
      <c r="A593" s="47"/>
      <c r="B593" s="47"/>
      <c r="C593" s="47"/>
      <c r="D593" s="47"/>
      <c r="E593" s="47"/>
      <c r="F593" s="47"/>
    </row>
    <row r="594" ht="15.75" customHeight="1">
      <c r="A594" s="47"/>
      <c r="B594" s="47"/>
      <c r="C594" s="47"/>
      <c r="D594" s="47"/>
      <c r="E594" s="47"/>
      <c r="F594" s="47"/>
    </row>
    <row r="595" ht="15.75" customHeight="1">
      <c r="A595" s="47"/>
      <c r="B595" s="47"/>
      <c r="C595" s="47"/>
      <c r="D595" s="47"/>
      <c r="E595" s="47"/>
      <c r="F595" s="47"/>
    </row>
    <row r="596" ht="15.75" customHeight="1">
      <c r="A596" s="47"/>
      <c r="B596" s="47"/>
      <c r="C596" s="47"/>
      <c r="D596" s="47"/>
      <c r="E596" s="47"/>
      <c r="F596" s="47"/>
    </row>
    <row r="597" ht="15.75" customHeight="1">
      <c r="A597" s="47"/>
      <c r="B597" s="47"/>
      <c r="C597" s="47"/>
      <c r="D597" s="47"/>
      <c r="E597" s="47"/>
      <c r="F597" s="47"/>
    </row>
    <row r="598" ht="15.75" customHeight="1">
      <c r="A598" s="47"/>
      <c r="B598" s="47"/>
      <c r="C598" s="47"/>
      <c r="D598" s="47"/>
      <c r="E598" s="47"/>
      <c r="F598" s="47"/>
    </row>
    <row r="599" ht="15.75" customHeight="1">
      <c r="A599" s="47"/>
      <c r="B599" s="47"/>
      <c r="C599" s="47"/>
      <c r="D599" s="47"/>
      <c r="E599" s="47"/>
      <c r="F599" s="47"/>
    </row>
    <row r="600" ht="15.75" customHeight="1">
      <c r="A600" s="47"/>
      <c r="B600" s="47"/>
      <c r="C600" s="47"/>
      <c r="D600" s="47"/>
      <c r="E600" s="47"/>
      <c r="F600" s="47"/>
    </row>
    <row r="601" ht="15.75" customHeight="1">
      <c r="A601" s="47"/>
      <c r="B601" s="47"/>
      <c r="C601" s="47"/>
      <c r="D601" s="47"/>
      <c r="E601" s="47"/>
      <c r="F601" s="47"/>
    </row>
    <row r="602" ht="15.75" customHeight="1">
      <c r="A602" s="47"/>
      <c r="B602" s="47"/>
      <c r="C602" s="47"/>
      <c r="D602" s="47"/>
      <c r="E602" s="47"/>
      <c r="F602" s="47"/>
    </row>
    <row r="603" ht="15.75" customHeight="1">
      <c r="A603" s="47"/>
      <c r="B603" s="47"/>
      <c r="C603" s="47"/>
      <c r="D603" s="47"/>
      <c r="E603" s="47"/>
      <c r="F603" s="47"/>
    </row>
    <row r="604" ht="15.75" customHeight="1">
      <c r="A604" s="47"/>
      <c r="B604" s="47"/>
      <c r="C604" s="47"/>
      <c r="D604" s="47"/>
      <c r="E604" s="47"/>
      <c r="F604" s="47"/>
    </row>
    <row r="605" ht="15.75" customHeight="1">
      <c r="A605" s="47"/>
      <c r="B605" s="47"/>
      <c r="C605" s="47"/>
      <c r="D605" s="47"/>
      <c r="E605" s="47"/>
      <c r="F605" s="47"/>
    </row>
    <row r="606" ht="15.75" customHeight="1">
      <c r="A606" s="47"/>
      <c r="B606" s="47"/>
      <c r="C606" s="47"/>
      <c r="D606" s="47"/>
      <c r="E606" s="47"/>
      <c r="F606" s="47"/>
    </row>
    <row r="607" ht="15.75" customHeight="1">
      <c r="A607" s="47"/>
      <c r="B607" s="47"/>
      <c r="C607" s="47"/>
      <c r="D607" s="47"/>
      <c r="E607" s="47"/>
      <c r="F607" s="47"/>
    </row>
    <row r="608" ht="15.75" customHeight="1">
      <c r="A608" s="47"/>
      <c r="B608" s="47"/>
      <c r="C608" s="47"/>
      <c r="D608" s="47"/>
      <c r="E608" s="47"/>
      <c r="F608" s="47"/>
    </row>
    <row r="609" ht="15.75" customHeight="1">
      <c r="A609" s="47"/>
      <c r="B609" s="47"/>
      <c r="C609" s="47"/>
      <c r="D609" s="47"/>
      <c r="E609" s="47"/>
      <c r="F609" s="47"/>
    </row>
    <row r="610" ht="15.75" customHeight="1">
      <c r="A610" s="47"/>
      <c r="B610" s="47"/>
      <c r="C610" s="47"/>
      <c r="D610" s="47"/>
      <c r="E610" s="47"/>
      <c r="F610" s="47"/>
    </row>
    <row r="611" ht="15.75" customHeight="1">
      <c r="A611" s="47"/>
      <c r="B611" s="47"/>
      <c r="C611" s="47"/>
      <c r="D611" s="47"/>
      <c r="E611" s="47"/>
      <c r="F611" s="47"/>
    </row>
    <row r="612" ht="15.75" customHeight="1">
      <c r="A612" s="47"/>
      <c r="B612" s="47"/>
      <c r="C612" s="47"/>
      <c r="D612" s="47"/>
      <c r="E612" s="47"/>
      <c r="F612" s="47"/>
    </row>
    <row r="613" ht="15.75" customHeight="1">
      <c r="A613" s="47"/>
      <c r="B613" s="47"/>
      <c r="C613" s="47"/>
      <c r="D613" s="47"/>
      <c r="E613" s="47"/>
      <c r="F613" s="47"/>
    </row>
    <row r="614" ht="15.75" customHeight="1">
      <c r="A614" s="47"/>
      <c r="B614" s="47"/>
      <c r="C614" s="47"/>
      <c r="D614" s="47"/>
      <c r="E614" s="47"/>
      <c r="F614" s="47"/>
    </row>
    <row r="615" ht="15.75" customHeight="1">
      <c r="A615" s="47"/>
      <c r="B615" s="47"/>
      <c r="C615" s="47"/>
      <c r="D615" s="47"/>
      <c r="E615" s="47"/>
      <c r="F615" s="47"/>
    </row>
    <row r="616" ht="15.75" customHeight="1">
      <c r="A616" s="47"/>
      <c r="B616" s="47"/>
      <c r="C616" s="47"/>
      <c r="D616" s="47"/>
      <c r="E616" s="47"/>
      <c r="F616" s="47"/>
    </row>
    <row r="617" ht="15.75" customHeight="1">
      <c r="A617" s="47"/>
      <c r="B617" s="47"/>
      <c r="C617" s="47"/>
      <c r="D617" s="47"/>
      <c r="E617" s="47"/>
      <c r="F617" s="47"/>
    </row>
    <row r="618" ht="15.75" customHeight="1">
      <c r="A618" s="47"/>
      <c r="B618" s="47"/>
      <c r="C618" s="47"/>
      <c r="D618" s="47"/>
      <c r="E618" s="47"/>
      <c r="F618" s="47"/>
    </row>
    <row r="619" ht="15.75" customHeight="1">
      <c r="A619" s="47"/>
      <c r="B619" s="47"/>
      <c r="C619" s="47"/>
      <c r="D619" s="47"/>
      <c r="E619" s="47"/>
      <c r="F619" s="47"/>
    </row>
    <row r="620" ht="15.75" customHeight="1">
      <c r="A620" s="47"/>
      <c r="B620" s="47"/>
      <c r="C620" s="47"/>
      <c r="D620" s="47"/>
      <c r="E620" s="47"/>
      <c r="F620" s="47"/>
    </row>
    <row r="621" ht="15.75" customHeight="1">
      <c r="A621" s="47"/>
      <c r="B621" s="47"/>
      <c r="C621" s="47"/>
      <c r="D621" s="47"/>
      <c r="E621" s="47"/>
      <c r="F621" s="47"/>
    </row>
    <row r="622" ht="15.75" customHeight="1">
      <c r="A622" s="47"/>
      <c r="B622" s="47"/>
      <c r="C622" s="47"/>
      <c r="D622" s="47"/>
      <c r="E622" s="47"/>
      <c r="F622" s="47"/>
    </row>
    <row r="623" ht="15.75" customHeight="1">
      <c r="A623" s="47"/>
      <c r="B623" s="47"/>
      <c r="C623" s="47"/>
      <c r="D623" s="47"/>
      <c r="E623" s="47"/>
      <c r="F623" s="47"/>
    </row>
    <row r="624" ht="15.75" customHeight="1">
      <c r="A624" s="47"/>
      <c r="B624" s="47"/>
      <c r="C624" s="47"/>
      <c r="D624" s="47"/>
      <c r="E624" s="47"/>
      <c r="F624" s="47"/>
    </row>
    <row r="625" ht="15.75" customHeight="1">
      <c r="A625" s="47"/>
      <c r="B625" s="47"/>
      <c r="C625" s="47"/>
      <c r="D625" s="47"/>
      <c r="E625" s="47"/>
      <c r="F625" s="47"/>
    </row>
    <row r="626" ht="15.75" customHeight="1">
      <c r="A626" s="47"/>
      <c r="B626" s="47"/>
      <c r="C626" s="47"/>
      <c r="D626" s="47"/>
      <c r="E626" s="47"/>
      <c r="F626" s="47"/>
    </row>
    <row r="627" ht="15.75" customHeight="1">
      <c r="A627" s="47"/>
      <c r="B627" s="47"/>
      <c r="C627" s="47"/>
      <c r="D627" s="47"/>
      <c r="E627" s="47"/>
      <c r="F627" s="47"/>
    </row>
    <row r="628" ht="15.75" customHeight="1">
      <c r="A628" s="47"/>
      <c r="B628" s="47"/>
      <c r="C628" s="47"/>
      <c r="D628" s="47"/>
      <c r="E628" s="47"/>
      <c r="F628" s="47"/>
    </row>
    <row r="629" ht="15.75" customHeight="1">
      <c r="A629" s="47"/>
      <c r="B629" s="47"/>
      <c r="C629" s="47"/>
      <c r="D629" s="47"/>
      <c r="E629" s="47"/>
      <c r="F629" s="47"/>
    </row>
    <row r="630" ht="15.75" customHeight="1">
      <c r="A630" s="47"/>
      <c r="B630" s="47"/>
      <c r="C630" s="47"/>
      <c r="D630" s="47"/>
      <c r="E630" s="47"/>
      <c r="F630" s="47"/>
    </row>
    <row r="631" ht="15.75" customHeight="1">
      <c r="A631" s="47"/>
      <c r="B631" s="47"/>
      <c r="C631" s="47"/>
      <c r="D631" s="47"/>
      <c r="E631" s="47"/>
      <c r="F631" s="47"/>
    </row>
    <row r="632" ht="15.75" customHeight="1">
      <c r="A632" s="47"/>
      <c r="B632" s="47"/>
      <c r="C632" s="47"/>
      <c r="D632" s="47"/>
      <c r="E632" s="47"/>
      <c r="F632" s="47"/>
    </row>
    <row r="633" ht="15.75" customHeight="1">
      <c r="A633" s="47"/>
      <c r="B633" s="47"/>
      <c r="C633" s="47"/>
      <c r="D633" s="47"/>
      <c r="E633" s="47"/>
      <c r="F633" s="47"/>
    </row>
    <row r="634" ht="15.75" customHeight="1">
      <c r="A634" s="47"/>
      <c r="B634" s="47"/>
      <c r="C634" s="47"/>
      <c r="D634" s="47"/>
      <c r="E634" s="47"/>
      <c r="F634" s="47"/>
    </row>
    <row r="635" ht="15.75" customHeight="1">
      <c r="A635" s="47"/>
      <c r="B635" s="47"/>
      <c r="C635" s="47"/>
      <c r="D635" s="47"/>
      <c r="E635" s="47"/>
      <c r="F635" s="47"/>
    </row>
    <row r="636" ht="15.75" customHeight="1">
      <c r="A636" s="47"/>
      <c r="B636" s="47"/>
      <c r="C636" s="47"/>
      <c r="D636" s="47"/>
      <c r="E636" s="47"/>
      <c r="F636" s="47"/>
    </row>
    <row r="637" ht="15.75" customHeight="1">
      <c r="A637" s="47"/>
      <c r="B637" s="47"/>
      <c r="C637" s="47"/>
      <c r="D637" s="47"/>
      <c r="E637" s="47"/>
      <c r="F637" s="47"/>
    </row>
    <row r="638" ht="15.75" customHeight="1">
      <c r="A638" s="47"/>
      <c r="B638" s="47"/>
      <c r="C638" s="47"/>
      <c r="D638" s="47"/>
      <c r="E638" s="47"/>
      <c r="F638" s="47"/>
    </row>
    <row r="639" ht="15.75" customHeight="1">
      <c r="A639" s="47"/>
      <c r="B639" s="47"/>
      <c r="C639" s="47"/>
      <c r="D639" s="47"/>
      <c r="E639" s="47"/>
      <c r="F639" s="47"/>
    </row>
    <row r="640" ht="15.75" customHeight="1">
      <c r="A640" s="47"/>
      <c r="B640" s="47"/>
      <c r="C640" s="47"/>
      <c r="D640" s="47"/>
      <c r="E640" s="47"/>
      <c r="F640" s="47"/>
    </row>
    <row r="641" ht="15.75" customHeight="1">
      <c r="A641" s="47"/>
      <c r="B641" s="47"/>
      <c r="C641" s="47"/>
      <c r="D641" s="47"/>
      <c r="E641" s="47"/>
      <c r="F641" s="47"/>
    </row>
    <row r="642" ht="15.75" customHeight="1">
      <c r="A642" s="47"/>
      <c r="B642" s="47"/>
      <c r="C642" s="47"/>
      <c r="D642" s="47"/>
      <c r="E642" s="47"/>
      <c r="F642" s="47"/>
    </row>
    <row r="643" ht="15.75" customHeight="1">
      <c r="A643" s="47"/>
      <c r="B643" s="47"/>
      <c r="C643" s="47"/>
      <c r="D643" s="47"/>
      <c r="E643" s="47"/>
      <c r="F643" s="47"/>
    </row>
    <row r="644" ht="15.75" customHeight="1">
      <c r="A644" s="47"/>
      <c r="B644" s="47"/>
      <c r="C644" s="47"/>
      <c r="D644" s="47"/>
      <c r="E644" s="47"/>
      <c r="F644" s="47"/>
    </row>
    <row r="645" ht="15.75" customHeight="1">
      <c r="A645" s="47"/>
      <c r="B645" s="47"/>
      <c r="C645" s="47"/>
      <c r="D645" s="47"/>
      <c r="E645" s="47"/>
      <c r="F645" s="47"/>
    </row>
    <row r="646" ht="15.75" customHeight="1">
      <c r="A646" s="47"/>
      <c r="B646" s="47"/>
      <c r="C646" s="47"/>
      <c r="D646" s="47"/>
      <c r="E646" s="47"/>
      <c r="F646" s="47"/>
    </row>
    <row r="647" ht="15.75" customHeight="1">
      <c r="A647" s="47"/>
      <c r="B647" s="47"/>
      <c r="C647" s="47"/>
      <c r="D647" s="47"/>
      <c r="E647" s="47"/>
      <c r="F647" s="47"/>
    </row>
    <row r="648" ht="15.75" customHeight="1">
      <c r="A648" s="47"/>
      <c r="B648" s="47"/>
      <c r="C648" s="47"/>
      <c r="D648" s="47"/>
      <c r="E648" s="47"/>
      <c r="F648" s="47"/>
    </row>
    <row r="649" ht="15.75" customHeight="1">
      <c r="A649" s="47"/>
      <c r="B649" s="47"/>
      <c r="C649" s="47"/>
      <c r="D649" s="47"/>
      <c r="E649" s="47"/>
      <c r="F649" s="47"/>
    </row>
    <row r="650" ht="15.75" customHeight="1">
      <c r="A650" s="47"/>
      <c r="B650" s="47"/>
      <c r="C650" s="47"/>
      <c r="D650" s="47"/>
      <c r="E650" s="47"/>
      <c r="F650" s="47"/>
    </row>
    <row r="651" ht="15.75" customHeight="1">
      <c r="A651" s="47"/>
      <c r="B651" s="47"/>
      <c r="C651" s="47"/>
      <c r="D651" s="47"/>
      <c r="E651" s="47"/>
      <c r="F651" s="47"/>
    </row>
    <row r="652" ht="15.75" customHeight="1">
      <c r="A652" s="47"/>
      <c r="B652" s="47"/>
      <c r="C652" s="47"/>
      <c r="D652" s="47"/>
      <c r="E652" s="47"/>
      <c r="F652" s="47"/>
    </row>
    <row r="653" ht="15.75" customHeight="1">
      <c r="A653" s="47"/>
      <c r="B653" s="47"/>
      <c r="C653" s="47"/>
      <c r="D653" s="47"/>
      <c r="E653" s="47"/>
      <c r="F653" s="47"/>
    </row>
    <row r="654" ht="15.75" customHeight="1">
      <c r="A654" s="47"/>
      <c r="B654" s="47"/>
      <c r="C654" s="47"/>
      <c r="D654" s="47"/>
      <c r="E654" s="47"/>
      <c r="F654" s="47"/>
    </row>
    <row r="655" ht="15.75" customHeight="1">
      <c r="A655" s="47"/>
      <c r="B655" s="47"/>
      <c r="C655" s="47"/>
      <c r="D655" s="47"/>
      <c r="E655" s="47"/>
      <c r="F655" s="47"/>
    </row>
    <row r="656" ht="15.75" customHeight="1">
      <c r="A656" s="47"/>
      <c r="B656" s="47"/>
      <c r="C656" s="47"/>
      <c r="D656" s="47"/>
      <c r="E656" s="47"/>
      <c r="F656" s="47"/>
    </row>
    <row r="657" ht="15.75" customHeight="1">
      <c r="A657" s="47"/>
      <c r="B657" s="47"/>
      <c r="C657" s="47"/>
      <c r="D657" s="47"/>
      <c r="E657" s="47"/>
      <c r="F657" s="47"/>
    </row>
    <row r="658" ht="15.75" customHeight="1">
      <c r="A658" s="47"/>
      <c r="B658" s="47"/>
      <c r="C658" s="47"/>
      <c r="D658" s="47"/>
      <c r="E658" s="47"/>
      <c r="F658" s="47"/>
    </row>
    <row r="659" ht="15.75" customHeight="1">
      <c r="A659" s="47"/>
      <c r="B659" s="47"/>
      <c r="C659" s="47"/>
      <c r="D659" s="47"/>
      <c r="E659" s="47"/>
      <c r="F659" s="47"/>
    </row>
    <row r="660" ht="15.75" customHeight="1">
      <c r="A660" s="47"/>
      <c r="B660" s="47"/>
      <c r="C660" s="47"/>
      <c r="D660" s="47"/>
      <c r="E660" s="47"/>
      <c r="F660" s="47"/>
    </row>
    <row r="661" ht="15.75" customHeight="1">
      <c r="A661" s="47"/>
      <c r="B661" s="47"/>
      <c r="C661" s="47"/>
      <c r="D661" s="47"/>
      <c r="E661" s="47"/>
      <c r="F661" s="47"/>
    </row>
    <row r="662" ht="15.75" customHeight="1">
      <c r="A662" s="47"/>
      <c r="B662" s="47"/>
      <c r="C662" s="47"/>
      <c r="D662" s="47"/>
      <c r="E662" s="47"/>
      <c r="F662" s="47"/>
    </row>
    <row r="663" ht="15.75" customHeight="1">
      <c r="A663" s="47"/>
      <c r="B663" s="47"/>
      <c r="C663" s="47"/>
      <c r="D663" s="47"/>
      <c r="E663" s="47"/>
      <c r="F663" s="47"/>
    </row>
    <row r="664" ht="15.75" customHeight="1">
      <c r="A664" s="47"/>
      <c r="B664" s="47"/>
      <c r="C664" s="47"/>
      <c r="D664" s="47"/>
      <c r="E664" s="47"/>
      <c r="F664" s="47"/>
    </row>
    <row r="665" ht="15.75" customHeight="1">
      <c r="A665" s="47"/>
      <c r="B665" s="47"/>
      <c r="C665" s="47"/>
      <c r="D665" s="47"/>
      <c r="E665" s="47"/>
      <c r="F665" s="47"/>
    </row>
    <row r="666" ht="15.75" customHeight="1">
      <c r="A666" s="47"/>
      <c r="B666" s="47"/>
      <c r="C666" s="47"/>
      <c r="D666" s="47"/>
      <c r="E666" s="47"/>
      <c r="F666" s="47"/>
    </row>
    <row r="667" ht="15.75" customHeight="1">
      <c r="A667" s="47"/>
      <c r="B667" s="47"/>
      <c r="C667" s="47"/>
      <c r="D667" s="47"/>
      <c r="E667" s="47"/>
      <c r="F667" s="47"/>
    </row>
    <row r="668" ht="15.75" customHeight="1">
      <c r="A668" s="47"/>
      <c r="B668" s="47"/>
      <c r="C668" s="47"/>
      <c r="D668" s="47"/>
      <c r="E668" s="47"/>
      <c r="F668" s="47"/>
    </row>
    <row r="669" ht="15.75" customHeight="1">
      <c r="A669" s="47"/>
      <c r="B669" s="47"/>
      <c r="C669" s="47"/>
      <c r="D669" s="47"/>
      <c r="E669" s="47"/>
      <c r="F669" s="47"/>
    </row>
    <row r="670" ht="15.75" customHeight="1">
      <c r="A670" s="47"/>
      <c r="B670" s="47"/>
      <c r="C670" s="47"/>
      <c r="D670" s="47"/>
      <c r="E670" s="47"/>
      <c r="F670" s="47"/>
    </row>
    <row r="671" ht="15.75" customHeight="1">
      <c r="A671" s="47"/>
      <c r="B671" s="47"/>
      <c r="C671" s="47"/>
      <c r="D671" s="47"/>
      <c r="E671" s="47"/>
      <c r="F671" s="47"/>
    </row>
    <row r="672" ht="15.75" customHeight="1">
      <c r="A672" s="47"/>
      <c r="B672" s="47"/>
      <c r="C672" s="47"/>
      <c r="D672" s="47"/>
      <c r="E672" s="47"/>
      <c r="F672" s="47"/>
    </row>
    <row r="673" ht="15.75" customHeight="1">
      <c r="A673" s="47"/>
      <c r="B673" s="47"/>
      <c r="C673" s="47"/>
      <c r="D673" s="47"/>
      <c r="E673" s="47"/>
      <c r="F673" s="47"/>
    </row>
    <row r="674" ht="15.75" customHeight="1">
      <c r="A674" s="47"/>
      <c r="B674" s="47"/>
      <c r="C674" s="47"/>
      <c r="D674" s="47"/>
      <c r="E674" s="47"/>
      <c r="F674" s="47"/>
    </row>
    <row r="675" ht="15.75" customHeight="1">
      <c r="A675" s="47"/>
      <c r="B675" s="47"/>
      <c r="C675" s="47"/>
      <c r="D675" s="47"/>
      <c r="E675" s="47"/>
      <c r="F675" s="47"/>
    </row>
    <row r="676" ht="15.75" customHeight="1">
      <c r="A676" s="47"/>
      <c r="B676" s="47"/>
      <c r="C676" s="47"/>
      <c r="D676" s="47"/>
      <c r="E676" s="47"/>
      <c r="F676" s="47"/>
    </row>
    <row r="677" ht="15.75" customHeight="1">
      <c r="A677" s="47"/>
      <c r="B677" s="47"/>
      <c r="C677" s="47"/>
      <c r="D677" s="47"/>
      <c r="E677" s="47"/>
      <c r="F677" s="47"/>
    </row>
    <row r="678" ht="15.75" customHeight="1">
      <c r="A678" s="47"/>
      <c r="B678" s="47"/>
      <c r="C678" s="47"/>
      <c r="D678" s="47"/>
      <c r="E678" s="47"/>
      <c r="F678" s="47"/>
    </row>
    <row r="679" ht="15.75" customHeight="1">
      <c r="A679" s="47"/>
      <c r="B679" s="47"/>
      <c r="C679" s="47"/>
      <c r="D679" s="47"/>
      <c r="E679" s="47"/>
      <c r="F679" s="47"/>
    </row>
    <row r="680" ht="15.75" customHeight="1">
      <c r="A680" s="47"/>
      <c r="B680" s="47"/>
      <c r="C680" s="47"/>
      <c r="D680" s="47"/>
      <c r="E680" s="47"/>
      <c r="F680" s="47"/>
    </row>
    <row r="681" ht="15.75" customHeight="1">
      <c r="A681" s="47"/>
      <c r="B681" s="47"/>
      <c r="C681" s="47"/>
      <c r="D681" s="47"/>
      <c r="E681" s="47"/>
      <c r="F681" s="47"/>
    </row>
    <row r="682" ht="15.75" customHeight="1">
      <c r="A682" s="47"/>
      <c r="B682" s="47"/>
      <c r="C682" s="47"/>
      <c r="D682" s="47"/>
      <c r="E682" s="47"/>
      <c r="F682" s="47"/>
    </row>
    <row r="683" ht="15.75" customHeight="1">
      <c r="A683" s="47"/>
      <c r="B683" s="47"/>
      <c r="C683" s="47"/>
      <c r="D683" s="47"/>
      <c r="E683" s="47"/>
      <c r="F683" s="47"/>
    </row>
    <row r="684" ht="15.75" customHeight="1">
      <c r="A684" s="47"/>
      <c r="B684" s="47"/>
      <c r="C684" s="47"/>
      <c r="D684" s="47"/>
      <c r="E684" s="47"/>
      <c r="F684" s="47"/>
    </row>
    <row r="685" ht="15.75" customHeight="1">
      <c r="A685" s="47"/>
      <c r="B685" s="47"/>
      <c r="C685" s="47"/>
      <c r="D685" s="47"/>
      <c r="E685" s="47"/>
      <c r="F685" s="47"/>
    </row>
    <row r="686" ht="15.75" customHeight="1">
      <c r="A686" s="47"/>
      <c r="B686" s="47"/>
      <c r="C686" s="47"/>
      <c r="D686" s="47"/>
      <c r="E686" s="47"/>
      <c r="F686" s="47"/>
    </row>
    <row r="687" ht="15.75" customHeight="1">
      <c r="A687" s="47"/>
      <c r="B687" s="47"/>
      <c r="C687" s="47"/>
      <c r="D687" s="47"/>
      <c r="E687" s="47"/>
      <c r="F687" s="47"/>
    </row>
    <row r="688" ht="15.75" customHeight="1">
      <c r="A688" s="47"/>
      <c r="B688" s="47"/>
      <c r="C688" s="47"/>
      <c r="D688" s="47"/>
      <c r="E688" s="47"/>
      <c r="F688" s="47"/>
    </row>
    <row r="689" ht="15.75" customHeight="1">
      <c r="A689" s="47"/>
      <c r="B689" s="47"/>
      <c r="C689" s="47"/>
      <c r="D689" s="47"/>
      <c r="E689" s="47"/>
      <c r="F689" s="47"/>
    </row>
    <row r="690" ht="15.75" customHeight="1">
      <c r="A690" s="47"/>
      <c r="B690" s="47"/>
      <c r="C690" s="47"/>
      <c r="D690" s="47"/>
      <c r="E690" s="47"/>
      <c r="F690" s="47"/>
    </row>
    <row r="691" ht="15.75" customHeight="1">
      <c r="A691" s="47"/>
      <c r="B691" s="47"/>
      <c r="C691" s="47"/>
      <c r="D691" s="47"/>
      <c r="E691" s="47"/>
      <c r="F691" s="47"/>
    </row>
    <row r="692" ht="15.75" customHeight="1">
      <c r="A692" s="47"/>
      <c r="B692" s="47"/>
      <c r="C692" s="47"/>
      <c r="D692" s="47"/>
      <c r="E692" s="47"/>
      <c r="F692" s="47"/>
    </row>
    <row r="693" ht="15.75" customHeight="1">
      <c r="A693" s="47"/>
      <c r="B693" s="47"/>
      <c r="C693" s="47"/>
      <c r="D693" s="47"/>
      <c r="E693" s="47"/>
      <c r="F693" s="47"/>
    </row>
    <row r="694" ht="15.75" customHeight="1">
      <c r="A694" s="47"/>
      <c r="B694" s="47"/>
      <c r="C694" s="47"/>
      <c r="D694" s="47"/>
      <c r="E694" s="47"/>
      <c r="F694" s="47"/>
    </row>
    <row r="695" ht="15.75" customHeight="1">
      <c r="A695" s="47"/>
      <c r="B695" s="47"/>
      <c r="C695" s="47"/>
      <c r="D695" s="47"/>
      <c r="E695" s="47"/>
      <c r="F695" s="47"/>
    </row>
    <row r="696" ht="15.75" customHeight="1">
      <c r="A696" s="47"/>
      <c r="B696" s="47"/>
      <c r="C696" s="47"/>
      <c r="D696" s="47"/>
      <c r="E696" s="47"/>
      <c r="F696" s="47"/>
    </row>
    <row r="697" ht="15.75" customHeight="1">
      <c r="A697" s="47"/>
      <c r="B697" s="47"/>
      <c r="C697" s="47"/>
      <c r="D697" s="47"/>
      <c r="E697" s="47"/>
      <c r="F697" s="47"/>
    </row>
    <row r="698" ht="15.75" customHeight="1">
      <c r="A698" s="47"/>
      <c r="B698" s="47"/>
      <c r="C698" s="47"/>
      <c r="D698" s="47"/>
      <c r="E698" s="47"/>
      <c r="F698" s="47"/>
    </row>
    <row r="699" ht="15.75" customHeight="1">
      <c r="A699" s="47"/>
      <c r="B699" s="47"/>
      <c r="C699" s="47"/>
      <c r="D699" s="47"/>
      <c r="E699" s="47"/>
      <c r="F699" s="47"/>
    </row>
    <row r="700" ht="15.75" customHeight="1">
      <c r="A700" s="47"/>
      <c r="B700" s="47"/>
      <c r="C700" s="47"/>
      <c r="D700" s="47"/>
      <c r="E700" s="47"/>
      <c r="F700" s="47"/>
    </row>
    <row r="701" ht="15.75" customHeight="1">
      <c r="A701" s="47"/>
      <c r="B701" s="47"/>
      <c r="C701" s="47"/>
      <c r="D701" s="47"/>
      <c r="E701" s="47"/>
      <c r="F701" s="47"/>
    </row>
    <row r="702" ht="15.75" customHeight="1">
      <c r="A702" s="47"/>
      <c r="B702" s="47"/>
      <c r="C702" s="47"/>
      <c r="D702" s="47"/>
      <c r="E702" s="47"/>
      <c r="F702" s="47"/>
    </row>
    <row r="703" ht="15.75" customHeight="1">
      <c r="A703" s="47"/>
      <c r="B703" s="47"/>
      <c r="C703" s="47"/>
      <c r="D703" s="47"/>
      <c r="E703" s="47"/>
      <c r="F703" s="47"/>
    </row>
    <row r="704" ht="15.75" customHeight="1">
      <c r="A704" s="47"/>
      <c r="B704" s="47"/>
      <c r="C704" s="47"/>
      <c r="D704" s="47"/>
      <c r="E704" s="47"/>
      <c r="F704" s="47"/>
    </row>
    <row r="705" ht="15.75" customHeight="1">
      <c r="A705" s="47"/>
      <c r="B705" s="47"/>
      <c r="C705" s="47"/>
      <c r="D705" s="47"/>
      <c r="E705" s="47"/>
      <c r="F705" s="47"/>
    </row>
    <row r="706" ht="15.75" customHeight="1">
      <c r="A706" s="47"/>
      <c r="B706" s="47"/>
      <c r="C706" s="47"/>
      <c r="D706" s="47"/>
      <c r="E706" s="47"/>
      <c r="F706" s="47"/>
    </row>
    <row r="707" ht="15.75" customHeight="1">
      <c r="A707" s="47"/>
      <c r="B707" s="47"/>
      <c r="C707" s="47"/>
      <c r="D707" s="47"/>
      <c r="E707" s="47"/>
      <c r="F707" s="47"/>
    </row>
    <row r="708" ht="15.75" customHeight="1">
      <c r="A708" s="47"/>
      <c r="B708" s="47"/>
      <c r="C708" s="47"/>
      <c r="D708" s="47"/>
      <c r="E708" s="47"/>
      <c r="F708" s="47"/>
    </row>
    <row r="709" ht="15.75" customHeight="1">
      <c r="A709" s="47"/>
      <c r="B709" s="47"/>
      <c r="C709" s="47"/>
      <c r="D709" s="47"/>
      <c r="E709" s="47"/>
      <c r="F709" s="47"/>
    </row>
    <row r="710" ht="15.75" customHeight="1">
      <c r="A710" s="47"/>
      <c r="B710" s="47"/>
      <c r="C710" s="47"/>
      <c r="D710" s="47"/>
      <c r="E710" s="47"/>
      <c r="F710" s="47"/>
    </row>
    <row r="711" ht="15.75" customHeight="1">
      <c r="A711" s="47"/>
      <c r="B711" s="47"/>
      <c r="C711" s="47"/>
      <c r="D711" s="47"/>
      <c r="E711" s="47"/>
      <c r="F711" s="47"/>
    </row>
    <row r="712" ht="15.75" customHeight="1">
      <c r="A712" s="47"/>
      <c r="B712" s="47"/>
      <c r="C712" s="47"/>
      <c r="D712" s="47"/>
      <c r="E712" s="47"/>
      <c r="F712" s="47"/>
    </row>
    <row r="713" ht="15.75" customHeight="1">
      <c r="A713" s="47"/>
      <c r="B713" s="47"/>
      <c r="C713" s="47"/>
      <c r="D713" s="47"/>
      <c r="E713" s="47"/>
      <c r="F713" s="47"/>
    </row>
    <row r="714" ht="15.75" customHeight="1">
      <c r="A714" s="47"/>
      <c r="B714" s="47"/>
      <c r="C714" s="47"/>
      <c r="D714" s="47"/>
      <c r="E714" s="47"/>
      <c r="F714" s="47"/>
    </row>
    <row r="715" ht="15.75" customHeight="1">
      <c r="A715" s="47"/>
      <c r="B715" s="47"/>
      <c r="C715" s="47"/>
      <c r="D715" s="47"/>
      <c r="E715" s="47"/>
      <c r="F715" s="47"/>
    </row>
    <row r="716" ht="15.75" customHeight="1">
      <c r="A716" s="47"/>
      <c r="B716" s="47"/>
      <c r="C716" s="47"/>
      <c r="D716" s="47"/>
      <c r="E716" s="47"/>
      <c r="F716" s="47"/>
    </row>
    <row r="717" ht="15.75" customHeight="1">
      <c r="A717" s="47"/>
      <c r="B717" s="47"/>
      <c r="C717" s="47"/>
      <c r="D717" s="47"/>
      <c r="E717" s="47"/>
      <c r="F717" s="47"/>
    </row>
    <row r="718" ht="15.75" customHeight="1">
      <c r="A718" s="47"/>
      <c r="B718" s="47"/>
      <c r="C718" s="47"/>
      <c r="D718" s="47"/>
      <c r="E718" s="47"/>
      <c r="F718" s="47"/>
    </row>
    <row r="719" ht="15.75" customHeight="1">
      <c r="A719" s="47"/>
      <c r="B719" s="47"/>
      <c r="C719" s="47"/>
      <c r="D719" s="47"/>
      <c r="E719" s="47"/>
      <c r="F719" s="47"/>
    </row>
    <row r="720" ht="15.75" customHeight="1">
      <c r="A720" s="47"/>
      <c r="B720" s="47"/>
      <c r="C720" s="47"/>
      <c r="D720" s="47"/>
      <c r="E720" s="47"/>
      <c r="F720" s="47"/>
    </row>
    <row r="721" ht="15.75" customHeight="1">
      <c r="A721" s="47"/>
      <c r="B721" s="47"/>
      <c r="C721" s="47"/>
      <c r="D721" s="47"/>
      <c r="E721" s="47"/>
      <c r="F721" s="47"/>
    </row>
    <row r="722" ht="15.75" customHeight="1">
      <c r="A722" s="47"/>
      <c r="B722" s="47"/>
      <c r="C722" s="47"/>
      <c r="D722" s="47"/>
      <c r="E722" s="47"/>
      <c r="F722" s="47"/>
    </row>
    <row r="723" ht="15.75" customHeight="1">
      <c r="A723" s="47"/>
      <c r="B723" s="47"/>
      <c r="C723" s="47"/>
      <c r="D723" s="47"/>
      <c r="E723" s="47"/>
      <c r="F723" s="47"/>
    </row>
    <row r="724" ht="15.75" customHeight="1">
      <c r="A724" s="47"/>
      <c r="B724" s="47"/>
      <c r="C724" s="47"/>
      <c r="D724" s="47"/>
      <c r="E724" s="47"/>
      <c r="F724" s="47"/>
    </row>
    <row r="725" ht="15.75" customHeight="1">
      <c r="A725" s="47"/>
      <c r="B725" s="47"/>
      <c r="C725" s="47"/>
      <c r="D725" s="47"/>
      <c r="E725" s="47"/>
      <c r="F725" s="47"/>
    </row>
    <row r="726" ht="15.75" customHeight="1">
      <c r="A726" s="47"/>
      <c r="B726" s="47"/>
      <c r="C726" s="47"/>
      <c r="D726" s="47"/>
      <c r="E726" s="47"/>
      <c r="F726" s="47"/>
    </row>
    <row r="727" ht="15.75" customHeight="1">
      <c r="A727" s="47"/>
      <c r="B727" s="47"/>
      <c r="C727" s="47"/>
      <c r="D727" s="47"/>
      <c r="E727" s="47"/>
      <c r="F727" s="47"/>
    </row>
    <row r="728" ht="15.75" customHeight="1">
      <c r="A728" s="47"/>
      <c r="B728" s="47"/>
      <c r="C728" s="47"/>
      <c r="D728" s="47"/>
      <c r="E728" s="47"/>
      <c r="F728" s="47"/>
    </row>
    <row r="729" ht="15.75" customHeight="1">
      <c r="A729" s="47"/>
      <c r="B729" s="47"/>
      <c r="C729" s="47"/>
      <c r="D729" s="47"/>
      <c r="E729" s="47"/>
      <c r="F729" s="47"/>
    </row>
    <row r="730" ht="15.75" customHeight="1">
      <c r="A730" s="47"/>
      <c r="B730" s="47"/>
      <c r="C730" s="47"/>
      <c r="D730" s="47"/>
      <c r="E730" s="47"/>
      <c r="F730" s="47"/>
    </row>
    <row r="731" ht="15.75" customHeight="1">
      <c r="A731" s="47"/>
      <c r="B731" s="47"/>
      <c r="C731" s="47"/>
      <c r="D731" s="47"/>
      <c r="E731" s="47"/>
      <c r="F731" s="47"/>
    </row>
    <row r="732" ht="15.75" customHeight="1">
      <c r="A732" s="47"/>
      <c r="B732" s="47"/>
      <c r="C732" s="47"/>
      <c r="D732" s="47"/>
      <c r="E732" s="47"/>
      <c r="F732" s="47"/>
    </row>
    <row r="733" ht="15.75" customHeight="1">
      <c r="A733" s="47"/>
      <c r="B733" s="47"/>
      <c r="C733" s="47"/>
      <c r="D733" s="47"/>
      <c r="E733" s="47"/>
      <c r="F733" s="47"/>
    </row>
    <row r="734" ht="15.75" customHeight="1">
      <c r="A734" s="47"/>
      <c r="B734" s="47"/>
      <c r="C734" s="47"/>
      <c r="D734" s="47"/>
      <c r="E734" s="47"/>
      <c r="F734" s="47"/>
    </row>
    <row r="735" ht="15.75" customHeight="1">
      <c r="A735" s="47"/>
      <c r="B735" s="47"/>
      <c r="C735" s="47"/>
      <c r="D735" s="47"/>
      <c r="E735" s="47"/>
      <c r="F735" s="47"/>
    </row>
    <row r="736" ht="15.75" customHeight="1">
      <c r="A736" s="47"/>
      <c r="B736" s="47"/>
      <c r="C736" s="47"/>
      <c r="D736" s="47"/>
      <c r="E736" s="47"/>
      <c r="F736" s="47"/>
    </row>
    <row r="737" ht="15.75" customHeight="1">
      <c r="A737" s="47"/>
      <c r="B737" s="47"/>
      <c r="C737" s="47"/>
      <c r="D737" s="47"/>
      <c r="E737" s="47"/>
      <c r="F737" s="47"/>
    </row>
    <row r="738" ht="15.75" customHeight="1">
      <c r="A738" s="47"/>
      <c r="B738" s="47"/>
      <c r="C738" s="47"/>
      <c r="D738" s="47"/>
      <c r="E738" s="47"/>
      <c r="F738" s="47"/>
    </row>
    <row r="739" ht="15.75" customHeight="1">
      <c r="A739" s="47"/>
      <c r="B739" s="47"/>
      <c r="C739" s="47"/>
      <c r="D739" s="47"/>
      <c r="E739" s="47"/>
      <c r="F739" s="47"/>
    </row>
    <row r="740" ht="15.75" customHeight="1">
      <c r="A740" s="47"/>
      <c r="B740" s="47"/>
      <c r="C740" s="47"/>
      <c r="D740" s="47"/>
      <c r="E740" s="47"/>
      <c r="F740" s="47"/>
    </row>
    <row r="741" ht="15.75" customHeight="1">
      <c r="A741" s="47"/>
      <c r="B741" s="47"/>
      <c r="C741" s="47"/>
      <c r="D741" s="47"/>
      <c r="E741" s="47"/>
      <c r="F741" s="47"/>
    </row>
    <row r="742" ht="15.75" customHeight="1">
      <c r="A742" s="47"/>
      <c r="B742" s="47"/>
      <c r="C742" s="47"/>
      <c r="D742" s="47"/>
      <c r="E742" s="47"/>
      <c r="F742" s="47"/>
    </row>
    <row r="743" ht="15.75" customHeight="1">
      <c r="A743" s="47"/>
      <c r="B743" s="47"/>
      <c r="C743" s="47"/>
      <c r="D743" s="47"/>
      <c r="E743" s="47"/>
      <c r="F743" s="47"/>
    </row>
    <row r="744" ht="15.75" customHeight="1">
      <c r="A744" s="47"/>
      <c r="B744" s="47"/>
      <c r="C744" s="47"/>
      <c r="D744" s="47"/>
      <c r="E744" s="47"/>
      <c r="F744" s="47"/>
    </row>
    <row r="745" ht="15.75" customHeight="1">
      <c r="A745" s="47"/>
      <c r="B745" s="47"/>
      <c r="C745" s="47"/>
      <c r="D745" s="47"/>
      <c r="E745" s="47"/>
      <c r="F745" s="47"/>
    </row>
    <row r="746" ht="15.75" customHeight="1">
      <c r="A746" s="47"/>
      <c r="B746" s="47"/>
      <c r="C746" s="47"/>
      <c r="D746" s="47"/>
      <c r="E746" s="47"/>
      <c r="F746" s="47"/>
    </row>
    <row r="747" ht="15.75" customHeight="1">
      <c r="A747" s="47"/>
      <c r="B747" s="47"/>
      <c r="C747" s="47"/>
      <c r="D747" s="47"/>
      <c r="E747" s="47"/>
      <c r="F747" s="47"/>
    </row>
    <row r="748" ht="15.75" customHeight="1">
      <c r="A748" s="47"/>
      <c r="B748" s="47"/>
      <c r="C748" s="47"/>
      <c r="D748" s="47"/>
      <c r="E748" s="47"/>
      <c r="F748" s="47"/>
    </row>
    <row r="749" ht="15.75" customHeight="1">
      <c r="A749" s="47"/>
      <c r="B749" s="47"/>
      <c r="C749" s="47"/>
      <c r="D749" s="47"/>
      <c r="E749" s="47"/>
      <c r="F749" s="47"/>
    </row>
    <row r="750" ht="15.75" customHeight="1">
      <c r="A750" s="47"/>
      <c r="B750" s="47"/>
      <c r="C750" s="47"/>
      <c r="D750" s="47"/>
      <c r="E750" s="47"/>
      <c r="F750" s="47"/>
    </row>
    <row r="751" ht="15.75" customHeight="1">
      <c r="A751" s="47"/>
      <c r="B751" s="47"/>
      <c r="C751" s="47"/>
      <c r="D751" s="47"/>
      <c r="E751" s="47"/>
      <c r="F751" s="47"/>
    </row>
    <row r="752" ht="15.75" customHeight="1">
      <c r="A752" s="47"/>
      <c r="B752" s="47"/>
      <c r="C752" s="47"/>
      <c r="D752" s="47"/>
      <c r="E752" s="47"/>
      <c r="F752" s="47"/>
    </row>
    <row r="753" ht="15.75" customHeight="1">
      <c r="A753" s="47"/>
      <c r="B753" s="47"/>
      <c r="C753" s="47"/>
      <c r="D753" s="47"/>
      <c r="E753" s="47"/>
      <c r="F753" s="47"/>
    </row>
    <row r="754" ht="15.75" customHeight="1">
      <c r="A754" s="47"/>
      <c r="B754" s="47"/>
      <c r="C754" s="47"/>
      <c r="D754" s="47"/>
      <c r="E754" s="47"/>
      <c r="F754" s="47"/>
    </row>
    <row r="755" ht="15.75" customHeight="1">
      <c r="A755" s="47"/>
      <c r="B755" s="47"/>
      <c r="C755" s="47"/>
      <c r="D755" s="47"/>
      <c r="E755" s="47"/>
      <c r="F755" s="47"/>
    </row>
    <row r="756" ht="15.75" customHeight="1">
      <c r="A756" s="47"/>
      <c r="B756" s="47"/>
      <c r="C756" s="47"/>
      <c r="D756" s="47"/>
      <c r="E756" s="47"/>
      <c r="F756" s="47"/>
    </row>
    <row r="757" ht="15.75" customHeight="1">
      <c r="A757" s="47"/>
      <c r="B757" s="47"/>
      <c r="C757" s="47"/>
      <c r="D757" s="47"/>
      <c r="E757" s="47"/>
      <c r="F757" s="47"/>
    </row>
    <row r="758" ht="15.75" customHeight="1">
      <c r="A758" s="47"/>
      <c r="B758" s="47"/>
      <c r="C758" s="47"/>
      <c r="D758" s="47"/>
      <c r="E758" s="47"/>
      <c r="F758" s="47"/>
    </row>
    <row r="759" ht="15.75" customHeight="1">
      <c r="A759" s="47"/>
      <c r="B759" s="47"/>
      <c r="C759" s="47"/>
      <c r="D759" s="47"/>
      <c r="E759" s="47"/>
      <c r="F759" s="47"/>
    </row>
    <row r="760" ht="15.75" customHeight="1">
      <c r="A760" s="47"/>
      <c r="B760" s="47"/>
      <c r="C760" s="47"/>
      <c r="D760" s="47"/>
      <c r="E760" s="47"/>
      <c r="F760" s="47"/>
    </row>
    <row r="761" ht="15.75" customHeight="1">
      <c r="A761" s="47"/>
      <c r="B761" s="47"/>
      <c r="C761" s="47"/>
      <c r="D761" s="47"/>
      <c r="E761" s="47"/>
      <c r="F761" s="47"/>
    </row>
    <row r="762" ht="15.75" customHeight="1">
      <c r="A762" s="47"/>
      <c r="B762" s="47"/>
      <c r="C762" s="47"/>
      <c r="D762" s="47"/>
      <c r="E762" s="47"/>
      <c r="F762" s="47"/>
    </row>
    <row r="763" ht="15.75" customHeight="1">
      <c r="A763" s="47"/>
      <c r="B763" s="47"/>
      <c r="C763" s="47"/>
      <c r="D763" s="47"/>
      <c r="E763" s="47"/>
      <c r="F763" s="47"/>
    </row>
    <row r="764" ht="15.75" customHeight="1">
      <c r="A764" s="47"/>
      <c r="B764" s="47"/>
      <c r="C764" s="47"/>
      <c r="D764" s="47"/>
      <c r="E764" s="47"/>
      <c r="F764" s="47"/>
    </row>
    <row r="765" ht="15.75" customHeight="1">
      <c r="A765" s="47"/>
      <c r="B765" s="47"/>
      <c r="C765" s="47"/>
      <c r="D765" s="47"/>
      <c r="E765" s="47"/>
      <c r="F765" s="47"/>
    </row>
    <row r="766" ht="15.75" customHeight="1">
      <c r="A766" s="47"/>
      <c r="B766" s="47"/>
      <c r="C766" s="47"/>
      <c r="D766" s="47"/>
      <c r="E766" s="47"/>
      <c r="F766" s="47"/>
    </row>
    <row r="767" ht="15.75" customHeight="1">
      <c r="A767" s="47"/>
      <c r="B767" s="47"/>
      <c r="C767" s="47"/>
      <c r="D767" s="47"/>
      <c r="E767" s="47"/>
      <c r="F767" s="47"/>
    </row>
    <row r="768" ht="15.75" customHeight="1">
      <c r="A768" s="47"/>
      <c r="B768" s="47"/>
      <c r="C768" s="47"/>
      <c r="D768" s="47"/>
      <c r="E768" s="47"/>
      <c r="F768" s="47"/>
    </row>
    <row r="769" ht="15.75" customHeight="1">
      <c r="A769" s="47"/>
      <c r="B769" s="47"/>
      <c r="C769" s="47"/>
      <c r="D769" s="47"/>
      <c r="E769" s="47"/>
      <c r="F769" s="47"/>
    </row>
    <row r="770" ht="15.75" customHeight="1">
      <c r="A770" s="47"/>
      <c r="B770" s="47"/>
      <c r="C770" s="47"/>
      <c r="D770" s="47"/>
      <c r="E770" s="47"/>
      <c r="F770" s="47"/>
    </row>
    <row r="771" ht="15.75" customHeight="1">
      <c r="A771" s="47"/>
      <c r="B771" s="47"/>
      <c r="C771" s="47"/>
      <c r="D771" s="47"/>
      <c r="E771" s="47"/>
      <c r="F771" s="47"/>
    </row>
    <row r="772" ht="15.75" customHeight="1">
      <c r="A772" s="47"/>
      <c r="B772" s="47"/>
      <c r="C772" s="47"/>
      <c r="D772" s="47"/>
      <c r="E772" s="47"/>
      <c r="F772" s="47"/>
    </row>
    <row r="773" ht="15.75" customHeight="1">
      <c r="A773" s="47"/>
      <c r="B773" s="47"/>
      <c r="C773" s="47"/>
      <c r="D773" s="47"/>
      <c r="E773" s="47"/>
      <c r="F773" s="47"/>
    </row>
    <row r="774" ht="15.75" customHeight="1">
      <c r="A774" s="47"/>
      <c r="B774" s="47"/>
      <c r="C774" s="47"/>
      <c r="D774" s="47"/>
      <c r="E774" s="47"/>
      <c r="F774" s="47"/>
    </row>
    <row r="775" ht="15.75" customHeight="1">
      <c r="A775" s="47"/>
      <c r="B775" s="47"/>
      <c r="C775" s="47"/>
      <c r="D775" s="47"/>
      <c r="E775" s="47"/>
      <c r="F775" s="47"/>
    </row>
    <row r="776" ht="15.75" customHeight="1">
      <c r="A776" s="47"/>
      <c r="B776" s="47"/>
      <c r="C776" s="47"/>
      <c r="D776" s="47"/>
      <c r="E776" s="47"/>
      <c r="F776" s="47"/>
    </row>
    <row r="777" ht="15.75" customHeight="1">
      <c r="A777" s="47"/>
      <c r="B777" s="47"/>
      <c r="C777" s="47"/>
      <c r="D777" s="47"/>
      <c r="E777" s="47"/>
      <c r="F777" s="47"/>
    </row>
    <row r="778" ht="15.75" customHeight="1">
      <c r="A778" s="47"/>
      <c r="B778" s="47"/>
      <c r="C778" s="47"/>
      <c r="D778" s="47"/>
      <c r="E778" s="47"/>
      <c r="F778" s="47"/>
    </row>
    <row r="779" ht="15.75" customHeight="1">
      <c r="A779" s="47"/>
      <c r="B779" s="47"/>
      <c r="C779" s="47"/>
      <c r="D779" s="47"/>
      <c r="E779" s="47"/>
      <c r="F779" s="47"/>
    </row>
    <row r="780" ht="15.75" customHeight="1">
      <c r="A780" s="47"/>
      <c r="B780" s="47"/>
      <c r="C780" s="47"/>
      <c r="D780" s="47"/>
      <c r="E780" s="47"/>
      <c r="F780" s="47"/>
    </row>
    <row r="781" ht="15.75" customHeight="1">
      <c r="A781" s="47"/>
      <c r="B781" s="47"/>
      <c r="C781" s="47"/>
      <c r="D781" s="47"/>
      <c r="E781" s="47"/>
      <c r="F781" s="47"/>
    </row>
    <row r="782" ht="15.75" customHeight="1">
      <c r="A782" s="47"/>
      <c r="B782" s="47"/>
      <c r="C782" s="47"/>
      <c r="D782" s="47"/>
      <c r="E782" s="47"/>
      <c r="F782" s="47"/>
    </row>
    <row r="783" ht="15.75" customHeight="1">
      <c r="A783" s="47"/>
      <c r="B783" s="47"/>
      <c r="C783" s="47"/>
      <c r="D783" s="47"/>
      <c r="E783" s="47"/>
      <c r="F783" s="47"/>
    </row>
    <row r="784" ht="15.75" customHeight="1">
      <c r="A784" s="47"/>
      <c r="B784" s="47"/>
      <c r="C784" s="47"/>
      <c r="D784" s="47"/>
      <c r="E784" s="47"/>
      <c r="F784" s="47"/>
    </row>
    <row r="785" ht="15.75" customHeight="1">
      <c r="A785" s="47"/>
      <c r="B785" s="47"/>
      <c r="C785" s="47"/>
      <c r="D785" s="47"/>
      <c r="E785" s="47"/>
      <c r="F785" s="47"/>
    </row>
    <row r="786" ht="15.75" customHeight="1">
      <c r="A786" s="47"/>
      <c r="B786" s="47"/>
      <c r="C786" s="47"/>
      <c r="D786" s="47"/>
      <c r="E786" s="47"/>
      <c r="F786" s="47"/>
    </row>
    <row r="787" ht="15.75" customHeight="1">
      <c r="A787" s="47"/>
      <c r="B787" s="47"/>
      <c r="C787" s="47"/>
      <c r="D787" s="47"/>
      <c r="E787" s="47"/>
      <c r="F787" s="47"/>
    </row>
    <row r="788" ht="15.75" customHeight="1">
      <c r="A788" s="47"/>
      <c r="B788" s="47"/>
      <c r="C788" s="47"/>
      <c r="D788" s="47"/>
      <c r="E788" s="47"/>
      <c r="F788" s="47"/>
    </row>
    <row r="789" ht="15.75" customHeight="1">
      <c r="A789" s="47"/>
      <c r="B789" s="47"/>
      <c r="C789" s="47"/>
      <c r="D789" s="47"/>
      <c r="E789" s="47"/>
      <c r="F789" s="47"/>
    </row>
    <row r="790" ht="15.75" customHeight="1">
      <c r="A790" s="47"/>
      <c r="B790" s="47"/>
      <c r="C790" s="47"/>
      <c r="D790" s="47"/>
      <c r="E790" s="47"/>
      <c r="F790" s="47"/>
    </row>
    <row r="791" ht="15.75" customHeight="1">
      <c r="A791" s="47"/>
      <c r="B791" s="47"/>
      <c r="C791" s="47"/>
      <c r="D791" s="47"/>
      <c r="E791" s="47"/>
      <c r="F791" s="47"/>
    </row>
    <row r="792" ht="15.75" customHeight="1">
      <c r="A792" s="47"/>
      <c r="B792" s="47"/>
      <c r="C792" s="47"/>
      <c r="D792" s="47"/>
      <c r="E792" s="47"/>
      <c r="F792" s="47"/>
    </row>
    <row r="793" ht="15.75" customHeight="1">
      <c r="A793" s="47"/>
      <c r="B793" s="47"/>
      <c r="C793" s="47"/>
      <c r="D793" s="47"/>
      <c r="E793" s="47"/>
      <c r="F793" s="47"/>
    </row>
    <row r="794" ht="15.75" customHeight="1">
      <c r="A794" s="47"/>
      <c r="B794" s="47"/>
      <c r="C794" s="47"/>
      <c r="D794" s="47"/>
      <c r="E794" s="47"/>
      <c r="F794" s="47"/>
    </row>
    <row r="795" ht="15.75" customHeight="1">
      <c r="A795" s="47"/>
      <c r="B795" s="47"/>
      <c r="C795" s="47"/>
      <c r="D795" s="47"/>
      <c r="E795" s="47"/>
      <c r="F795" s="47"/>
    </row>
    <row r="796" ht="15.75" customHeight="1">
      <c r="A796" s="47"/>
      <c r="B796" s="47"/>
      <c r="C796" s="47"/>
      <c r="D796" s="47"/>
      <c r="E796" s="47"/>
      <c r="F796" s="47"/>
    </row>
    <row r="797" ht="15.75" customHeight="1">
      <c r="A797" s="47"/>
      <c r="B797" s="47"/>
      <c r="C797" s="47"/>
      <c r="D797" s="47"/>
      <c r="E797" s="47"/>
      <c r="F797" s="47"/>
    </row>
    <row r="798" ht="15.75" customHeight="1">
      <c r="A798" s="47"/>
      <c r="B798" s="47"/>
      <c r="C798" s="47"/>
      <c r="D798" s="47"/>
      <c r="E798" s="47"/>
      <c r="F798" s="47"/>
    </row>
    <row r="799" ht="15.75" customHeight="1">
      <c r="A799" s="47"/>
      <c r="B799" s="47"/>
      <c r="C799" s="47"/>
      <c r="D799" s="47"/>
      <c r="E799" s="47"/>
      <c r="F799" s="47"/>
    </row>
    <row r="800" ht="15.75" customHeight="1">
      <c r="A800" s="47"/>
      <c r="B800" s="47"/>
      <c r="C800" s="47"/>
      <c r="D800" s="47"/>
      <c r="E800" s="47"/>
      <c r="F800" s="47"/>
    </row>
    <row r="801" ht="15.75" customHeight="1">
      <c r="A801" s="47"/>
      <c r="B801" s="47"/>
      <c r="C801" s="47"/>
      <c r="D801" s="47"/>
      <c r="E801" s="47"/>
      <c r="F801" s="47"/>
    </row>
    <row r="802" ht="15.75" customHeight="1">
      <c r="A802" s="47"/>
      <c r="B802" s="47"/>
      <c r="C802" s="47"/>
      <c r="D802" s="47"/>
      <c r="E802" s="47"/>
      <c r="F802" s="47"/>
    </row>
    <row r="803" ht="15.75" customHeight="1">
      <c r="A803" s="47"/>
      <c r="B803" s="47"/>
      <c r="C803" s="47"/>
      <c r="D803" s="47"/>
      <c r="E803" s="47"/>
      <c r="F803" s="47"/>
    </row>
    <row r="804" ht="15.75" customHeight="1">
      <c r="A804" s="47"/>
      <c r="B804" s="47"/>
      <c r="C804" s="47"/>
      <c r="D804" s="47"/>
      <c r="E804" s="47"/>
      <c r="F804" s="47"/>
    </row>
    <row r="805" ht="15.75" customHeight="1">
      <c r="A805" s="47"/>
      <c r="B805" s="47"/>
      <c r="C805" s="47"/>
      <c r="D805" s="47"/>
      <c r="E805" s="47"/>
      <c r="F805" s="47"/>
    </row>
    <row r="806" ht="15.75" customHeight="1">
      <c r="A806" s="47"/>
      <c r="B806" s="47"/>
      <c r="C806" s="47"/>
      <c r="D806" s="47"/>
      <c r="E806" s="47"/>
      <c r="F806" s="47"/>
    </row>
    <row r="807" ht="15.75" customHeight="1">
      <c r="A807" s="47"/>
      <c r="B807" s="47"/>
      <c r="C807" s="47"/>
      <c r="D807" s="47"/>
      <c r="E807" s="47"/>
      <c r="F807" s="47"/>
    </row>
    <row r="808" ht="15.75" customHeight="1">
      <c r="A808" s="47"/>
      <c r="B808" s="47"/>
      <c r="C808" s="47"/>
      <c r="D808" s="47"/>
      <c r="E808" s="47"/>
      <c r="F808" s="47"/>
    </row>
    <row r="809" ht="15.75" customHeight="1">
      <c r="A809" s="47"/>
      <c r="B809" s="47"/>
      <c r="C809" s="47"/>
      <c r="D809" s="47"/>
      <c r="E809" s="47"/>
      <c r="F809" s="47"/>
    </row>
    <row r="810" ht="15.75" customHeight="1">
      <c r="A810" s="47"/>
      <c r="B810" s="47"/>
      <c r="C810" s="47"/>
      <c r="D810" s="47"/>
      <c r="E810" s="47"/>
      <c r="F810" s="47"/>
    </row>
    <row r="811" ht="15.75" customHeight="1">
      <c r="A811" s="47"/>
      <c r="B811" s="47"/>
      <c r="C811" s="47"/>
      <c r="D811" s="47"/>
      <c r="E811" s="47"/>
      <c r="F811" s="47"/>
    </row>
    <row r="812" ht="15.75" customHeight="1">
      <c r="A812" s="47"/>
      <c r="B812" s="47"/>
      <c r="C812" s="47"/>
      <c r="D812" s="47"/>
      <c r="E812" s="47"/>
      <c r="F812" s="47"/>
    </row>
    <row r="813" ht="15.75" customHeight="1">
      <c r="A813" s="47"/>
      <c r="B813" s="47"/>
      <c r="C813" s="47"/>
      <c r="D813" s="47"/>
      <c r="E813" s="47"/>
      <c r="F813" s="47"/>
    </row>
    <row r="814" ht="15.75" customHeight="1">
      <c r="A814" s="47"/>
      <c r="B814" s="47"/>
      <c r="C814" s="47"/>
      <c r="D814" s="47"/>
      <c r="E814" s="47"/>
      <c r="F814" s="47"/>
    </row>
    <row r="815" ht="15.75" customHeight="1">
      <c r="A815" s="47"/>
      <c r="B815" s="47"/>
      <c r="C815" s="47"/>
      <c r="D815" s="47"/>
      <c r="E815" s="47"/>
      <c r="F815" s="47"/>
    </row>
    <row r="816" ht="15.75" customHeight="1">
      <c r="A816" s="47"/>
      <c r="B816" s="47"/>
      <c r="C816" s="47"/>
      <c r="D816" s="47"/>
      <c r="E816" s="47"/>
      <c r="F816" s="47"/>
    </row>
    <row r="817" ht="15.75" customHeight="1">
      <c r="A817" s="47"/>
      <c r="B817" s="47"/>
      <c r="C817" s="47"/>
      <c r="D817" s="47"/>
      <c r="E817" s="47"/>
      <c r="F817" s="47"/>
    </row>
    <row r="818" ht="15.75" customHeight="1">
      <c r="A818" s="47"/>
      <c r="B818" s="47"/>
      <c r="C818" s="47"/>
      <c r="D818" s="47"/>
      <c r="E818" s="47"/>
      <c r="F818" s="47"/>
    </row>
    <row r="819" ht="15.75" customHeight="1">
      <c r="A819" s="47"/>
      <c r="B819" s="47"/>
      <c r="C819" s="47"/>
      <c r="D819" s="47"/>
      <c r="E819" s="47"/>
      <c r="F819" s="47"/>
    </row>
    <row r="820" ht="15.75" customHeight="1">
      <c r="A820" s="47"/>
      <c r="B820" s="47"/>
      <c r="C820" s="47"/>
      <c r="D820" s="47"/>
      <c r="E820" s="47"/>
      <c r="F820" s="47"/>
    </row>
    <row r="821" ht="15.75" customHeight="1">
      <c r="A821" s="47"/>
      <c r="B821" s="47"/>
      <c r="C821" s="47"/>
      <c r="D821" s="47"/>
      <c r="E821" s="47"/>
      <c r="F821" s="47"/>
    </row>
    <row r="822" ht="15.75" customHeight="1">
      <c r="A822" s="47"/>
      <c r="B822" s="47"/>
      <c r="C822" s="47"/>
      <c r="D822" s="47"/>
      <c r="E822" s="47"/>
      <c r="F822" s="47"/>
    </row>
    <row r="823" ht="15.75" customHeight="1">
      <c r="A823" s="47"/>
      <c r="B823" s="47"/>
      <c r="C823" s="47"/>
      <c r="D823" s="47"/>
      <c r="E823" s="47"/>
      <c r="F823" s="47"/>
    </row>
    <row r="824" ht="15.75" customHeight="1">
      <c r="A824" s="47"/>
      <c r="B824" s="47"/>
      <c r="C824" s="47"/>
      <c r="D824" s="47"/>
      <c r="E824" s="47"/>
      <c r="F824" s="47"/>
    </row>
    <row r="825" ht="15.75" customHeight="1">
      <c r="A825" s="47"/>
      <c r="B825" s="47"/>
      <c r="C825" s="47"/>
      <c r="D825" s="47"/>
      <c r="E825" s="47"/>
      <c r="F825" s="47"/>
    </row>
    <row r="826" ht="15.75" customHeight="1">
      <c r="A826" s="47"/>
      <c r="B826" s="47"/>
      <c r="C826" s="47"/>
      <c r="D826" s="47"/>
      <c r="E826" s="47"/>
      <c r="F826" s="47"/>
    </row>
    <row r="827" ht="15.75" customHeight="1">
      <c r="A827" s="47"/>
      <c r="B827" s="47"/>
      <c r="C827" s="47"/>
      <c r="D827" s="47"/>
      <c r="E827" s="47"/>
      <c r="F827" s="47"/>
    </row>
    <row r="828" ht="15.75" customHeight="1">
      <c r="A828" s="47"/>
      <c r="B828" s="47"/>
      <c r="C828" s="47"/>
      <c r="D828" s="47"/>
      <c r="E828" s="47"/>
      <c r="F828" s="47"/>
    </row>
    <row r="829" ht="15.75" customHeight="1">
      <c r="A829" s="47"/>
      <c r="B829" s="47"/>
      <c r="C829" s="47"/>
      <c r="D829" s="47"/>
      <c r="E829" s="47"/>
      <c r="F829" s="47"/>
    </row>
    <row r="830" ht="15.75" customHeight="1">
      <c r="A830" s="47"/>
      <c r="B830" s="47"/>
      <c r="C830" s="47"/>
      <c r="D830" s="47"/>
      <c r="E830" s="47"/>
      <c r="F830" s="47"/>
    </row>
    <row r="831" ht="15.75" customHeight="1">
      <c r="A831" s="47"/>
      <c r="B831" s="47"/>
      <c r="C831" s="47"/>
      <c r="D831" s="47"/>
      <c r="E831" s="47"/>
      <c r="F831" s="47"/>
    </row>
    <row r="832" ht="15.75" customHeight="1">
      <c r="A832" s="47"/>
      <c r="B832" s="47"/>
      <c r="C832" s="47"/>
      <c r="D832" s="47"/>
      <c r="E832" s="47"/>
      <c r="F832" s="47"/>
    </row>
    <row r="833" ht="15.75" customHeight="1">
      <c r="A833" s="47"/>
      <c r="B833" s="47"/>
      <c r="C833" s="47"/>
      <c r="D833" s="47"/>
      <c r="E833" s="47"/>
      <c r="F833" s="47"/>
    </row>
    <row r="834" ht="15.75" customHeight="1">
      <c r="A834" s="47"/>
      <c r="B834" s="47"/>
      <c r="C834" s="47"/>
      <c r="D834" s="47"/>
      <c r="E834" s="47"/>
      <c r="F834" s="47"/>
    </row>
    <row r="835" ht="15.75" customHeight="1">
      <c r="A835" s="47"/>
      <c r="B835" s="47"/>
      <c r="C835" s="47"/>
      <c r="D835" s="47"/>
      <c r="E835" s="47"/>
      <c r="F835" s="47"/>
    </row>
    <row r="836" ht="15.75" customHeight="1">
      <c r="A836" s="47"/>
      <c r="B836" s="47"/>
      <c r="C836" s="47"/>
      <c r="D836" s="47"/>
      <c r="E836" s="47"/>
      <c r="F836" s="47"/>
    </row>
    <row r="837" ht="15.75" customHeight="1">
      <c r="A837" s="47"/>
      <c r="B837" s="47"/>
      <c r="C837" s="47"/>
      <c r="D837" s="47"/>
      <c r="E837" s="47"/>
      <c r="F837" s="47"/>
    </row>
    <row r="838" ht="15.75" customHeight="1">
      <c r="A838" s="47"/>
      <c r="B838" s="47"/>
      <c r="C838" s="47"/>
      <c r="D838" s="47"/>
      <c r="E838" s="47"/>
      <c r="F838" s="47"/>
    </row>
    <row r="839" ht="15.75" customHeight="1">
      <c r="A839" s="47"/>
      <c r="B839" s="47"/>
      <c r="C839" s="47"/>
      <c r="D839" s="47"/>
      <c r="E839" s="47"/>
      <c r="F839" s="47"/>
    </row>
    <row r="840" ht="15.75" customHeight="1">
      <c r="A840" s="47"/>
      <c r="B840" s="47"/>
      <c r="C840" s="47"/>
      <c r="D840" s="47"/>
      <c r="E840" s="47"/>
      <c r="F840" s="47"/>
    </row>
    <row r="841" ht="15.75" customHeight="1">
      <c r="A841" s="47"/>
      <c r="B841" s="47"/>
      <c r="C841" s="47"/>
      <c r="D841" s="47"/>
      <c r="E841" s="47"/>
      <c r="F841" s="47"/>
    </row>
    <row r="842" ht="15.75" customHeight="1">
      <c r="A842" s="47"/>
      <c r="B842" s="47"/>
      <c r="C842" s="47"/>
      <c r="D842" s="47"/>
      <c r="E842" s="47"/>
      <c r="F842" s="47"/>
    </row>
    <row r="843" ht="15.75" customHeight="1">
      <c r="A843" s="47"/>
      <c r="B843" s="47"/>
      <c r="C843" s="47"/>
      <c r="D843" s="47"/>
      <c r="E843" s="47"/>
      <c r="F843" s="47"/>
    </row>
    <row r="844" ht="15.75" customHeight="1">
      <c r="A844" s="47"/>
      <c r="B844" s="47"/>
      <c r="C844" s="47"/>
      <c r="D844" s="47"/>
      <c r="E844" s="47"/>
      <c r="F844" s="47"/>
    </row>
    <row r="845" ht="15.75" customHeight="1">
      <c r="A845" s="47"/>
      <c r="B845" s="47"/>
      <c r="C845" s="47"/>
      <c r="D845" s="47"/>
      <c r="E845" s="47"/>
      <c r="F845" s="47"/>
    </row>
    <row r="846" ht="15.75" customHeight="1">
      <c r="A846" s="47"/>
      <c r="B846" s="47"/>
      <c r="C846" s="47"/>
      <c r="D846" s="47"/>
      <c r="E846" s="47"/>
      <c r="F846" s="47"/>
    </row>
    <row r="847" ht="15.75" customHeight="1">
      <c r="A847" s="47"/>
      <c r="B847" s="47"/>
      <c r="C847" s="47"/>
      <c r="D847" s="47"/>
      <c r="E847" s="47"/>
      <c r="F847" s="47"/>
    </row>
    <row r="848" ht="15.75" customHeight="1">
      <c r="A848" s="47"/>
      <c r="B848" s="47"/>
      <c r="C848" s="47"/>
      <c r="D848" s="47"/>
      <c r="E848" s="47"/>
      <c r="F848" s="47"/>
    </row>
    <row r="849" ht="15.75" customHeight="1">
      <c r="A849" s="47"/>
      <c r="B849" s="47"/>
      <c r="C849" s="47"/>
      <c r="D849" s="47"/>
      <c r="E849" s="47"/>
      <c r="F849" s="47"/>
    </row>
    <row r="850" ht="15.75" customHeight="1">
      <c r="A850" s="47"/>
      <c r="B850" s="47"/>
      <c r="C850" s="47"/>
      <c r="D850" s="47"/>
      <c r="E850" s="47"/>
      <c r="F850" s="47"/>
    </row>
    <row r="851" ht="15.75" customHeight="1">
      <c r="A851" s="47"/>
      <c r="B851" s="47"/>
      <c r="C851" s="47"/>
      <c r="D851" s="47"/>
      <c r="E851" s="47"/>
      <c r="F851" s="47"/>
    </row>
    <row r="852" ht="15.75" customHeight="1">
      <c r="A852" s="47"/>
      <c r="B852" s="47"/>
      <c r="C852" s="47"/>
      <c r="D852" s="47"/>
      <c r="E852" s="47"/>
      <c r="F852" s="47"/>
    </row>
    <row r="853" ht="15.75" customHeight="1">
      <c r="A853" s="47"/>
      <c r="B853" s="47"/>
      <c r="C853" s="47"/>
      <c r="D853" s="47"/>
      <c r="E853" s="47"/>
      <c r="F853" s="47"/>
    </row>
    <row r="854" ht="15.75" customHeight="1">
      <c r="A854" s="47"/>
      <c r="B854" s="47"/>
      <c r="C854" s="47"/>
      <c r="D854" s="47"/>
      <c r="E854" s="47"/>
      <c r="F854" s="47"/>
    </row>
    <row r="855" ht="15.75" customHeight="1">
      <c r="A855" s="47"/>
      <c r="B855" s="47"/>
      <c r="C855" s="47"/>
      <c r="D855" s="47"/>
      <c r="E855" s="47"/>
      <c r="F855" s="47"/>
    </row>
    <row r="856" ht="15.75" customHeight="1">
      <c r="A856" s="47"/>
      <c r="B856" s="47"/>
      <c r="C856" s="47"/>
      <c r="D856" s="47"/>
      <c r="E856" s="47"/>
      <c r="F856" s="47"/>
    </row>
    <row r="857" ht="15.75" customHeight="1">
      <c r="A857" s="47"/>
      <c r="B857" s="47"/>
      <c r="C857" s="47"/>
      <c r="D857" s="47"/>
      <c r="E857" s="47"/>
      <c r="F857" s="47"/>
    </row>
    <row r="858" ht="15.75" customHeight="1">
      <c r="A858" s="47"/>
      <c r="B858" s="47"/>
      <c r="C858" s="47"/>
      <c r="D858" s="47"/>
      <c r="E858" s="47"/>
      <c r="F858" s="47"/>
    </row>
    <row r="859" ht="15.75" customHeight="1">
      <c r="A859" s="47"/>
      <c r="B859" s="47"/>
      <c r="C859" s="47"/>
      <c r="D859" s="47"/>
      <c r="E859" s="47"/>
      <c r="F859" s="47"/>
    </row>
    <row r="860" ht="15.75" customHeight="1">
      <c r="A860" s="47"/>
      <c r="B860" s="47"/>
      <c r="C860" s="47"/>
      <c r="D860" s="47"/>
      <c r="E860" s="47"/>
      <c r="F860" s="47"/>
    </row>
    <row r="861" ht="15.75" customHeight="1">
      <c r="A861" s="47"/>
      <c r="B861" s="47"/>
      <c r="C861" s="47"/>
      <c r="D861" s="47"/>
      <c r="E861" s="47"/>
      <c r="F861" s="47"/>
    </row>
    <row r="862" ht="15.75" customHeight="1">
      <c r="A862" s="47"/>
      <c r="B862" s="47"/>
      <c r="C862" s="47"/>
      <c r="D862" s="47"/>
      <c r="E862" s="47"/>
      <c r="F862" s="47"/>
    </row>
    <row r="863" ht="15.75" customHeight="1">
      <c r="A863" s="47"/>
      <c r="B863" s="47"/>
      <c r="C863" s="47"/>
      <c r="D863" s="47"/>
      <c r="E863" s="47"/>
      <c r="F863" s="47"/>
    </row>
    <row r="864" ht="15.75" customHeight="1">
      <c r="A864" s="47"/>
      <c r="B864" s="47"/>
      <c r="C864" s="47"/>
      <c r="D864" s="47"/>
      <c r="E864" s="47"/>
      <c r="F864" s="47"/>
    </row>
    <row r="865" ht="15.75" customHeight="1">
      <c r="A865" s="47"/>
      <c r="B865" s="47"/>
      <c r="C865" s="47"/>
      <c r="D865" s="47"/>
      <c r="E865" s="47"/>
      <c r="F865" s="47"/>
    </row>
    <row r="866" ht="15.75" customHeight="1">
      <c r="A866" s="47"/>
      <c r="B866" s="47"/>
      <c r="C866" s="47"/>
      <c r="D866" s="47"/>
      <c r="E866" s="47"/>
      <c r="F866" s="47"/>
    </row>
    <row r="867" ht="15.75" customHeight="1">
      <c r="A867" s="47"/>
      <c r="B867" s="47"/>
      <c r="C867" s="47"/>
      <c r="D867" s="47"/>
      <c r="E867" s="47"/>
      <c r="F867" s="47"/>
    </row>
    <row r="868" ht="15.75" customHeight="1">
      <c r="A868" s="47"/>
      <c r="B868" s="47"/>
      <c r="C868" s="47"/>
      <c r="D868" s="47"/>
      <c r="E868" s="47"/>
      <c r="F868" s="47"/>
    </row>
    <row r="869" ht="15.75" customHeight="1">
      <c r="A869" s="47"/>
      <c r="B869" s="47"/>
      <c r="C869" s="47"/>
      <c r="D869" s="47"/>
      <c r="E869" s="47"/>
      <c r="F869" s="47"/>
    </row>
    <row r="870" ht="15.75" customHeight="1">
      <c r="A870" s="47"/>
      <c r="B870" s="47"/>
      <c r="C870" s="47"/>
      <c r="D870" s="47"/>
      <c r="E870" s="47"/>
      <c r="F870" s="47"/>
    </row>
    <row r="871" ht="15.75" customHeight="1">
      <c r="A871" s="47"/>
      <c r="B871" s="47"/>
      <c r="C871" s="47"/>
      <c r="D871" s="47"/>
      <c r="E871" s="47"/>
      <c r="F871" s="47"/>
    </row>
    <row r="872" ht="15.75" customHeight="1">
      <c r="A872" s="47"/>
      <c r="B872" s="47"/>
      <c r="C872" s="47"/>
      <c r="D872" s="47"/>
      <c r="E872" s="47"/>
      <c r="F872" s="47"/>
    </row>
    <row r="873" ht="15.75" customHeight="1">
      <c r="A873" s="47"/>
      <c r="B873" s="47"/>
      <c r="C873" s="47"/>
      <c r="D873" s="47"/>
      <c r="E873" s="47"/>
      <c r="F873" s="47"/>
    </row>
    <row r="874" ht="15.75" customHeight="1">
      <c r="A874" s="47"/>
      <c r="B874" s="47"/>
      <c r="C874" s="47"/>
      <c r="D874" s="47"/>
      <c r="E874" s="47"/>
      <c r="F874" s="47"/>
    </row>
    <row r="875" ht="15.75" customHeight="1">
      <c r="A875" s="47"/>
      <c r="B875" s="47"/>
      <c r="C875" s="47"/>
      <c r="D875" s="47"/>
      <c r="E875" s="47"/>
      <c r="F875" s="47"/>
    </row>
    <row r="876" ht="15.75" customHeight="1">
      <c r="A876" s="47"/>
      <c r="B876" s="47"/>
      <c r="C876" s="47"/>
      <c r="D876" s="47"/>
      <c r="E876" s="47"/>
      <c r="F876" s="47"/>
    </row>
    <row r="877" ht="15.75" customHeight="1">
      <c r="A877" s="47"/>
      <c r="B877" s="47"/>
      <c r="C877" s="47"/>
      <c r="D877" s="47"/>
      <c r="E877" s="47"/>
      <c r="F877" s="47"/>
    </row>
    <row r="878" ht="15.75" customHeight="1">
      <c r="A878" s="47"/>
      <c r="B878" s="47"/>
      <c r="C878" s="47"/>
      <c r="D878" s="47"/>
      <c r="E878" s="47"/>
      <c r="F878" s="47"/>
    </row>
    <row r="879" ht="15.75" customHeight="1">
      <c r="A879" s="47"/>
      <c r="B879" s="47"/>
      <c r="C879" s="47"/>
      <c r="D879" s="47"/>
      <c r="E879" s="47"/>
      <c r="F879" s="47"/>
    </row>
    <row r="880" ht="15.75" customHeight="1">
      <c r="A880" s="47"/>
      <c r="B880" s="47"/>
      <c r="C880" s="47"/>
      <c r="D880" s="47"/>
      <c r="E880" s="47"/>
      <c r="F880" s="47"/>
    </row>
    <row r="881" ht="15.75" customHeight="1">
      <c r="A881" s="47"/>
      <c r="B881" s="47"/>
      <c r="C881" s="47"/>
      <c r="D881" s="47"/>
      <c r="E881" s="47"/>
      <c r="F881" s="47"/>
    </row>
    <row r="882" ht="15.75" customHeight="1">
      <c r="A882" s="47"/>
      <c r="B882" s="47"/>
      <c r="C882" s="47"/>
      <c r="D882" s="47"/>
      <c r="E882" s="47"/>
      <c r="F882" s="47"/>
    </row>
    <row r="883" ht="15.75" customHeight="1">
      <c r="A883" s="47"/>
      <c r="B883" s="47"/>
      <c r="C883" s="47"/>
      <c r="D883" s="47"/>
      <c r="E883" s="47"/>
      <c r="F883" s="47"/>
    </row>
    <row r="884" ht="15.75" customHeight="1">
      <c r="A884" s="47"/>
      <c r="B884" s="47"/>
      <c r="C884" s="47"/>
      <c r="D884" s="47"/>
      <c r="E884" s="47"/>
      <c r="F884" s="47"/>
    </row>
    <row r="885" ht="15.75" customHeight="1">
      <c r="A885" s="47"/>
      <c r="B885" s="47"/>
      <c r="C885" s="47"/>
      <c r="D885" s="47"/>
      <c r="E885" s="47"/>
      <c r="F885" s="47"/>
    </row>
    <row r="886" ht="15.75" customHeight="1">
      <c r="A886" s="47"/>
      <c r="B886" s="47"/>
      <c r="C886" s="47"/>
      <c r="D886" s="47"/>
      <c r="E886" s="47"/>
      <c r="F886" s="47"/>
    </row>
    <row r="887" ht="15.75" customHeight="1">
      <c r="A887" s="47"/>
      <c r="B887" s="47"/>
      <c r="C887" s="47"/>
      <c r="D887" s="47"/>
      <c r="E887" s="47"/>
      <c r="F887" s="47"/>
    </row>
    <row r="888" ht="15.75" customHeight="1">
      <c r="A888" s="47"/>
      <c r="B888" s="47"/>
      <c r="C888" s="47"/>
      <c r="D888" s="47"/>
      <c r="E888" s="47"/>
      <c r="F888" s="47"/>
    </row>
    <row r="889" ht="15.75" customHeight="1">
      <c r="A889" s="47"/>
      <c r="B889" s="47"/>
      <c r="C889" s="47"/>
      <c r="D889" s="47"/>
      <c r="E889" s="47"/>
      <c r="F889" s="47"/>
    </row>
    <row r="890" ht="15.75" customHeight="1">
      <c r="A890" s="47"/>
      <c r="B890" s="47"/>
      <c r="C890" s="47"/>
      <c r="D890" s="47"/>
      <c r="E890" s="47"/>
      <c r="F890" s="47"/>
    </row>
    <row r="891" ht="15.75" customHeight="1">
      <c r="A891" s="47"/>
      <c r="B891" s="47"/>
      <c r="C891" s="47"/>
      <c r="D891" s="47"/>
      <c r="E891" s="47"/>
      <c r="F891" s="47"/>
    </row>
    <row r="892" ht="15.75" customHeight="1">
      <c r="A892" s="47"/>
      <c r="B892" s="47"/>
      <c r="C892" s="47"/>
      <c r="D892" s="47"/>
      <c r="E892" s="47"/>
      <c r="F892" s="47"/>
    </row>
    <row r="893" ht="15.75" customHeight="1">
      <c r="A893" s="47"/>
      <c r="B893" s="47"/>
      <c r="C893" s="47"/>
      <c r="D893" s="47"/>
      <c r="E893" s="47"/>
      <c r="F893" s="47"/>
    </row>
    <row r="894" ht="15.75" customHeight="1">
      <c r="A894" s="47"/>
      <c r="B894" s="47"/>
      <c r="C894" s="47"/>
      <c r="D894" s="47"/>
      <c r="E894" s="47"/>
      <c r="F894" s="47"/>
    </row>
    <row r="895" ht="15.75" customHeight="1">
      <c r="A895" s="47"/>
      <c r="B895" s="47"/>
      <c r="C895" s="47"/>
      <c r="D895" s="47"/>
      <c r="E895" s="47"/>
      <c r="F895" s="47"/>
    </row>
    <row r="896" ht="15.75" customHeight="1">
      <c r="A896" s="47"/>
      <c r="B896" s="47"/>
      <c r="C896" s="47"/>
      <c r="D896" s="47"/>
      <c r="E896" s="47"/>
      <c r="F896" s="47"/>
    </row>
    <row r="897" ht="15.75" customHeight="1">
      <c r="A897" s="47"/>
      <c r="B897" s="47"/>
      <c r="C897" s="47"/>
      <c r="D897" s="47"/>
      <c r="E897" s="47"/>
      <c r="F897" s="47"/>
    </row>
    <row r="898" ht="15.75" customHeight="1">
      <c r="A898" s="47"/>
      <c r="B898" s="47"/>
      <c r="C898" s="47"/>
      <c r="D898" s="47"/>
      <c r="E898" s="47"/>
      <c r="F898" s="47"/>
    </row>
    <row r="899" ht="15.75" customHeight="1">
      <c r="A899" s="47"/>
      <c r="B899" s="47"/>
      <c r="C899" s="47"/>
      <c r="D899" s="47"/>
      <c r="E899" s="47"/>
      <c r="F899" s="47"/>
    </row>
    <row r="900" ht="15.75" customHeight="1">
      <c r="A900" s="47"/>
      <c r="B900" s="47"/>
      <c r="C900" s="47"/>
      <c r="D900" s="47"/>
      <c r="E900" s="47"/>
      <c r="F900" s="47"/>
    </row>
    <row r="901" ht="15.75" customHeight="1">
      <c r="A901" s="47"/>
      <c r="B901" s="47"/>
      <c r="C901" s="47"/>
      <c r="D901" s="47"/>
      <c r="E901" s="47"/>
      <c r="F901" s="47"/>
    </row>
    <row r="902" ht="15.75" customHeight="1">
      <c r="A902" s="47"/>
      <c r="B902" s="47"/>
      <c r="C902" s="47"/>
      <c r="D902" s="47"/>
      <c r="E902" s="47"/>
      <c r="F902" s="47"/>
    </row>
    <row r="903" ht="15.75" customHeight="1">
      <c r="A903" s="47"/>
      <c r="B903" s="47"/>
      <c r="C903" s="47"/>
      <c r="D903" s="47"/>
      <c r="E903" s="47"/>
      <c r="F903" s="47"/>
    </row>
    <row r="904" ht="15.75" customHeight="1">
      <c r="A904" s="47"/>
      <c r="B904" s="47"/>
      <c r="C904" s="47"/>
      <c r="D904" s="47"/>
      <c r="E904" s="47"/>
      <c r="F904" s="47"/>
    </row>
    <row r="905" ht="15.75" customHeight="1">
      <c r="A905" s="47"/>
      <c r="B905" s="47"/>
      <c r="C905" s="47"/>
      <c r="D905" s="47"/>
      <c r="E905" s="47"/>
      <c r="F905" s="47"/>
    </row>
    <row r="906" ht="15.75" customHeight="1">
      <c r="A906" s="47"/>
      <c r="B906" s="47"/>
      <c r="C906" s="47"/>
      <c r="D906" s="47"/>
      <c r="E906" s="47"/>
      <c r="F906" s="47"/>
    </row>
    <row r="907" ht="15.75" customHeight="1">
      <c r="A907" s="47"/>
      <c r="B907" s="47"/>
      <c r="C907" s="47"/>
      <c r="D907" s="47"/>
      <c r="E907" s="47"/>
      <c r="F907" s="47"/>
    </row>
    <row r="908" ht="15.75" customHeight="1">
      <c r="A908" s="47"/>
      <c r="B908" s="47"/>
      <c r="C908" s="47"/>
      <c r="D908" s="47"/>
      <c r="E908" s="47"/>
      <c r="F908" s="47"/>
    </row>
    <row r="909" ht="15.75" customHeight="1">
      <c r="A909" s="47"/>
      <c r="B909" s="47"/>
      <c r="C909" s="47"/>
      <c r="D909" s="47"/>
      <c r="E909" s="47"/>
      <c r="F909" s="47"/>
    </row>
    <row r="910" ht="15.75" customHeight="1">
      <c r="A910" s="47"/>
      <c r="B910" s="47"/>
      <c r="C910" s="47"/>
      <c r="D910" s="47"/>
      <c r="E910" s="47"/>
      <c r="F910" s="47"/>
    </row>
    <row r="911" ht="15.75" customHeight="1">
      <c r="A911" s="47"/>
      <c r="B911" s="47"/>
      <c r="C911" s="47"/>
      <c r="D911" s="47"/>
      <c r="E911" s="47"/>
      <c r="F911" s="47"/>
    </row>
    <row r="912" ht="15.75" customHeight="1">
      <c r="A912" s="47"/>
      <c r="B912" s="47"/>
      <c r="C912" s="47"/>
      <c r="D912" s="47"/>
      <c r="E912" s="47"/>
      <c r="F912" s="47"/>
    </row>
    <row r="913" ht="15.75" customHeight="1">
      <c r="A913" s="47"/>
      <c r="B913" s="47"/>
      <c r="C913" s="47"/>
      <c r="D913" s="47"/>
      <c r="E913" s="47"/>
      <c r="F913" s="47"/>
    </row>
    <row r="914" ht="15.75" customHeight="1">
      <c r="A914" s="47"/>
      <c r="B914" s="47"/>
      <c r="C914" s="47"/>
      <c r="D914" s="47"/>
      <c r="E914" s="47"/>
      <c r="F914" s="47"/>
    </row>
    <row r="915" ht="15.75" customHeight="1">
      <c r="A915" s="47"/>
      <c r="B915" s="47"/>
      <c r="C915" s="47"/>
      <c r="D915" s="47"/>
      <c r="E915" s="47"/>
      <c r="F915" s="47"/>
    </row>
    <row r="916" ht="15.75" customHeight="1">
      <c r="A916" s="47"/>
      <c r="B916" s="47"/>
      <c r="C916" s="47"/>
      <c r="D916" s="47"/>
      <c r="E916" s="47"/>
      <c r="F916" s="47"/>
    </row>
    <row r="917" ht="15.75" customHeight="1">
      <c r="A917" s="47"/>
      <c r="B917" s="47"/>
      <c r="C917" s="47"/>
      <c r="D917" s="47"/>
      <c r="E917" s="47"/>
      <c r="F917" s="47"/>
    </row>
    <row r="918" ht="15.75" customHeight="1">
      <c r="A918" s="47"/>
      <c r="B918" s="47"/>
      <c r="C918" s="47"/>
      <c r="D918" s="47"/>
      <c r="E918" s="47"/>
      <c r="F918" s="47"/>
    </row>
    <row r="919" ht="15.75" customHeight="1">
      <c r="A919" s="47"/>
      <c r="B919" s="47"/>
      <c r="C919" s="47"/>
      <c r="D919" s="47"/>
      <c r="E919" s="47"/>
      <c r="F919" s="47"/>
    </row>
    <row r="920" ht="15.75" customHeight="1">
      <c r="A920" s="47"/>
      <c r="B920" s="47"/>
      <c r="C920" s="47"/>
      <c r="D920" s="47"/>
      <c r="E920" s="47"/>
      <c r="F920" s="47"/>
    </row>
    <row r="921" ht="15.75" customHeight="1">
      <c r="A921" s="47"/>
      <c r="B921" s="47"/>
      <c r="C921" s="47"/>
      <c r="D921" s="47"/>
      <c r="E921" s="47"/>
      <c r="F921" s="47"/>
    </row>
    <row r="922" ht="15.75" customHeight="1">
      <c r="A922" s="47"/>
      <c r="B922" s="47"/>
      <c r="C922" s="47"/>
      <c r="D922" s="47"/>
      <c r="E922" s="47"/>
      <c r="F922" s="47"/>
    </row>
    <row r="923" ht="15.75" customHeight="1">
      <c r="A923" s="47"/>
      <c r="B923" s="47"/>
      <c r="C923" s="47"/>
      <c r="D923" s="47"/>
      <c r="E923" s="47"/>
      <c r="F923" s="47"/>
    </row>
    <row r="924" ht="15.75" customHeight="1">
      <c r="A924" s="47"/>
      <c r="B924" s="47"/>
      <c r="C924" s="47"/>
      <c r="D924" s="47"/>
      <c r="E924" s="47"/>
      <c r="F924" s="47"/>
    </row>
    <row r="925" ht="15.75" customHeight="1">
      <c r="A925" s="47"/>
      <c r="B925" s="47"/>
      <c r="C925" s="47"/>
      <c r="D925" s="47"/>
      <c r="E925" s="47"/>
      <c r="F925" s="47"/>
    </row>
    <row r="926" ht="15.75" customHeight="1">
      <c r="A926" s="47"/>
      <c r="B926" s="47"/>
      <c r="C926" s="47"/>
      <c r="D926" s="47"/>
      <c r="E926" s="47"/>
      <c r="F926" s="47"/>
    </row>
    <row r="927" ht="15.75" customHeight="1">
      <c r="A927" s="47"/>
      <c r="B927" s="47"/>
      <c r="C927" s="47"/>
      <c r="D927" s="47"/>
      <c r="E927" s="47"/>
      <c r="F927" s="47"/>
    </row>
    <row r="928" ht="15.75" customHeight="1">
      <c r="A928" s="47"/>
      <c r="B928" s="47"/>
      <c r="C928" s="47"/>
      <c r="D928" s="47"/>
      <c r="E928" s="47"/>
      <c r="F928" s="47"/>
    </row>
    <row r="929" ht="15.75" customHeight="1">
      <c r="A929" s="47"/>
      <c r="B929" s="47"/>
      <c r="C929" s="47"/>
      <c r="D929" s="47"/>
      <c r="E929" s="47"/>
      <c r="F929" s="47"/>
    </row>
    <row r="930" ht="15.75" customHeight="1">
      <c r="A930" s="47"/>
      <c r="B930" s="47"/>
      <c r="C930" s="47"/>
      <c r="D930" s="47"/>
      <c r="E930" s="47"/>
      <c r="F930" s="47"/>
    </row>
    <row r="931" ht="15.75" customHeight="1">
      <c r="A931" s="47"/>
      <c r="B931" s="47"/>
      <c r="C931" s="47"/>
      <c r="D931" s="47"/>
      <c r="E931" s="47"/>
      <c r="F931" s="47"/>
    </row>
    <row r="932" ht="15.75" customHeight="1">
      <c r="A932" s="47"/>
      <c r="B932" s="47"/>
      <c r="C932" s="47"/>
      <c r="D932" s="47"/>
      <c r="E932" s="47"/>
      <c r="F932" s="47"/>
    </row>
    <row r="933" ht="15.75" customHeight="1">
      <c r="A933" s="47"/>
      <c r="B933" s="47"/>
      <c r="C933" s="47"/>
      <c r="D933" s="47"/>
      <c r="E933" s="47"/>
      <c r="F933" s="47"/>
    </row>
    <row r="934" ht="15.75" customHeight="1">
      <c r="A934" s="47"/>
      <c r="B934" s="47"/>
      <c r="C934" s="47"/>
      <c r="D934" s="47"/>
      <c r="E934" s="47"/>
      <c r="F934" s="47"/>
    </row>
    <row r="935" ht="15.75" customHeight="1">
      <c r="A935" s="47"/>
      <c r="B935" s="47"/>
      <c r="C935" s="47"/>
      <c r="D935" s="47"/>
      <c r="E935" s="47"/>
      <c r="F935" s="47"/>
    </row>
    <row r="936" ht="15.75" customHeight="1">
      <c r="A936" s="47"/>
      <c r="B936" s="47"/>
      <c r="C936" s="47"/>
      <c r="D936" s="47"/>
      <c r="E936" s="47"/>
      <c r="F936" s="47"/>
    </row>
    <row r="937" ht="15.75" customHeight="1">
      <c r="A937" s="47"/>
      <c r="B937" s="47"/>
      <c r="C937" s="47"/>
      <c r="D937" s="47"/>
      <c r="E937" s="47"/>
      <c r="F937" s="47"/>
    </row>
    <row r="938" ht="15.75" customHeight="1">
      <c r="A938" s="47"/>
      <c r="B938" s="47"/>
      <c r="C938" s="47"/>
      <c r="D938" s="47"/>
      <c r="E938" s="47"/>
      <c r="F938" s="47"/>
    </row>
    <row r="939" ht="15.75" customHeight="1">
      <c r="A939" s="47"/>
      <c r="B939" s="47"/>
      <c r="C939" s="47"/>
      <c r="D939" s="47"/>
      <c r="E939" s="47"/>
      <c r="F939" s="47"/>
    </row>
    <row r="940" ht="15.75" customHeight="1">
      <c r="A940" s="47"/>
      <c r="B940" s="47"/>
      <c r="C940" s="47"/>
      <c r="D940" s="47"/>
      <c r="E940" s="47"/>
      <c r="F940" s="47"/>
    </row>
    <row r="941" ht="15.75" customHeight="1">
      <c r="A941" s="47"/>
      <c r="B941" s="47"/>
      <c r="C941" s="47"/>
      <c r="D941" s="47"/>
      <c r="E941" s="47"/>
      <c r="F941" s="47"/>
    </row>
    <row r="942" ht="15.75" customHeight="1">
      <c r="A942" s="47"/>
      <c r="B942" s="47"/>
      <c r="C942" s="47"/>
      <c r="D942" s="47"/>
      <c r="E942" s="47"/>
      <c r="F942" s="47"/>
    </row>
    <row r="943" ht="15.75" customHeight="1">
      <c r="A943" s="47"/>
      <c r="B943" s="47"/>
      <c r="C943" s="47"/>
      <c r="D943" s="47"/>
      <c r="E943" s="47"/>
      <c r="F943" s="47"/>
    </row>
    <row r="944" ht="15.75" customHeight="1">
      <c r="A944" s="47"/>
      <c r="B944" s="47"/>
      <c r="C944" s="47"/>
      <c r="D944" s="47"/>
      <c r="E944" s="47"/>
      <c r="F944" s="47"/>
    </row>
    <row r="945" ht="15.75" customHeight="1">
      <c r="A945" s="47"/>
      <c r="B945" s="47"/>
      <c r="C945" s="47"/>
      <c r="D945" s="47"/>
      <c r="E945" s="47"/>
      <c r="F945" s="47"/>
    </row>
    <row r="946" ht="15.75" customHeight="1">
      <c r="A946" s="47"/>
      <c r="B946" s="47"/>
      <c r="C946" s="47"/>
      <c r="D946" s="47"/>
      <c r="E946" s="47"/>
      <c r="F946" s="47"/>
    </row>
    <row r="947" ht="15.75" customHeight="1">
      <c r="A947" s="47"/>
      <c r="B947" s="47"/>
      <c r="C947" s="47"/>
      <c r="D947" s="47"/>
      <c r="E947" s="47"/>
      <c r="F947" s="47"/>
    </row>
    <row r="948" ht="15.75" customHeight="1">
      <c r="A948" s="47"/>
      <c r="B948" s="47"/>
      <c r="C948" s="47"/>
      <c r="D948" s="47"/>
      <c r="E948" s="47"/>
      <c r="F948" s="47"/>
    </row>
    <row r="949" ht="15.75" customHeight="1">
      <c r="A949" s="47"/>
      <c r="B949" s="47"/>
      <c r="C949" s="47"/>
      <c r="D949" s="47"/>
      <c r="E949" s="47"/>
      <c r="F949" s="47"/>
    </row>
    <row r="950" ht="15.75" customHeight="1">
      <c r="A950" s="47"/>
      <c r="B950" s="47"/>
      <c r="C950" s="47"/>
      <c r="D950" s="47"/>
      <c r="E950" s="47"/>
      <c r="F950" s="47"/>
    </row>
    <row r="951" ht="15.75" customHeight="1">
      <c r="A951" s="47"/>
      <c r="B951" s="47"/>
      <c r="C951" s="47"/>
      <c r="D951" s="47"/>
      <c r="E951" s="47"/>
      <c r="F951" s="47"/>
    </row>
    <row r="952" ht="15.75" customHeight="1">
      <c r="A952" s="47"/>
      <c r="B952" s="47"/>
      <c r="C952" s="47"/>
      <c r="D952" s="47"/>
      <c r="E952" s="47"/>
      <c r="F952" s="47"/>
    </row>
    <row r="953" ht="15.75" customHeight="1">
      <c r="A953" s="47"/>
      <c r="B953" s="47"/>
      <c r="C953" s="47"/>
      <c r="D953" s="47"/>
      <c r="E953" s="47"/>
      <c r="F953" s="47"/>
    </row>
    <row r="954" ht="15.75" customHeight="1">
      <c r="A954" s="47"/>
      <c r="B954" s="47"/>
      <c r="C954" s="47"/>
      <c r="D954" s="47"/>
      <c r="E954" s="47"/>
      <c r="F954" s="47"/>
    </row>
    <row r="955" ht="15.75" customHeight="1">
      <c r="A955" s="47"/>
      <c r="B955" s="47"/>
      <c r="C955" s="47"/>
      <c r="D955" s="47"/>
      <c r="E955" s="47"/>
      <c r="F955" s="47"/>
    </row>
    <row r="956" ht="15.75" customHeight="1">
      <c r="A956" s="47"/>
      <c r="B956" s="47"/>
      <c r="C956" s="47"/>
      <c r="D956" s="47"/>
      <c r="E956" s="47"/>
      <c r="F956" s="47"/>
    </row>
    <row r="957" ht="15.75" customHeight="1">
      <c r="A957" s="47"/>
      <c r="B957" s="47"/>
      <c r="C957" s="47"/>
      <c r="D957" s="47"/>
      <c r="E957" s="47"/>
      <c r="F957" s="47"/>
    </row>
    <row r="958" ht="15.75" customHeight="1">
      <c r="A958" s="47"/>
      <c r="B958" s="47"/>
      <c r="C958" s="47"/>
      <c r="D958" s="47"/>
      <c r="E958" s="47"/>
      <c r="F958" s="47"/>
    </row>
    <row r="959" ht="15.75" customHeight="1">
      <c r="A959" s="47"/>
      <c r="B959" s="47"/>
      <c r="C959" s="47"/>
      <c r="D959" s="47"/>
      <c r="E959" s="47"/>
      <c r="F959" s="47"/>
    </row>
    <row r="960" ht="15.75" customHeight="1">
      <c r="A960" s="47"/>
      <c r="B960" s="47"/>
      <c r="C960" s="47"/>
      <c r="D960" s="47"/>
      <c r="E960" s="47"/>
      <c r="F960" s="47"/>
    </row>
    <row r="961" ht="15.75" customHeight="1">
      <c r="A961" s="47"/>
      <c r="B961" s="47"/>
      <c r="C961" s="47"/>
      <c r="D961" s="47"/>
      <c r="E961" s="47"/>
      <c r="F961" s="47"/>
    </row>
    <row r="962" ht="15.75" customHeight="1">
      <c r="A962" s="47"/>
      <c r="B962" s="47"/>
      <c r="C962" s="47"/>
      <c r="D962" s="47"/>
      <c r="E962" s="47"/>
      <c r="F962" s="47"/>
    </row>
    <row r="963" ht="15.75" customHeight="1">
      <c r="A963" s="47"/>
      <c r="B963" s="47"/>
      <c r="C963" s="47"/>
      <c r="D963" s="47"/>
      <c r="E963" s="47"/>
      <c r="F963" s="47"/>
    </row>
    <row r="964" ht="15.75" customHeight="1">
      <c r="A964" s="47"/>
      <c r="B964" s="47"/>
      <c r="C964" s="47"/>
      <c r="D964" s="47"/>
      <c r="E964" s="47"/>
      <c r="F964" s="47"/>
    </row>
    <row r="965" ht="15.75" customHeight="1">
      <c r="A965" s="47"/>
      <c r="B965" s="47"/>
      <c r="C965" s="47"/>
      <c r="D965" s="47"/>
      <c r="E965" s="47"/>
      <c r="F965" s="47"/>
    </row>
    <row r="966" ht="15.75" customHeight="1">
      <c r="A966" s="47"/>
      <c r="B966" s="47"/>
      <c r="C966" s="47"/>
      <c r="D966" s="47"/>
      <c r="E966" s="47"/>
      <c r="F966" s="47"/>
    </row>
    <row r="967" ht="15.75" customHeight="1">
      <c r="A967" s="47"/>
      <c r="B967" s="47"/>
      <c r="C967" s="47"/>
      <c r="D967" s="47"/>
      <c r="E967" s="47"/>
      <c r="F967" s="47"/>
    </row>
    <row r="968" ht="15.75" customHeight="1">
      <c r="A968" s="47"/>
      <c r="B968" s="47"/>
      <c r="C968" s="47"/>
      <c r="D968" s="47"/>
      <c r="E968" s="47"/>
      <c r="F968" s="47"/>
    </row>
    <row r="969" ht="15.75" customHeight="1">
      <c r="A969" s="47"/>
      <c r="B969" s="47"/>
      <c r="C969" s="47"/>
      <c r="D969" s="47"/>
      <c r="E969" s="47"/>
      <c r="F969" s="47"/>
    </row>
    <row r="970" ht="15.75" customHeight="1">
      <c r="A970" s="47"/>
      <c r="B970" s="47"/>
      <c r="C970" s="47"/>
      <c r="D970" s="47"/>
      <c r="E970" s="47"/>
      <c r="F970" s="47"/>
    </row>
    <row r="971" ht="15.75" customHeight="1">
      <c r="A971" s="47"/>
      <c r="B971" s="47"/>
      <c r="C971" s="47"/>
      <c r="D971" s="47"/>
      <c r="E971" s="47"/>
      <c r="F971" s="47"/>
    </row>
    <row r="972" ht="15.75" customHeight="1">
      <c r="A972" s="47"/>
      <c r="B972" s="47"/>
      <c r="C972" s="47"/>
      <c r="D972" s="47"/>
      <c r="E972" s="47"/>
      <c r="F972" s="47"/>
    </row>
    <row r="973" ht="15.75" customHeight="1">
      <c r="A973" s="47"/>
      <c r="B973" s="47"/>
      <c r="C973" s="47"/>
      <c r="D973" s="47"/>
      <c r="E973" s="47"/>
      <c r="F973" s="47"/>
    </row>
    <row r="974" ht="15.75" customHeight="1">
      <c r="A974" s="47"/>
      <c r="B974" s="47"/>
      <c r="C974" s="47"/>
      <c r="D974" s="47"/>
      <c r="E974" s="47"/>
      <c r="F974" s="47"/>
    </row>
    <row r="975" ht="15.75" customHeight="1">
      <c r="A975" s="47"/>
      <c r="B975" s="47"/>
      <c r="C975" s="47"/>
      <c r="D975" s="47"/>
      <c r="E975" s="47"/>
      <c r="F975" s="47"/>
    </row>
    <row r="976" ht="15.75" customHeight="1">
      <c r="A976" s="47"/>
      <c r="B976" s="47"/>
      <c r="C976" s="47"/>
      <c r="D976" s="47"/>
      <c r="E976" s="47"/>
      <c r="F976" s="47"/>
    </row>
    <row r="977" ht="15.75" customHeight="1">
      <c r="A977" s="47"/>
      <c r="B977" s="47"/>
      <c r="C977" s="47"/>
      <c r="D977" s="47"/>
      <c r="E977" s="47"/>
      <c r="F977" s="47"/>
    </row>
    <row r="978" ht="15.75" customHeight="1">
      <c r="A978" s="47"/>
      <c r="B978" s="47"/>
      <c r="C978" s="47"/>
      <c r="D978" s="47"/>
      <c r="E978" s="47"/>
      <c r="F978" s="47"/>
    </row>
    <row r="979" ht="15.75" customHeight="1">
      <c r="A979" s="47"/>
      <c r="B979" s="47"/>
      <c r="C979" s="47"/>
      <c r="D979" s="47"/>
      <c r="E979" s="47"/>
      <c r="F979" s="47"/>
    </row>
    <row r="980" ht="15.75" customHeight="1">
      <c r="A980" s="47"/>
      <c r="B980" s="47"/>
      <c r="C980" s="47"/>
      <c r="D980" s="47"/>
      <c r="E980" s="47"/>
      <c r="F980" s="47"/>
    </row>
    <row r="981" ht="15.75" customHeight="1">
      <c r="A981" s="47"/>
      <c r="B981" s="47"/>
      <c r="C981" s="47"/>
      <c r="D981" s="47"/>
      <c r="E981" s="47"/>
      <c r="F981" s="47"/>
    </row>
    <row r="982" ht="15.75" customHeight="1">
      <c r="A982" s="47"/>
      <c r="B982" s="47"/>
      <c r="C982" s="47"/>
      <c r="D982" s="47"/>
      <c r="E982" s="47"/>
      <c r="F982" s="47"/>
    </row>
    <row r="983" ht="15.75" customHeight="1">
      <c r="A983" s="47"/>
      <c r="B983" s="47"/>
      <c r="C983" s="47"/>
      <c r="D983" s="47"/>
      <c r="E983" s="47"/>
      <c r="F983" s="47"/>
    </row>
    <row r="984" ht="15.75" customHeight="1">
      <c r="A984" s="47"/>
      <c r="B984" s="47"/>
      <c r="C984" s="47"/>
      <c r="D984" s="47"/>
      <c r="E984" s="47"/>
      <c r="F984" s="47"/>
    </row>
    <row r="985" ht="15.75" customHeight="1">
      <c r="A985" s="47"/>
      <c r="B985" s="47"/>
      <c r="C985" s="47"/>
      <c r="D985" s="47"/>
      <c r="E985" s="47"/>
      <c r="F985" s="47"/>
    </row>
    <row r="986" ht="15.75" customHeight="1">
      <c r="A986" s="47"/>
      <c r="B986" s="47"/>
      <c r="C986" s="47"/>
      <c r="D986" s="47"/>
      <c r="E986" s="47"/>
      <c r="F986" s="47"/>
    </row>
    <row r="987" ht="15.75" customHeight="1">
      <c r="A987" s="47"/>
      <c r="B987" s="47"/>
      <c r="C987" s="47"/>
      <c r="D987" s="47"/>
      <c r="E987" s="47"/>
      <c r="F987" s="47"/>
    </row>
    <row r="988" ht="15.75" customHeight="1">
      <c r="A988" s="47"/>
      <c r="B988" s="47"/>
      <c r="C988" s="47"/>
      <c r="D988" s="47"/>
      <c r="E988" s="47"/>
      <c r="F988" s="47"/>
    </row>
    <row r="989" ht="15.75" customHeight="1">
      <c r="A989" s="47"/>
      <c r="B989" s="47"/>
      <c r="C989" s="47"/>
      <c r="D989" s="47"/>
      <c r="E989" s="47"/>
      <c r="F989" s="47"/>
    </row>
    <row r="990" ht="15.75" customHeight="1">
      <c r="A990" s="47"/>
      <c r="B990" s="47"/>
      <c r="C990" s="47"/>
      <c r="D990" s="47"/>
      <c r="E990" s="47"/>
      <c r="F990" s="47"/>
    </row>
    <row r="991" ht="15.75" customHeight="1">
      <c r="A991" s="47"/>
      <c r="B991" s="47"/>
      <c r="C991" s="47"/>
      <c r="D991" s="47"/>
      <c r="E991" s="47"/>
      <c r="F991" s="47"/>
    </row>
    <row r="992" ht="15.75" customHeight="1">
      <c r="A992" s="47"/>
      <c r="B992" s="47"/>
      <c r="C992" s="47"/>
      <c r="D992" s="47"/>
      <c r="E992" s="47"/>
      <c r="F992" s="47"/>
    </row>
    <row r="993" ht="15.75" customHeight="1">
      <c r="A993" s="47"/>
      <c r="B993" s="47"/>
      <c r="C993" s="47"/>
      <c r="D993" s="47"/>
      <c r="E993" s="47"/>
      <c r="F993" s="47"/>
    </row>
    <row r="994" ht="15.75" customHeight="1">
      <c r="A994" s="47"/>
      <c r="B994" s="47"/>
      <c r="C994" s="47"/>
      <c r="D994" s="47"/>
      <c r="E994" s="47"/>
      <c r="F994" s="47"/>
    </row>
    <row r="995" ht="15.75" customHeight="1">
      <c r="A995" s="47"/>
      <c r="B995" s="47"/>
      <c r="C995" s="47"/>
      <c r="D995" s="47"/>
      <c r="E995" s="47"/>
      <c r="F995" s="47"/>
    </row>
    <row r="996" ht="15.75" customHeight="1">
      <c r="A996" s="47"/>
      <c r="B996" s="47"/>
      <c r="C996" s="47"/>
      <c r="D996" s="47"/>
      <c r="E996" s="47"/>
      <c r="F996" s="47"/>
    </row>
    <row r="997" ht="15.75" customHeight="1">
      <c r="A997" s="47"/>
      <c r="B997" s="47"/>
      <c r="C997" s="47"/>
      <c r="D997" s="47"/>
      <c r="E997" s="47"/>
      <c r="F997" s="47"/>
    </row>
    <row r="998" ht="15.75" customHeight="1">
      <c r="A998" s="47"/>
      <c r="B998" s="47"/>
      <c r="C998" s="47"/>
      <c r="D998" s="47"/>
      <c r="E998" s="47"/>
      <c r="F998" s="47"/>
    </row>
    <row r="999" ht="15.75" customHeight="1">
      <c r="A999" s="47"/>
      <c r="B999" s="47"/>
      <c r="C999" s="47"/>
      <c r="D999" s="47"/>
      <c r="E999" s="47"/>
      <c r="F999" s="47"/>
    </row>
    <row r="1000" ht="15.75" customHeight="1">
      <c r="A1000" s="47"/>
      <c r="B1000" s="47"/>
      <c r="C1000" s="47"/>
      <c r="D1000" s="47"/>
      <c r="E1000" s="47"/>
      <c r="F1000" s="47"/>
    </row>
  </sheetData>
  <printOptions/>
  <pageMargins bottom="1.0" footer="0.0" header="0.0" left="0.75" right="0.75" top="1.0"/>
  <pageSetup paperSize="9" orientation="portrait"/>
  <drawing r:id="rId1"/>
</worksheet>
</file>